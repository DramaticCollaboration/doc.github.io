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이슈사항" sheetId="3" r:id="rId6"/>
    <sheet state="visible" name="목차" sheetId="4" r:id="rId7"/>
    <sheet state="visible" name="제안일정" sheetId="5" r:id="rId8"/>
    <sheet state="visible" name="제출서류" sheetId="6" r:id="rId9"/>
    <sheet state="visible" name="배점" sheetId="7" r:id="rId10"/>
    <sheet state="visible" name="추진일정" sheetId="8" r:id="rId11"/>
    <sheet state="visible" name="내부견적" sheetId="9" r:id="rId12"/>
    <sheet state="visible" name="현안분석" sheetId="10" r:id="rId13"/>
    <sheet state="visible" name="인력투입" sheetId="11" r:id="rId14"/>
    <sheet state="visible" name="인프라 외" sheetId="12" r:id="rId15"/>
  </sheets>
  <definedNames/>
  <calcPr/>
</workbook>
</file>

<file path=xl/sharedStrings.xml><?xml version="1.0" encoding="utf-8"?>
<sst xmlns="http://schemas.openxmlformats.org/spreadsheetml/2006/main" count="405" uniqueCount="312">
  <si>
    <t>프로젝트명</t>
  </si>
  <si>
    <t>제안계획서</t>
  </si>
  <si>
    <t>Phase : 컨설팅단계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</si>
  <si>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</si>
  <si>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</si>
  <si>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</si>
  <si>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</si>
  <si>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</si>
  <si>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</si>
  <si>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</si>
  <si>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</si>
  <si>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</si>
  <si>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</si>
  <si>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</si>
  <si>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</si>
  <si>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</si>
  <si>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</si>
  <si>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</si>
  <si>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</si>
  <si>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</si>
  <si>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컨설팅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</si>
  <si>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</si>
  <si>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</si>
  <si>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</si>
  <si>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</si>
  <si>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</si>
  <si>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</si>
  <si>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</si>
  <si>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</si>
  <si>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</si>
  <si>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</si>
  <si>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</si>
  <si>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#</t>
  </si>
  <si>
    <t>이슈사항</t>
  </si>
  <si>
    <t>세부내용</t>
  </si>
  <si>
    <t>비고</t>
  </si>
  <si>
    <t>표준수립</t>
  </si>
  <si>
    <t>공사 DA 관련 자료 요청
- 계정및 접속 환경 필요</t>
  </si>
  <si>
    <t>표준절차 준용
일정이 지연되지 않도록 공사가 지원
- DBA 필요</t>
  </si>
  <si>
    <t>표준체계</t>
  </si>
  <si>
    <t>워터마크 이슈 논의 필요</t>
  </si>
  <si>
    <t>기타 사항</t>
  </si>
  <si>
    <t xml:space="preserve">다양한 마이크로서비스 추가 고민필요
예시:번역기
</t>
  </si>
  <si>
    <t>프로젝트명 제안 목차</t>
  </si>
  <si>
    <t>제안 목차</t>
  </si>
  <si>
    <t>과업내용</t>
  </si>
  <si>
    <t>진행율</t>
  </si>
  <si>
    <t>장수</t>
  </si>
  <si>
    <t>I.</t>
  </si>
  <si>
    <t>제안사 일반현황</t>
  </si>
  <si>
    <t>II.</t>
  </si>
  <si>
    <t>전략 및 방법론</t>
  </si>
  <si>
    <t>III.</t>
  </si>
  <si>
    <t>기술 및 기능</t>
  </si>
  <si>
    <t>IV.</t>
  </si>
  <si>
    <t>성능 및 품질</t>
  </si>
  <si>
    <t>Ⅴ.</t>
  </si>
  <si>
    <t>프로젝트 관리 및 지원</t>
  </si>
  <si>
    <t>Ⅵ.</t>
  </si>
  <si>
    <t>하도급 계획 적정성 및 기타</t>
  </si>
  <si>
    <t>합계</t>
  </si>
  <si>
    <t>200장내외</t>
  </si>
  <si>
    <t>프로젝트명 제안 일정</t>
  </si>
  <si>
    <t>주요일정</t>
  </si>
  <si>
    <t>일</t>
  </si>
  <si>
    <t>월</t>
  </si>
  <si>
    <t>화</t>
  </si>
  <si>
    <t>수</t>
  </si>
  <si>
    <t>목</t>
  </si>
  <si>
    <t>금</t>
  </si>
  <si>
    <t>토</t>
  </si>
  <si>
    <t>주요작업/산출물</t>
  </si>
  <si>
    <t xml:space="preserve">• 16일 초도미팅
• 1 </t>
  </si>
  <si>
    <t>초도미팅</t>
  </si>
  <si>
    <t>목차정리
업무분배</t>
  </si>
  <si>
    <t>이슈미팅</t>
  </si>
  <si>
    <t>1차 취합</t>
  </si>
  <si>
    <t>2차 리뷰</t>
  </si>
  <si>
    <t>작업미팅</t>
  </si>
  <si>
    <t>최종 리뷰
출력
투찰</t>
  </si>
  <si>
    <t>발표본 작업</t>
  </si>
  <si>
    <t>제안서 제출</t>
  </si>
  <si>
    <t>제안공고/접수일정</t>
  </si>
  <si>
    <t xml:space="preserve">• 06/10 사전공고
• 06/14 본공고
• 07/04 제안서 마감
• 07/09 제안 평가
• 07/14 제안결과 발표
</t>
  </si>
  <si>
    <t>역할분담</t>
  </si>
  <si>
    <t xml:space="preserve">• 제안서 작업 : 
• 자료 취합 : 
• 콘텐츠 : 
• 디자인 : 
• 견적/제출서류 : 
• 개발검토 : 
• 검토 : </t>
  </si>
  <si>
    <t>• 제안 발표</t>
  </si>
  <si>
    <t xml:space="preserve">  □ 입찰참가 등록신청 구비서류</t>
  </si>
  <si>
    <t>항 목</t>
  </si>
  <si>
    <t>제출수량</t>
  </si>
  <si>
    <t>비 고</t>
  </si>
  <si>
    <t>평가항목</t>
  </si>
  <si>
    <t xml:space="preserve">  □ 제안서 및 가격입찰 구비서류</t>
  </si>
  <si>
    <t>제안</t>
  </si>
  <si>
    <t xml:space="preserve">  □ 부속자료철 (제안서와 분리하여 제본(바인딩) 제출)</t>
  </si>
  <si>
    <t>세부평가항목</t>
  </si>
  <si>
    <t>평가기준</t>
  </si>
  <si>
    <t>배점</t>
  </si>
  <si>
    <t>발표 장표 유무</t>
  </si>
  <si>
    <t>항목</t>
  </si>
  <si>
    <t>평가요소 및 평가점수</t>
  </si>
  <si>
    <t>전략 및 방법론
(10)</t>
  </si>
  <si>
    <t>사업
이해도 및 추진전략</t>
  </si>
  <si>
    <t>- 대상업무 목표 및 내용의 이해도
 - 업무분석 체계의 명확성
 - 제안요청서와의 부합성
 - 목표시스템 구성의 적정성
 - 추진전략의 창의성
 - 추진전략의 타당성</t>
  </si>
  <si>
    <t>○</t>
  </si>
  <si>
    <t>누계실적</t>
  </si>
  <si>
    <t>- 유사사업에 대한 누계 실적
 (입찰공고일 기준 최근 3년간 실적, 부가세 포함)</t>
  </si>
  <si>
    <t>5점</t>
  </si>
  <si>
    <t>적용기술 및 방법론</t>
  </si>
  <si>
    <t>- 적용기술의 확장성
 - 적용기술의 실현가능성
 - 표준 프레임워크 적용 방안
 - 개발(적용) 방법론의 타당성 및 적용 가능성 등</t>
  </si>
  <si>
    <t>QA로 대응</t>
  </si>
  <si>
    <t>20억 이상</t>
  </si>
  <si>
    <t>20억 미만~
15억 이상</t>
  </si>
  <si>
    <t>15억 미만~
10억 이상</t>
  </si>
  <si>
    <t>10억 미만~
6억 이상</t>
  </si>
  <si>
    <t>기술 및 기능
(30)</t>
  </si>
  <si>
    <t>시스템 장비구성 요구사항</t>
  </si>
  <si>
    <t>- 클라우드 인프라 구성방안 및 요구규격 준수 타당성
 - 마이크로서비스 아키텍처 구축방안의 적정성
 - 클라우드 인프라 구축‧운영‧관리 방안의 적정성</t>
  </si>
  <si>
    <t>클라우드 인프라 구축 타당성</t>
  </si>
  <si>
    <t>기능 요구사항</t>
  </si>
  <si>
    <t>- 기능 요구사항 분석의 구체성
 - 기능 구현 방안의 적정성
 - 기능 구현에 적합한 인력과 조직구성 방안의 적정성
 (클라우드, MSA 관련 제반 전문지식 및 구축경험을 갖추고 있는 수행인력 투입 등)</t>
  </si>
  <si>
    <t>클라우드, MSA 전문가 투입
투입인력 사진과 함께 이력
1. 클라우드 전문가
2 MSA 전문가
3. 콘텐츠 전문가
4. CMS 전문가</t>
  </si>
  <si>
    <t>[주]① 유사사업 인정범위 : 마이크로서비스아키텍처 기술기반의 시스템구축 사업
     - 개발 과업이 포함되지 않은 단순 구성품(H/W, S/W 등) 공급, ISP, 데이터 구매 사업 등은 제외
     - 유사사업 수행실적(누계 및 단일)은 모두 부가가치세를 포함한 금액이며, 장기계속계약의 경우 총 실적 금액의 연도별 평균금액을 적용함
   ② 실적인정 증빙 : 실적증명서, 계약서 등의 증거서류를 제출한 사업을 기준으로 평가(단, 이행이 완료된 실적만 인정)
     - 용역건별 실적자료에 대해 ｢소프트웨어진흥법｣ 제24조에 따라 “한국소프트웨어산업협회”에서 발행한 SW사업수행실적확인서를 제출하거나, 발주처 발행 실적확인서 제출
     - 국내 소재업체의 수행실적 중 공공기관 이외의 수행 실적은 원본이 확인된 해당용역의 계약서, 세금계산서, 거래명세표 등을 첨부한 경우에 평가하고, 특히 필요한 경우 공급받는 자의 인감증명(법인 또는 개인)을 첨부한 거래사실 확인서를 제출
     - 국외 소재업체의 수행실적도 국내 소재업체에 준하되, 공공기관 이외의 납품실적은 이를 공증하거나 해당국가의 상공회의소 또는 해당국가에 주재하는 대한민국 공관의 확인을 받은 경우에는 세금계산서 등 증빙자료 첨부를 생략할 수 있음
     - 이행실적에 대한 입증책임은 입찰참가업체가 부담하며 실적확인이 어려운 경우에는 실적을 인정하지 아니함</t>
  </si>
  <si>
    <t>보안 요구사항</t>
  </si>
  <si>
    <t>- 보안요구사항 분석 및 방안의 타당성
 - 사업 추진 동안 악영향을 미치는 일련의 불순활동들로부터 기밀을 보호함과 동시에 원활한 사업의 수행을 보장하기 위한 체계 및 대책
 - 소프트웨어 개발보안을 위한 보안약점 진단도구 사용방안, 개발절차 및 방법의 적절성
 - 안정적인 시스템 운영을 위해 제시하는 각종 백업/복구 및 장애대응 대책
 - 자료·장비·네트워크 보안대책
 - 누출금지 대상정보 등 정보유출 방지를 위한 관리방안
 - 해킹에 대비한 업체의 보안관리/통제
 - 사이버테러 대응 방안 및 체계의 적정성</t>
  </si>
  <si>
    <t>KT 클라우드 설명 시 보안 관련 설명
KT클라우드 보안인증 마크 등 설명</t>
  </si>
  <si>
    <t>데이터 요구사항</t>
  </si>
  <si>
    <t>- 기존 시스템에서 관리중인 데이터 이관계획의 구체성
 - 이관 데이터의 검수 및 데이터 품질기준 준수계획 적정성
 - 시스템 이관을 위한 수행체계 구성의 적정성</t>
  </si>
  <si>
    <t>1. 데이터 이관 방법
2. 데이터 검수 방법</t>
  </si>
  <si>
    <t>시스템 연계</t>
  </si>
  <si>
    <t>- 기존 시스템을 활용중인 서비스 채널 대상 신규시스템으로의 연계모듈 제공방안의 적정성</t>
  </si>
  <si>
    <t>VK, 대구석 연계</t>
  </si>
  <si>
    <t>컨설팅 요구사항</t>
  </si>
  <si>
    <t>- 관광정보 표준관리체계 수립계획의 적정성
 - 정보자원 분류체계 및 메타데이터 관리체계 수립계획 적정성
 - 공공저작물 관리지침 수립 및 관광정보 운영규정 현행화 지원계획의 적정성</t>
  </si>
  <si>
    <t>데이터 표준 수립 (전문가)</t>
  </si>
  <si>
    <t>성능 및 품질
(20)</t>
  </si>
  <si>
    <t>성능 요구사항</t>
  </si>
  <si>
    <t>- 요구 성능 충족을 위한 구현 및 테스트 방안의 구체성
 - 성능검증 방법론 및 분석도구의 적정성
 - 성능지연에 대한 보완대책 및 기술지원 방안 적정성</t>
  </si>
  <si>
    <t>KT 클라우드 설명 시 성능관련 설명</t>
  </si>
  <si>
    <t>테스트 요구사항</t>
  </si>
  <si>
    <t>- 개발 도구 및 구현 방안, 테스트 방안 등의 적절성
 - 분석·설계·구현·테스트 등 각 단계별 품질 요구사항 점검 및 검토 방안 계획의 구체성</t>
  </si>
  <si>
    <t>-</t>
  </si>
  <si>
    <t>품질 요구사항</t>
  </si>
  <si>
    <t>- 품질보증계획의 적정성
 (단계별 품질요구 사항의 점검 및 검토 방안의 구체성)
 - 품질관리 및 관리운영(백업/복구 및 장애대응 등) 방안의 구체성 및 적정성</t>
  </si>
  <si>
    <t>소나큐브</t>
  </si>
  <si>
    <t>제약사항</t>
  </si>
  <si>
    <t>- 목표 시스템 설계·구현·운영 관련 기술표준, 웹접근성, 개인정보보호, 감리대응 등 제약준수를 위한 계획수립 및 테스트 방안 구체성</t>
  </si>
  <si>
    <t>프로젝트 관리 및 지원
(15)</t>
  </si>
  <si>
    <t>프로젝트 관리 및 일정계획</t>
  </si>
  <si>
    <t>- 사업추진에 적합한 수행체계 구성 여부
 - 위험관리, 자원관리, 진도관리, 보안관리 형상관리, 문서관리 방안의 적정성
 - 세부활동 도출 및 기간의 타당성
 - 사업수행 조직 및 수행인력 구성의 적합성</t>
  </si>
  <si>
    <t>조직도, 인력배치 강조 필요
MSA는 일반적인 조직구성으론 안됨 -&gt; 분야별 전문가로 구성했음</t>
  </si>
  <si>
    <t>교육훈련 및 
하자보수
계획</t>
  </si>
  <si>
    <t>- 시스템 이용대상자별 교육훈련 방법, 내용, 일정의 적정성
 - 지원 일정, 지원 체계, 일정의 적정성
 - 시스템의 안정적 운영을 위해 장애대책 방안의 적정성</t>
  </si>
  <si>
    <t>하도급
(5)</t>
  </si>
  <si>
    <t>하도급
계획의 적정성</t>
  </si>
  <si>
    <t>- 「소프트웨어진흥법령」에 따라 입찰 시 제출한 [서식11]의 소프트웨어사업 하도급 계획서에서 하도급에 참가하는 자의 하도급 금액 비율, 하도급 계약금액 비율이 본 사업의 규모, 목적 및 특성 등을 고려하여 적정한지 평가
- 다만, 하도급을 하지 않는 경우 또는 하도급 금액 비율이 100분의 10이하이면서 「하도급공정화에 관한 법률」제3조의2에 따른 소프트웨어사업 표준하도급계약서를 활용할 계획이 있는 자는 최고등급을 부여</t>
  </si>
  <si>
    <t>넥스트리, 유니에스 하도급 내용 설명</t>
  </si>
  <si>
    <t>MSA 에 대한 친절한 설명
예시 설명 필요</t>
  </si>
  <si>
    <t>RMS 에 대한 친절한 설명</t>
  </si>
  <si>
    <t>Headless CMS 에 대한 친절한 설명</t>
  </si>
  <si>
    <t>Dev/Ops 에 대한 설명</t>
  </si>
  <si>
    <t>데이터 표준 관련 더블린코어 에 대한 설명</t>
  </si>
  <si>
    <t>추진단계</t>
  </si>
  <si>
    <t>M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</si>
  <si>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</si>
  <si>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</si>
  <si>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</si>
  <si>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</si>
  <si>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</si>
  <si>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</si>
  <si>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</si>
  <si>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</si>
  <si>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</si>
  <si>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</si>
  <si>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디지털관광자원 관리시스템 구축 및 운영</t>
  </si>
  <si>
    <t>- 표준관리체계 수립</t>
  </si>
  <si>
    <t>- 환경구축 (클라우드 인프라)</t>
  </si>
  <si>
    <t>- 시스템 개발</t>
  </si>
  <si>
    <t>- 데이터 이관 및 서비스 연계</t>
  </si>
  <si>
    <t>- 매뉴얼 제작 및 활용 교육</t>
  </si>
  <si>
    <t>- 시범서비스 및 홍보 지원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</si>
  <si>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</si>
  <si>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세부내역</t>
  </si>
  <si>
    <t>투입공수</t>
  </si>
  <si>
    <t>담당</t>
  </si>
  <si>
    <t>금액</t>
  </si>
  <si>
    <t>배정금액</t>
  </si>
  <si>
    <t>Task</t>
  </si>
  <si>
    <t>성명</t>
  </si>
  <si>
    <t>등급</t>
  </si>
  <si>
    <t>8월</t>
  </si>
  <si>
    <t>9월</t>
  </si>
  <si>
    <t>10월</t>
  </si>
  <si>
    <t>11월</t>
  </si>
  <si>
    <t>12월</t>
  </si>
  <si>
    <t>1월</t>
  </si>
  <si>
    <t>2월</t>
  </si>
  <si>
    <t>3월</t>
  </si>
  <si>
    <t>4월</t>
  </si>
  <si>
    <t>5월</t>
  </si>
  <si>
    <t>계</t>
  </si>
  <si>
    <t>단가</t>
  </si>
  <si>
    <t>개발비</t>
  </si>
  <si>
    <t>MSA기반수립</t>
  </si>
  <si>
    <t>총괄</t>
  </si>
  <si>
    <t>총괄PM</t>
  </si>
  <si>
    <t>사업관리 총괄</t>
  </si>
  <si>
    <t>RMS개발</t>
  </si>
  <si>
    <t xml:space="preserve">MSA
설계/구축
</t>
  </si>
  <si>
    <t>모델링</t>
  </si>
  <si>
    <t>MS설계</t>
  </si>
  <si>
    <t>운영비</t>
  </si>
  <si>
    <t>데이터 이관</t>
  </si>
  <si>
    <t>RMS</t>
  </si>
  <si>
    <t>RMS모델링</t>
  </si>
  <si>
    <t>기존 시스템 연계</t>
  </si>
  <si>
    <t>연계서비스 개발(VK/대구석)</t>
  </si>
  <si>
    <t>정보자원체계수립</t>
  </si>
  <si>
    <t>클라우드</t>
  </si>
  <si>
    <t>시각화</t>
  </si>
  <si>
    <t>시스템운영</t>
  </si>
  <si>
    <t>소계</t>
  </si>
  <si>
    <t>인프라</t>
  </si>
  <si>
    <t>H/W</t>
  </si>
  <si>
    <t>RMS구축</t>
  </si>
  <si>
    <t>PM</t>
  </si>
  <si>
    <t>Project Management, 이슈 관리, TOBE 전략, 커뮤니케이션</t>
  </si>
  <si>
    <t>S/W</t>
  </si>
  <si>
    <t>검색/보안/암.복호화/</t>
  </si>
  <si>
    <t>기획PL</t>
  </si>
  <si>
    <t>ASIS 분석, TOBE 전략, 정책 정의, 화면 정의, 컨텐츠 기획, 컴포넌트 정의, CMS 및 개발 커뮤니케이션</t>
  </si>
  <si>
    <t>기획</t>
  </si>
  <si>
    <t>ASIS 분석, TOBE 전략, IA, Structure, IA, 템플릿 및 컴포넌트 설계, Wireframe</t>
  </si>
  <si>
    <t>사용자 분석, 매뉴얼 작성, User Flow 설계, 컨텐츠 기획, Wireframe</t>
  </si>
  <si>
    <t>디자인PL</t>
  </si>
  <si>
    <t>Prototype, Layout Design, 매뉴얼 디자인</t>
  </si>
  <si>
    <t>디자인</t>
  </si>
  <si>
    <t>서브페이지 디자인</t>
  </si>
  <si>
    <t>퍼블PL</t>
  </si>
  <si>
    <t>Markup, CMS Publishing, HTML Guide, Motion Guide, HTML Coding</t>
  </si>
  <si>
    <t>퍼블</t>
  </si>
  <si>
    <t>HTML Coding</t>
  </si>
  <si>
    <t>개발PL</t>
  </si>
  <si>
    <t>Technical Director, ASIS 분석, TOBE 전략, 정책 정의, 기능 정의, 개발소스 정의, 내부 개발 커뮤니케이션</t>
  </si>
  <si>
    <t>개발</t>
  </si>
  <si>
    <t>DB 현황 분석, 마이그레이션 계획 및 진행</t>
  </si>
  <si>
    <t>CMS 화면 개발</t>
  </si>
  <si>
    <t>데이터
이관/
연계</t>
  </si>
  <si>
    <t>연계</t>
  </si>
  <si>
    <t>공사 연계 지원 작업</t>
  </si>
  <si>
    <t>대구석 시스템 연계</t>
  </si>
  <si>
    <t>이관</t>
  </si>
  <si>
    <t>콘텐츠 개발 전문가</t>
  </si>
  <si>
    <t>관광정보 전문가</t>
  </si>
  <si>
    <t>자원체계
수립</t>
  </si>
  <si>
    <t>표준화작업</t>
  </si>
  <si>
    <t>학계 전문가</t>
  </si>
  <si>
    <t>데이터/시스템 전문가</t>
  </si>
  <si>
    <t>표준화 전문가</t>
  </si>
  <si>
    <t>HW</t>
  </si>
  <si>
    <t>SW</t>
  </si>
  <si>
    <t>총합계(부가세포함)</t>
  </si>
  <si>
    <t>현안 및 의견</t>
  </si>
  <si>
    <t>분석점</t>
  </si>
  <si>
    <t>공사 웹 앱 어플리케이션을 위해 생산되는 디지털 콘텐츠의 통합 아카이빙 매니지
먼트를 기본기능으로 하되 , 개발자와 콘텐츠크리에이터가 모두 편리하게 활용할
수 있고 , 옴니채널 마케팅과 고도화된 웹서비스에 대응할 수 있는 높은 자유도가 보
장된 CMS 필요</t>
  </si>
  <si>
    <t>• 강력하고 충실한 기본 기능 중심의 관리시스템 구축
• 위지윅 방식을 채택하여 최소 학습으로 운영 가능하도록 구축
• API 적용도 설정 방식으로 구현 가능하도록 추진</t>
  </si>
  <si>
    <t>관광정보 DB 개방성과가 경영목표에도 들어가 있으며 중요하다 . POI 정보 이외에
사진 영상 콘텐츠도 표준화시켜서 지자체 , 업계 개방실적을 늘리는 것이 필요</t>
  </si>
  <si>
    <t>• 개방을 원할 경우 , 별도의 협의와 절차 없이 개방 가능 하도록 구축
• 관리시스템에 등록되는 모든 콘텐츠는 일정 형식과 규격을 지정하여 표준화 추진</t>
  </si>
  <si>
    <t>너무 많은 부서들이 사진 영상 콘텐츠를 쏟아내고 있는데 담을 수 있는 그릇이 없
음 . 사용권한이 명료하게 보이는 플랫폼을 구축하여 예산의 비효율 절감해야 함</t>
  </si>
  <si>
    <t>• 미정제 콘텐츠 등록  콘텐츠 정제화  개방 여부 설정 순으로 진행
• 저작권 명시를 통해 저작권 유형별로 검색 가능하도록 구현
• 모든 콘텐츠를 웹 서비스 (API) 방식으로 활용하도록 하여 사용처 콘텐츠를 활용하
는 곳 를 실시간으로 관제하도록 구축</t>
  </si>
  <si>
    <t>POI 를 지자체들도 참여하여 수정할 수 있으면 좋겠다는 의견이 있음</t>
  </si>
  <si>
    <t>• 지자체 /RTO, 관광기업 , 일반인 등 일정 자격을 갖춘 참여자들이 이용하도록 개방
화 추진</t>
  </si>
  <si>
    <t>콘텐츠에 대한 기존 사내에서의 담론은 광범위하였으나 , DX 측면에서 디지털 콘텐
츠에 한정해야 함 . 디지털콘텐츠만 해도 사진 , 영상의 양적 폭발과 함께 질적 경쟁
력의 제고를 요구받고 있을 뿐 아니라 , AI 시대를 맞아 TourAPI 를 통해 개방하는 데
이터의 양과 질 모두 대폭 혁신을 요구받을 것임</t>
  </si>
  <si>
    <t>• 디지털 콘텐츠에 한해 등록 관리되도록 추진
• 사진 뷰어 , 동영상 플레이어 직접 제공 여부 검토
• 데이터 분석에 친화적인 구조로 구축
• 모든 콘텐츠가 반드시 API 를 통해 제공되도록 구현</t>
  </si>
  <si>
    <t>CEO의 관점은 디지털콘텐츠의 자체생산뿐 아니라 플랫폼 비즈니스까지 염두에 두
고 있으며 쉽진 않지만 바람직한 방향이라고 봄</t>
  </si>
  <si>
    <t>• 향후 관광자원거래소와의 연계성을 염두에 두고 설계 추진
• RMS 에 의해 콘텐츠를 직접 생산하지 않더라도 콘텐츠를 수집 유통할 수 있는 순
환구조 구축</t>
  </si>
  <si>
    <t>VK단일 어플리케이션만을 위한 솔루션기반의 CMS 로 운영되고 있다는 점 . 관리자
가 내용 텍스트와 이미지 수준의 콘텐츠 를 입력하면 그대로 서비스사용자 view 로
presentation 되는 편집기 기능으로 웹 1.0 시절의 컨셉에는 맞으나 , 동적 웹과 같이
브라우저 자체에서 데이터분석 , 편집 , 디자인을 자동화할 수 있는 최근의 프론트엔
드 프레임워크에서 사용하긴 더욱 어려움</t>
  </si>
  <si>
    <t>• 콘텐츠 관리 기능을 마이크로서비스로 작동되도록 구축
• 관광콘텐츠에 특화된 에디터 개발 추진
• UI( 템플릿 ) 관리 기능을 분리하여 구축</t>
  </si>
  <si>
    <t>1. 인력투입  상세 정보</t>
  </si>
  <si>
    <t>구       분</t>
  </si>
  <si>
    <t>견적단가</t>
  </si>
  <si>
    <t>견적등급</t>
  </si>
  <si>
    <t>직급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</si>
  <si>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</si>
  <si>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</si>
  <si>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</si>
  <si>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</si>
  <si>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</si>
  <si>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</si>
  <si>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</si>
  <si>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</si>
  <si>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</si>
  <si>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</si>
  <si>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합 계</t>
  </si>
  <si>
    <t>견적금액</t>
  </si>
  <si>
    <t>공통</t>
  </si>
  <si>
    <t>아키텍트</t>
  </si>
  <si>
    <t>PMO</t>
  </si>
  <si>
    <t>고급개발자</t>
  </si>
  <si>
    <t>MSA아키텍트</t>
  </si>
  <si>
    <t>도메인 모델링</t>
  </si>
  <si>
    <t>Dev/Ops</t>
  </si>
  <si>
    <t>퍼블리싱</t>
  </si>
  <si>
    <t>중급개발자</t>
  </si>
  <si>
    <t>CMS 구축</t>
  </si>
  <si>
    <t>서비스 개발1팀</t>
  </si>
  <si>
    <t>특급개발자</t>
  </si>
  <si>
    <t>초급개발자</t>
  </si>
  <si>
    <t>2. 클라우드 인프라</t>
  </si>
  <si>
    <t>KT 틀라우드</t>
  </si>
  <si>
    <t>개발환경</t>
  </si>
  <si>
    <t>운영환경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</si>
</sst>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0.0"/>
    <numFmt numFmtId="166" formatCode="m&quot;/&quot;d"/>
    <numFmt numFmtId="167" formatCode="#,##0.0"/>
    <numFmt numFmtId="168" formatCode="##0.0"/>
    <numFmt numFmtId="169" formatCode="0.00_ "/>
    <numFmt numFmtId="170" formatCode="#,###"/>
    <numFmt numFmtId="171" formatCode="#,##0.0_ "/>
  </numFmts>
  <fonts count="48">
    <font>
      <sz val="10.0"/>
      <color rgb="FF000000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color theme="1"/>
      <name val="Calibri"/>
      <scheme val="minor"/>
    </font>
    <font>
      <b/>
      <color theme="1"/>
      <name val="Calibri"/>
      <scheme val="minor"/>
    </font>
    <font>
      <b/>
      <sz val="13.0"/>
      <color rgb="FF000000"/>
      <name val="나눔고딕"/>
    </font>
    <font>
      <b/>
      <sz val="10.0"/>
      <color rgb="FF000000"/>
      <name val="나눔고딕"/>
    </font>
    <font>
      <sz val="10.0"/>
      <color rgb="FF000000"/>
      <name val="나눔고딕"/>
    </font>
    <font>
      <b/>
      <sz val="10.0"/>
      <color rgb="FFFFFFFF"/>
      <name val="나눔고딕"/>
    </font>
    <font>
      <sz val="11.0"/>
      <color rgb="FF000000"/>
      <name val="맑은 고딕"/>
    </font>
    <font>
      <b/>
      <sz val="14.0"/>
      <color rgb="FF000000"/>
      <name val="맑은 고딕"/>
    </font>
    <font>
      <b/>
      <sz val="10.0"/>
      <color rgb="FFFFFFFF"/>
      <name val="맑은 고딕"/>
    </font>
    <font>
      <sz val="10.0"/>
      <color rgb="FF000000"/>
      <name val="맑은 고딕"/>
    </font>
    <font>
      <b/>
      <sz val="10.0"/>
      <color rgb="FFFF0000"/>
      <name val="맑은 고딕"/>
    </font>
    <font>
      <b/>
      <sz val="10.0"/>
      <color rgb="FF000000"/>
      <name val="맑은 고딕"/>
    </font>
    <font>
      <b/>
      <sz val="10.0"/>
      <color rgb="FF548DD4"/>
      <name val="맑은 고딕"/>
    </font>
    <font>
      <b/>
      <sz val="10.0"/>
      <color rgb="FF0000FF"/>
      <name val="맑은 고딕"/>
    </font>
    <font>
      <b/>
      <color theme="1"/>
      <name val="&quot;맑은 고딕&quot;"/>
    </font>
    <font>
      <color theme="1"/>
      <name val="&quot;맑은 고딕&quot;"/>
    </font>
    <font>
      <sz val="11.0"/>
      <color theme="1"/>
      <name val="굴림체"/>
    </font>
    <font>
      <u/>
      <color rgb="FF1155CC"/>
    </font>
    <font>
      <b/>
      <sz val="12.0"/>
      <color theme="1"/>
      <name val="한양중고딕"/>
    </font>
    <font>
      <b/>
      <sz val="8.0"/>
      <color theme="1"/>
      <name val="한양중고딕"/>
    </font>
    <font>
      <color theme="1"/>
      <name val="한양중고딕"/>
    </font>
    <font>
      <b/>
      <sz val="11.0"/>
      <color theme="1"/>
      <name val="Calibri"/>
      <scheme val="minor"/>
    </font>
    <font>
      <sz val="10.0"/>
      <color theme="1"/>
      <name val="Calibri"/>
      <scheme val="minor"/>
    </font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0.0"/>
      <color theme="1"/>
      <name val="Calibri"/>
      <scheme val="minor"/>
    </font>
    <font>
      <sz val="9.0"/>
      <color theme="1"/>
      <name val="나눔명조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Dotum"/>
    </font>
    <font>
      <sz val="11.0"/>
      <color theme="1"/>
      <name val="Dotum"/>
    </font>
    <font>
      <sz val="11.0"/>
      <color theme="1"/>
      <name val="나눔명조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7F7F7F"/>
        <bgColor rgb="FF7F7F7F"/>
      </patternFill>
    </fill>
    <fill>
      <patternFill patternType="solid">
        <fgColor rgb="FFE6EEF7"/>
        <bgColor rgb="FFE6EEF7"/>
      </patternFill>
    </fill>
    <fill>
      <patternFill patternType="solid">
        <fgColor rgb="FFB2B2B2"/>
        <bgColor rgb="FFB2B2B2"/>
      </patternFill>
    </fill>
    <fill>
      <patternFill patternType="solid">
        <fgColor rgb="FFE5E5E5"/>
        <bgColor rgb="FFE5E5E5"/>
      </patternFill>
    </fill>
    <fill>
      <patternFill patternType="solid">
        <fgColor rgb="FFA0BEE0"/>
        <bgColor rgb="FFA0BEE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</fills>
  <borders count="4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 readingOrder="0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0" fontId="16" numFmtId="0" xfId="0" applyAlignment="1" applyFont="1">
      <alignment horizontal="center" shrinkToFit="0" wrapText="1"/>
    </xf>
    <xf borderId="0" fillId="0" fontId="16" numFmtId="0" xfId="0" applyAlignment="1" applyFont="1">
      <alignment shrinkToFit="0" wrapText="1"/>
    </xf>
    <xf borderId="12" fillId="6" fontId="17" numFmtId="0" xfId="0" applyAlignment="1" applyBorder="1" applyFill="1" applyFont="1">
      <alignment horizontal="center" readingOrder="0" shrinkToFit="0" wrapText="1"/>
    </xf>
    <xf borderId="12" fillId="0" fontId="16" numFmtId="0" xfId="0" applyAlignment="1" applyBorder="1" applyFont="1">
      <alignment horizontal="center" readingOrder="0" shrinkToFit="0" vertical="center" wrapText="1"/>
    </xf>
    <xf borderId="12" fillId="0" fontId="16" numFmtId="0" xfId="0" applyAlignment="1" applyBorder="1" applyFont="1">
      <alignment readingOrder="0" shrinkToFit="0" vertical="center" wrapText="1"/>
    </xf>
    <xf borderId="12" fillId="0" fontId="16" numFmtId="0" xfId="0" applyAlignment="1" applyBorder="1" applyFont="1">
      <alignment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readingOrder="0" shrinkToFit="0" vertical="center" wrapText="0"/>
    </xf>
    <xf borderId="20" fillId="0" fontId="3" numFmtId="0" xfId="0" applyBorder="1" applyFont="1"/>
    <xf borderId="12" fillId="7" fontId="19" numFmtId="0" xfId="0" applyAlignment="1" applyBorder="1" applyFill="1" applyFont="1">
      <alignment horizontal="left" shrinkToFit="0" vertical="center" wrapText="0"/>
    </xf>
    <xf borderId="12" fillId="7" fontId="19" numFmtId="0" xfId="0" applyAlignment="1" applyBorder="1" applyFont="1">
      <alignment shrinkToFit="0" vertical="center" wrapText="0"/>
    </xf>
    <xf borderId="12" fillId="7" fontId="19" numFmtId="49" xfId="0" applyAlignment="1" applyBorder="1" applyFont="1" applyNumberFormat="1">
      <alignment horizontal="center" readingOrder="0" shrinkToFit="0" vertical="center" wrapText="0"/>
    </xf>
    <xf borderId="12" fillId="7" fontId="19" numFmtId="0" xfId="0" applyAlignment="1" applyBorder="1" applyFont="1">
      <alignment horizontal="center" shrinkToFit="0" vertical="center" wrapText="0"/>
    </xf>
    <xf borderId="12" fillId="7" fontId="19" numFmtId="0" xfId="0" applyAlignment="1" applyBorder="1" applyFont="1">
      <alignment horizontal="center" readingOrder="0" shrinkToFit="0" vertical="center" wrapText="0"/>
    </xf>
    <xf borderId="17" fillId="8" fontId="19" numFmtId="0" xfId="0" applyAlignment="1" applyBorder="1" applyFill="1" applyFont="1">
      <alignment horizontal="right" shrinkToFit="0" vertical="center" wrapText="1"/>
    </xf>
    <xf borderId="19" fillId="8" fontId="19" numFmtId="0" xfId="0" applyAlignment="1" applyBorder="1" applyFont="1">
      <alignment readingOrder="0" shrinkToFit="0" vertical="center" wrapText="1"/>
    </xf>
    <xf borderId="12" fillId="8" fontId="19" numFmtId="49" xfId="0" applyAlignment="1" applyBorder="1" applyFont="1" applyNumberFormat="1">
      <alignment shrinkToFit="0" vertical="center" wrapText="1"/>
    </xf>
    <xf borderId="12" fillId="8" fontId="20" numFmtId="9" xfId="0" applyAlignment="1" applyBorder="1" applyFont="1" applyNumberFormat="1">
      <alignment shrinkToFit="0" vertical="center" wrapText="1"/>
    </xf>
    <xf borderId="12" fillId="8" fontId="20" numFmtId="0" xfId="0" applyAlignment="1" applyBorder="1" applyFont="1">
      <alignment readingOrder="0" shrinkToFit="0" vertical="center" wrapText="1"/>
    </xf>
    <xf borderId="12" fillId="8" fontId="20" numFmtId="0" xfId="0" applyAlignment="1" applyBorder="1" applyFont="1">
      <alignment horizontal="center" readingOrder="0" shrinkToFit="0" vertical="center" wrapText="1"/>
    </xf>
    <xf borderId="12" fillId="8" fontId="20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0"/>
    </xf>
    <xf borderId="17" fillId="0" fontId="20" numFmtId="0" xfId="0" applyAlignment="1" applyBorder="1" applyFont="1">
      <alignment horizontal="right" shrinkToFit="0" vertical="center" wrapText="1"/>
    </xf>
    <xf borderId="19" fillId="0" fontId="20" numFmtId="0" xfId="0" applyAlignment="1" applyBorder="1" applyFont="1">
      <alignment readingOrder="0" shrinkToFit="0" vertical="center" wrapText="1"/>
    </xf>
    <xf borderId="12" fillId="0" fontId="20" numFmtId="49" xfId="0" applyAlignment="1" applyBorder="1" applyFont="1" applyNumberFormat="1">
      <alignment readingOrder="0" shrinkToFit="0" vertical="center" wrapText="1"/>
    </xf>
    <xf borderId="12" fillId="0" fontId="20" numFmtId="9" xfId="0" applyAlignment="1" applyBorder="1" applyFont="1" applyNumberFormat="1">
      <alignment readingOrder="0" shrinkToFit="0" vertical="center" wrapText="1"/>
    </xf>
    <xf borderId="12" fillId="0" fontId="20" numFmtId="0" xfId="0" applyAlignment="1" applyBorder="1" applyFont="1">
      <alignment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21" fillId="8" fontId="19" numFmtId="0" xfId="0" applyAlignment="1" applyBorder="1" applyFont="1">
      <alignment readingOrder="0" shrinkToFit="0" vertical="center" wrapText="1"/>
    </xf>
    <xf borderId="12" fillId="8" fontId="20" numFmtId="0" xfId="0" applyAlignment="1" applyBorder="1" applyFont="1">
      <alignment shrinkToFit="0" vertical="center" wrapText="1"/>
    </xf>
    <xf borderId="12" fillId="0" fontId="20" numFmtId="9" xfId="0" applyAlignment="1" applyBorder="1" applyFont="1" applyNumberFormat="1">
      <alignment shrinkToFit="0" vertical="center" wrapText="1"/>
    </xf>
    <xf borderId="12" fillId="0" fontId="20" numFmtId="0" xfId="0" applyAlignment="1" applyBorder="1" applyFont="1">
      <alignment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9" fillId="0" fontId="20" numFmtId="0" xfId="0" applyAlignment="1" applyBorder="1" applyFont="1">
      <alignment horizontal="left" readingOrder="0" shrinkToFit="0" vertical="center" wrapText="1"/>
    </xf>
    <xf borderId="19" fillId="4" fontId="20" numFmtId="0" xfId="0" applyAlignment="1" applyBorder="1" applyFont="1">
      <alignment horizontal="left" readingOrder="0" shrinkToFit="0" vertical="center" wrapText="1"/>
    </xf>
    <xf borderId="12" fillId="4" fontId="20" numFmtId="0" xfId="0" applyAlignment="1" applyBorder="1" applyFont="1">
      <alignment horizontal="center" readingOrder="0" shrinkToFit="0" vertical="center" wrapText="1"/>
    </xf>
    <xf borderId="12" fillId="4" fontId="20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left" shrinkToFit="0" vertical="center" wrapText="1"/>
    </xf>
    <xf borderId="19" fillId="0" fontId="19" numFmtId="0" xfId="0" applyAlignment="1" applyBorder="1" applyFont="1">
      <alignment readingOrder="0" shrinkToFit="0" vertical="center" wrapText="1"/>
    </xf>
    <xf borderId="19" fillId="0" fontId="19" numFmtId="0" xfId="0" applyAlignment="1" applyBorder="1" applyFont="1">
      <alignment horizontal="left" readingOrder="0" shrinkToFit="0" vertical="center" wrapText="1"/>
    </xf>
    <xf borderId="17" fillId="0" fontId="20" numFmtId="0" xfId="0" applyAlignment="1" applyBorder="1" applyFont="1">
      <alignment horizontal="left" shrinkToFit="0" vertical="center" wrapText="1"/>
    </xf>
    <xf borderId="12" fillId="0" fontId="20" numFmtId="49" xfId="0" applyAlignment="1" applyBorder="1" applyFont="1" applyNumberFormat="1">
      <alignment horizontal="left" readingOrder="0" shrinkToFit="0" vertical="center" wrapText="1"/>
    </xf>
    <xf borderId="0" fillId="0" fontId="20" numFmtId="0" xfId="0" applyAlignment="1" applyFont="1">
      <alignment horizontal="left" shrinkToFit="0" vertical="center" wrapText="0"/>
    </xf>
    <xf borderId="17" fillId="8" fontId="19" numFmtId="0" xfId="0" applyAlignment="1" applyBorder="1" applyFont="1">
      <alignment horizontal="right" readingOrder="0" shrinkToFit="0" vertical="center" wrapText="1"/>
    </xf>
    <xf borderId="12" fillId="8" fontId="20" numFmtId="49" xfId="0" applyAlignment="1" applyBorder="1" applyFont="1" applyNumberFormat="1">
      <alignment shrinkToFit="0" vertical="center" wrapText="1"/>
    </xf>
    <xf borderId="12" fillId="8" fontId="20" numFmtId="9" xfId="0" applyAlignment="1" applyBorder="1" applyFont="1" applyNumberFormat="1">
      <alignment readingOrder="0" shrinkToFit="0" vertical="center" wrapText="1"/>
    </xf>
    <xf borderId="17" fillId="9" fontId="21" numFmtId="0" xfId="0" applyAlignment="1" applyBorder="1" applyFill="1" applyFont="1">
      <alignment horizontal="center" shrinkToFit="0" vertical="center" wrapText="1"/>
    </xf>
    <xf borderId="12" fillId="9" fontId="21" numFmtId="9" xfId="0" applyAlignment="1" applyBorder="1" applyFont="1" applyNumberFormat="1">
      <alignment shrinkToFit="0" vertical="center" wrapText="1"/>
    </xf>
    <xf borderId="12" fillId="9" fontId="21" numFmtId="0" xfId="0" applyAlignment="1" applyBorder="1" applyFont="1">
      <alignment shrinkToFit="0" vertical="center" wrapText="1"/>
    </xf>
    <xf borderId="12" fillId="9" fontId="21" numFmtId="0" xfId="0" applyAlignment="1" applyBorder="1" applyFont="1">
      <alignment horizontal="center" shrinkToFit="0" vertical="center" wrapText="1"/>
    </xf>
    <xf borderId="12" fillId="9" fontId="21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right"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49" xfId="0" applyAlignment="1" applyFont="1" applyNumberFormat="1">
      <alignment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readingOrder="0" shrinkToFit="0" vertical="center" wrapText="1"/>
    </xf>
    <xf borderId="0" fillId="0" fontId="22" numFmtId="0" xfId="0" applyAlignment="1" applyFont="1">
      <alignment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22" fillId="9" fontId="24" numFmtId="0" xfId="0" applyAlignment="1" applyBorder="1" applyFont="1">
      <alignment horizontal="center" shrinkToFit="0" vertical="center" wrapText="0"/>
    </xf>
    <xf borderId="23" fillId="9" fontId="24" numFmtId="0" xfId="0" applyAlignment="1" applyBorder="1" applyFont="1">
      <alignment horizontal="center" shrinkToFit="0" vertical="center" wrapText="0"/>
    </xf>
    <xf borderId="24" fillId="9" fontId="24" numFmtId="0" xfId="0" applyAlignment="1" applyBorder="1" applyFont="1">
      <alignment horizontal="center" readingOrder="0" shrinkToFit="0" vertical="center" wrapText="0"/>
    </xf>
    <xf borderId="25" fillId="0" fontId="25" numFmtId="0" xfId="0" applyAlignment="1" applyBorder="1" applyFont="1">
      <alignment horizontal="left" readingOrder="0" shrinkToFit="0" vertical="top" wrapText="1"/>
    </xf>
    <xf borderId="26" fillId="0" fontId="26" numFmtId="0" xfId="0" applyAlignment="1" applyBorder="1" applyFont="1">
      <alignment readingOrder="0" shrinkToFit="0" vertical="center" wrapText="0"/>
    </xf>
    <xf borderId="26" fillId="0" fontId="27" numFmtId="0" xfId="0" applyAlignment="1" applyBorder="1" applyFont="1">
      <alignment readingOrder="0" shrinkToFit="0" vertical="center" wrapText="0"/>
    </xf>
    <xf borderId="26" fillId="0" fontId="28" numFmtId="0" xfId="0" applyAlignment="1" applyBorder="1" applyFont="1">
      <alignment readingOrder="0" shrinkToFit="0" vertical="center" wrapText="0"/>
    </xf>
    <xf borderId="27" fillId="0" fontId="25" numFmtId="0" xfId="0" applyAlignment="1" applyBorder="1" applyFont="1">
      <alignment horizontal="left" readingOrder="0" shrinkToFit="0" vertical="top" wrapText="1"/>
    </xf>
    <xf borderId="28" fillId="0" fontId="3" numFmtId="0" xfId="0" applyBorder="1" applyFont="1"/>
    <xf borderId="26" fillId="0" fontId="25" numFmtId="0" xfId="0" applyAlignment="1" applyBorder="1" applyFont="1">
      <alignment readingOrder="0" shrinkToFit="0" vertical="center" wrapText="0"/>
    </xf>
    <xf borderId="26" fillId="0" fontId="29" numFmtId="0" xfId="0" applyAlignment="1" applyBorder="1" applyFont="1">
      <alignment readingOrder="0" shrinkToFit="0" vertical="center" wrapText="0"/>
    </xf>
    <xf borderId="29" fillId="0" fontId="3" numFmtId="0" xfId="0" applyBorder="1" applyFont="1"/>
    <xf borderId="12" fillId="0" fontId="26" numFmtId="0" xfId="0" applyAlignment="1" applyBorder="1" applyFont="1">
      <alignment readingOrder="0" shrinkToFit="0" vertical="center" wrapText="0"/>
    </xf>
    <xf borderId="12" fillId="0" fontId="27" numFmtId="0" xfId="0" applyAlignment="1" applyBorder="1" applyFont="1">
      <alignment readingOrder="0" shrinkToFit="0" vertical="center" wrapText="0"/>
    </xf>
    <xf borderId="12" fillId="0" fontId="28" numFmtId="0" xfId="0" applyAlignment="1" applyBorder="1" applyFont="1">
      <alignment readingOrder="0" shrinkToFit="0" vertical="center" wrapText="0"/>
    </xf>
    <xf borderId="30" fillId="0" fontId="25" numFmtId="0" xfId="0" applyAlignment="1" applyBorder="1" applyFont="1">
      <alignment horizontal="left" readingOrder="0" shrinkToFit="0" vertical="top" wrapText="1"/>
    </xf>
    <xf borderId="0" fillId="0" fontId="22" numFmtId="0" xfId="0" applyAlignment="1" applyFont="1">
      <alignment horizontal="left" shrinkToFit="0" vertical="top" wrapText="0"/>
    </xf>
    <xf borderId="12" fillId="0" fontId="25" numFmtId="0" xfId="0" applyAlignment="1" applyBorder="1" applyFont="1">
      <alignment horizontal="left" shrinkToFit="0" vertical="top" wrapText="0"/>
    </xf>
    <xf borderId="12" fillId="0" fontId="25" numFmtId="0" xfId="0" applyAlignment="1" applyBorder="1" applyFont="1">
      <alignment horizontal="left" readingOrder="0" shrinkToFit="0" vertical="top" wrapText="0"/>
    </xf>
    <xf borderId="12" fillId="0" fontId="29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top" wrapText="0"/>
    </xf>
    <xf borderId="12" fillId="0" fontId="27" numFmtId="164" xfId="0" applyAlignment="1" applyBorder="1" applyFont="1" applyNumberFormat="1">
      <alignment readingOrder="0" shrinkToFit="0" vertical="center" wrapText="0"/>
    </xf>
    <xf borderId="12" fillId="0" fontId="25" numFmtId="0" xfId="0" applyAlignment="1" applyBorder="1" applyFont="1">
      <alignment horizontal="left" readingOrder="0" shrinkToFit="0" vertical="top" wrapText="1"/>
    </xf>
    <xf borderId="31" fillId="9" fontId="24" numFmtId="0" xfId="0" applyAlignment="1" applyBorder="1" applyFont="1">
      <alignment horizontal="center" readingOrder="0" shrinkToFit="0" vertical="center" wrapText="0"/>
    </xf>
    <xf borderId="28" fillId="0" fontId="25" numFmtId="0" xfId="0" applyAlignment="1" applyBorder="1" applyFont="1">
      <alignment horizontal="left" readingOrder="0" shrinkToFit="0" vertical="top" wrapText="1"/>
    </xf>
    <xf borderId="12" fillId="0" fontId="26" numFmtId="164" xfId="0" applyAlignment="1" applyBorder="1" applyFont="1" applyNumberFormat="1">
      <alignment readingOrder="0" shrinkToFit="0" vertical="center" wrapText="0"/>
    </xf>
    <xf borderId="32" fillId="0" fontId="3" numFmtId="0" xfId="0" applyBorder="1" applyFont="1"/>
    <xf borderId="12" fillId="0" fontId="25" numFmtId="0" xfId="0" applyAlignment="1" applyBorder="1" applyFont="1">
      <alignment horizontal="left" shrinkToFit="0" vertical="top" wrapText="1"/>
    </xf>
    <xf borderId="12" fillId="0" fontId="27" numFmtId="0" xfId="0" applyAlignment="1" applyBorder="1" applyFont="1">
      <alignment horizontal="left" readingOrder="0" shrinkToFit="0" vertical="top" wrapText="1"/>
    </xf>
    <xf borderId="12" fillId="0" fontId="26" numFmtId="0" xfId="0" applyAlignment="1" applyBorder="1" applyFont="1">
      <alignment horizontal="left" readingOrder="0" shrinkToFit="0" vertical="top" wrapText="1"/>
    </xf>
    <xf borderId="31" fillId="9" fontId="24" numFmtId="0" xfId="0" applyAlignment="1" applyBorder="1" applyFont="1">
      <alignment horizontal="center" shrinkToFit="0" vertical="center" wrapText="0"/>
    </xf>
    <xf borderId="12" fillId="0" fontId="27" numFmtId="0" xfId="0" applyAlignment="1" applyBorder="1" applyFont="1">
      <alignment horizontal="left" readingOrder="0" shrinkToFit="0" vertical="center" wrapText="1"/>
    </xf>
    <xf borderId="12" fillId="0" fontId="26" numFmtId="0" xfId="0" applyAlignment="1" applyBorder="1" applyFont="1">
      <alignment horizontal="left" readingOrder="0" shrinkToFit="0" vertical="center" wrapText="1"/>
    </xf>
    <xf borderId="12" fillId="0" fontId="28" numFmtId="0" xfId="0" applyAlignment="1" applyBorder="1" applyFont="1">
      <alignment shrinkToFit="0" vertical="center" wrapText="0"/>
    </xf>
    <xf borderId="30" fillId="0" fontId="25" numFmtId="0" xfId="0" applyAlignment="1" applyBorder="1" applyFont="1">
      <alignment horizontal="left" shrinkToFit="0" vertical="center" wrapText="0"/>
    </xf>
    <xf borderId="33" fillId="0" fontId="3" numFmtId="0" xfId="0" applyBorder="1" applyFont="1"/>
    <xf borderId="34" fillId="0" fontId="25" numFmtId="0" xfId="0" applyAlignment="1" applyBorder="1" applyFont="1">
      <alignment horizontal="left" shrinkToFit="0" vertical="top" wrapText="0"/>
    </xf>
    <xf borderId="34" fillId="0" fontId="26" numFmtId="0" xfId="0" applyAlignment="1" applyBorder="1" applyFont="1">
      <alignment horizontal="left" readingOrder="0" shrinkToFit="0" vertical="top" wrapText="0"/>
    </xf>
    <xf borderId="35" fillId="0" fontId="3" numFmtId="0" xfId="0" applyBorder="1" applyFont="1"/>
    <xf borderId="0" fillId="0" fontId="22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/>
    </xf>
    <xf borderId="12" fillId="10" fontId="30" numFmtId="0" xfId="0" applyAlignment="1" applyBorder="1" applyFill="1" applyFont="1">
      <alignment horizontal="center" readingOrder="0"/>
    </xf>
    <xf borderId="0" fillId="0" fontId="16" numFmtId="0" xfId="0" applyAlignment="1" applyFont="1">
      <alignment readingOrder="0"/>
    </xf>
    <xf borderId="12" fillId="0" fontId="16" numFmtId="0" xfId="0" applyAlignment="1" applyBorder="1" applyFont="1">
      <alignment readingOrder="0"/>
    </xf>
    <xf borderId="12" fillId="0" fontId="31" numFmtId="0" xfId="0" applyAlignment="1" applyBorder="1" applyFont="1">
      <alignment horizontal="center" readingOrder="0"/>
    </xf>
    <xf borderId="12" fillId="0" fontId="31" numFmtId="0" xfId="0" applyAlignment="1" applyBorder="1" applyFont="1">
      <alignment readingOrder="0"/>
    </xf>
    <xf borderId="36" fillId="0" fontId="31" numFmtId="0" xfId="0" applyAlignment="1" applyBorder="1" applyFont="1">
      <alignment horizontal="center" readingOrder="0"/>
    </xf>
    <xf borderId="26" fillId="0" fontId="3" numFmtId="0" xfId="0" applyBorder="1" applyFont="1"/>
    <xf borderId="12" fillId="0" fontId="16" numFmtId="0" xfId="0" applyBorder="1" applyFont="1"/>
    <xf borderId="0" fillId="0" fontId="32" numFmtId="0" xfId="0" applyFont="1"/>
    <xf borderId="12" fillId="10" fontId="30" numFmtId="0" xfId="0" applyAlignment="1" applyBorder="1" applyFont="1">
      <alignment horizontal="center" readingOrder="0" shrinkToFit="0" vertical="center" wrapText="1"/>
    </xf>
    <xf borderId="12" fillId="10" fontId="30" numFmtId="0" xfId="0" applyAlignment="1" applyBorder="1" applyFont="1">
      <alignment horizontal="center" readingOrder="0" vertical="center"/>
    </xf>
    <xf borderId="17" fillId="10" fontId="30" numFmtId="0" xfId="0" applyAlignment="1" applyBorder="1" applyFont="1">
      <alignment horizontal="center" readingOrder="0" vertical="center"/>
    </xf>
    <xf borderId="36" fillId="0" fontId="31" numFmtId="0" xfId="0" applyAlignment="1" applyBorder="1" applyFont="1">
      <alignment horizontal="center" readingOrder="0" shrinkToFit="0" vertical="center" wrapText="1"/>
    </xf>
    <xf borderId="12" fillId="0" fontId="31" numFmtId="0" xfId="0" applyAlignment="1" applyBorder="1" applyFont="1">
      <alignment horizontal="center" readingOrder="0" shrinkToFit="0" vertical="center" wrapText="1"/>
    </xf>
    <xf borderId="36" fillId="0" fontId="30" numFmtId="0" xfId="0" applyAlignment="1" applyBorder="1" applyFont="1">
      <alignment horizontal="center" readingOrder="0" vertical="center"/>
    </xf>
    <xf borderId="17" fillId="0" fontId="17" numFmtId="0" xfId="0" applyAlignment="1" applyBorder="1" applyFont="1">
      <alignment readingOrder="0" vertical="center"/>
    </xf>
    <xf borderId="37" fillId="0" fontId="3" numFmtId="0" xfId="0" applyBorder="1" applyFont="1"/>
    <xf borderId="12" fillId="0" fontId="31" numFmtId="0" xfId="0" applyAlignment="1" applyBorder="1" applyFont="1">
      <alignment horizontal="left" readingOrder="0" shrinkToFit="0" vertical="center" wrapText="1"/>
    </xf>
    <xf borderId="12" fillId="0" fontId="30" numFmtId="0" xfId="0" applyAlignment="1" applyBorder="1" applyFont="1">
      <alignment horizontal="center" readingOrder="0" vertical="center"/>
    </xf>
    <xf borderId="38" fillId="0" fontId="16" numFmtId="0" xfId="0" applyAlignment="1" applyBorder="1" applyFont="1">
      <alignment readingOrder="0" shrinkToFit="0" vertical="top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21" fillId="0" fontId="3" numFmtId="0" xfId="0" applyBorder="1" applyFont="1"/>
    <xf borderId="12" fillId="0" fontId="16" numFmtId="0" xfId="0" applyAlignment="1" applyBorder="1" applyFont="1">
      <alignment horizontal="center"/>
    </xf>
    <xf borderId="0" fillId="0" fontId="16" numFmtId="0" xfId="0" applyAlignment="1" applyFont="1">
      <alignment shrinkToFit="0" vertical="center" wrapText="1"/>
    </xf>
    <xf borderId="12" fillId="0" fontId="33" numFmtId="0" xfId="0" applyAlignment="1" applyBorder="1" applyFont="1">
      <alignment readingOrder="0" shrinkToFit="0" vertical="center" wrapText="1"/>
    </xf>
    <xf borderId="0" fillId="11" fontId="34" numFmtId="0" xfId="0" applyAlignment="1" applyFill="1" applyFont="1">
      <alignment horizontal="center" readingOrder="0" vertical="center"/>
    </xf>
    <xf borderId="44" fillId="11" fontId="35" numFmtId="0" xfId="0" applyAlignment="1" applyBorder="1" applyFont="1">
      <alignment horizontal="center" readingOrder="0" vertical="center"/>
    </xf>
    <xf borderId="0" fillId="11" fontId="35" numFmtId="0" xfId="0" applyAlignment="1" applyFont="1">
      <alignment horizontal="center" readingOrder="0" vertical="center"/>
    </xf>
    <xf borderId="0" fillId="12" fontId="36" numFmtId="0" xfId="0" applyAlignment="1" applyFill="1" applyFont="1">
      <alignment horizontal="left" readingOrder="0" vertical="center"/>
    </xf>
    <xf borderId="44" fillId="13" fontId="16" numFmtId="0" xfId="0" applyAlignment="1" applyBorder="1" applyFill="1" applyFont="1">
      <alignment vertical="center"/>
    </xf>
    <xf borderId="0" fillId="12" fontId="16" numFmtId="0" xfId="0" applyAlignment="1" applyFont="1">
      <alignment readingOrder="0" vertical="center"/>
    </xf>
    <xf borderId="44" fillId="10" fontId="16" numFmtId="0" xfId="0" applyAlignment="1" applyBorder="1" applyFont="1">
      <alignment vertical="center"/>
    </xf>
    <xf borderId="44" fillId="0" fontId="16" numFmtId="0" xfId="0" applyAlignment="1" applyBorder="1" applyFont="1">
      <alignment vertical="center"/>
    </xf>
    <xf borderId="44" fillId="4" fontId="16" numFmtId="0" xfId="0" applyAlignment="1" applyBorder="1" applyFont="1">
      <alignment vertical="center"/>
    </xf>
    <xf borderId="12" fillId="6" fontId="17" numFmtId="0" xfId="0" applyAlignment="1" applyBorder="1" applyFont="1">
      <alignment horizontal="center" readingOrder="0" vertical="center"/>
    </xf>
    <xf borderId="12" fillId="6" fontId="17" numFmtId="3" xfId="0" applyAlignment="1" applyBorder="1" applyFont="1" applyNumberFormat="1">
      <alignment horizontal="center" readingOrder="0" vertical="center"/>
    </xf>
    <xf borderId="36" fillId="0" fontId="17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vertical="center"/>
    </xf>
    <xf borderId="12" fillId="0" fontId="16" numFmtId="3" xfId="0" applyAlignment="1" applyBorder="1" applyFont="1" applyNumberFormat="1">
      <alignment horizontal="center" readingOrder="0" vertical="center"/>
    </xf>
    <xf borderId="12" fillId="0" fontId="16" numFmtId="3" xfId="0" applyAlignment="1" applyBorder="1" applyFont="1" applyNumberFormat="1">
      <alignment readingOrder="0" vertical="center"/>
    </xf>
    <xf borderId="36" fillId="0" fontId="16" numFmtId="3" xfId="0" applyAlignment="1" applyBorder="1" applyFont="1" applyNumberFormat="1">
      <alignment readingOrder="0" vertical="center"/>
    </xf>
    <xf borderId="12" fillId="0" fontId="17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vertical="center"/>
    </xf>
    <xf borderId="12" fillId="0" fontId="16" numFmtId="3" xfId="0" applyAlignment="1" applyBorder="1" applyFont="1" applyNumberFormat="1">
      <alignment horizontal="center" vertical="center"/>
    </xf>
    <xf borderId="17" fillId="0" fontId="17" numFmtId="0" xfId="0" applyAlignment="1" applyBorder="1" applyFont="1">
      <alignment horizontal="center" readingOrder="0" vertical="center"/>
    </xf>
    <xf borderId="12" fillId="0" fontId="17" numFmtId="3" xfId="0" applyAlignment="1" applyBorder="1" applyFont="1" applyNumberFormat="1">
      <alignment horizontal="center" readingOrder="0" vertical="center"/>
    </xf>
    <xf borderId="12" fillId="0" fontId="16" numFmtId="0" xfId="0" applyAlignment="1" applyBorder="1" applyFont="1">
      <alignment horizontal="left" readingOrder="0" shrinkToFit="0" vertical="center" wrapText="1"/>
    </xf>
    <xf borderId="12" fillId="8" fontId="16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readingOrder="0" vertical="center"/>
    </xf>
    <xf borderId="12" fillId="14" fontId="17" numFmtId="0" xfId="0" applyAlignment="1" applyBorder="1" applyFill="1" applyFont="1">
      <alignment horizontal="center" readingOrder="0" vertical="center"/>
    </xf>
    <xf borderId="12" fillId="14" fontId="17" numFmtId="0" xfId="0" applyAlignment="1" applyBorder="1" applyFont="1">
      <alignment horizontal="center" vertical="center"/>
    </xf>
    <xf borderId="12" fillId="14" fontId="17" numFmtId="0" xfId="0" applyAlignment="1" applyBorder="1" applyFont="1">
      <alignment vertical="center"/>
    </xf>
    <xf borderId="12" fillId="14" fontId="17" numFmtId="3" xfId="0" applyAlignment="1" applyBorder="1" applyFont="1" applyNumberFormat="1">
      <alignment horizontal="center" vertical="center"/>
    </xf>
    <xf borderId="12" fillId="14" fontId="17" numFmtId="3" xfId="0" applyAlignment="1" applyBorder="1" applyFont="1" applyNumberFormat="1">
      <alignment vertical="center"/>
    </xf>
    <xf borderId="0" fillId="0" fontId="16" numFmtId="3" xfId="0" applyAlignment="1" applyFont="1" applyNumberFormat="1">
      <alignment shrinkToFit="0" wrapText="1"/>
    </xf>
    <xf borderId="12" fillId="8" fontId="16" numFmtId="0" xfId="0" applyAlignment="1" applyBorder="1" applyFont="1">
      <alignment horizontal="center" readingOrder="0" shrinkToFit="0" vertical="center" wrapText="1"/>
    </xf>
    <xf borderId="12" fillId="0" fontId="16" numFmtId="3" xfId="0" applyAlignment="1" applyBorder="1" applyFont="1" applyNumberFormat="1">
      <alignment horizontal="center" readingOrder="0" shrinkToFit="0" vertical="center" wrapText="1"/>
    </xf>
    <xf borderId="12" fillId="0" fontId="16" numFmtId="3" xfId="0" applyAlignment="1" applyBorder="1" applyFont="1" applyNumberFormat="1">
      <alignment horizontal="center" shrinkToFit="0" vertical="center" wrapText="1"/>
    </xf>
    <xf borderId="12" fillId="15" fontId="16" numFmtId="0" xfId="0" applyAlignment="1" applyBorder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0" fillId="0" fontId="16" numFmtId="3" xfId="0" applyFont="1" applyNumberFormat="1"/>
    <xf borderId="12" fillId="0" fontId="17" numFmtId="3" xfId="0" applyAlignment="1" applyBorder="1" applyFont="1" applyNumberFormat="1">
      <alignment horizontal="center" vertical="center"/>
    </xf>
    <xf borderId="37" fillId="0" fontId="17" numFmtId="0" xfId="0" applyAlignment="1" applyBorder="1" applyFont="1">
      <alignment horizontal="center" readingOrder="0" vertical="center"/>
    </xf>
    <xf borderId="12" fillId="4" fontId="16" numFmtId="0" xfId="0" applyAlignment="1" applyBorder="1" applyFont="1">
      <alignment horizontal="center" readingOrder="0" vertical="center"/>
    </xf>
    <xf borderId="12" fillId="16" fontId="16" numFmtId="0" xfId="0" applyAlignment="1" applyBorder="1" applyFill="1" applyFont="1">
      <alignment horizontal="center" readingOrder="0" vertical="center"/>
    </xf>
    <xf borderId="26" fillId="0" fontId="17" numFmtId="0" xfId="0" applyAlignment="1" applyBorder="1" applyFont="1">
      <alignment horizontal="center" readingOrder="0" vertical="center"/>
    </xf>
    <xf borderId="12" fillId="0" fontId="17" numFmtId="0" xfId="0" applyAlignment="1" applyBorder="1" applyFont="1">
      <alignment horizontal="center" vertical="center"/>
    </xf>
    <xf borderId="12" fillId="0" fontId="17" numFmtId="3" xfId="0" applyBorder="1" applyFont="1" applyNumberFormat="1"/>
    <xf borderId="12" fillId="0" fontId="17" numFmtId="3" xfId="0" applyAlignment="1" applyBorder="1" applyFont="1" applyNumberFormat="1">
      <alignment horizontal="center"/>
    </xf>
    <xf borderId="0" fillId="0" fontId="16" numFmtId="0" xfId="0" applyAlignment="1" applyFont="1">
      <alignment horizontal="center" vertical="center"/>
    </xf>
    <xf borderId="12" fillId="6" fontId="37" numFmtId="0" xfId="0" applyAlignment="1" applyBorder="1" applyFont="1">
      <alignment horizontal="center" readingOrder="0" vertical="center"/>
    </xf>
    <xf borderId="12" fillId="0" fontId="38" numFmtId="0" xfId="0" applyAlignment="1" applyBorder="1" applyFont="1">
      <alignment readingOrder="0" vertical="center"/>
    </xf>
    <xf borderId="12" fillId="0" fontId="38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" fillId="2" fontId="39" numFmtId="0" xfId="0" applyAlignment="1" applyBorder="1" applyFont="1">
      <alignment vertical="center"/>
    </xf>
    <xf borderId="0" fillId="0" fontId="40" numFmtId="0" xfId="0" applyAlignment="1" applyFont="1">
      <alignment readingOrder="0" vertical="center"/>
    </xf>
    <xf borderId="0" fillId="0" fontId="40" numFmtId="0" xfId="0" applyAlignment="1" applyFont="1">
      <alignment vertical="center"/>
    </xf>
    <xf borderId="38" fillId="0" fontId="38" numFmtId="0" xfId="0" applyAlignment="1" applyBorder="1" applyFont="1">
      <alignment horizontal="center" vertical="center"/>
    </xf>
    <xf borderId="36" fillId="0" fontId="38" numFmtId="0" xfId="0" applyAlignment="1" applyBorder="1" applyFont="1">
      <alignment horizontal="center" vertical="center"/>
    </xf>
    <xf borderId="36" fillId="0" fontId="38" numFmtId="0" xfId="0" applyAlignment="1" applyBorder="1" applyFont="1">
      <alignment horizontal="center" shrinkToFit="1" vertical="center" wrapText="0"/>
    </xf>
    <xf borderId="12" fillId="2" fontId="38" numFmtId="0" xfId="0" applyAlignment="1" applyBorder="1" applyFont="1">
      <alignment horizontal="center" shrinkToFit="1" vertical="center" wrapText="0"/>
    </xf>
    <xf quotePrefix="1" borderId="36" fillId="2" fontId="41" numFmtId="0" xfId="0" applyAlignment="1" applyBorder="1" applyFont="1">
      <alignment horizontal="center" shrinkToFit="1" vertical="center" wrapText="0"/>
    </xf>
    <xf borderId="12" fillId="0" fontId="38" numFmtId="0" xfId="0" applyAlignment="1" applyBorder="1" applyFont="1">
      <alignment horizontal="center" vertical="center"/>
    </xf>
    <xf borderId="12" fillId="0" fontId="42" numFmtId="0" xfId="0" applyAlignment="1" applyBorder="1" applyFont="1">
      <alignment horizontal="center" shrinkToFit="0" vertical="center" wrapText="1"/>
    </xf>
    <xf borderId="12" fillId="0" fontId="42" numFmtId="3" xfId="0" applyAlignment="1" applyBorder="1" applyFont="1" applyNumberFormat="1">
      <alignment horizontal="right" shrinkToFit="0" vertical="center" wrapText="1"/>
    </xf>
    <xf borderId="12" fillId="2" fontId="43" numFmtId="0" xfId="0" applyAlignment="1" applyBorder="1" applyFont="1">
      <alignment horizontal="center" shrinkToFit="1" vertical="center" wrapText="0"/>
    </xf>
    <xf borderId="12" fillId="2" fontId="43" numFmtId="167" xfId="0" applyAlignment="1" applyBorder="1" applyFont="1" applyNumberFormat="1">
      <alignment horizontal="right" shrinkToFit="1" vertical="center" wrapText="0"/>
    </xf>
    <xf borderId="12" fillId="2" fontId="44" numFmtId="167" xfId="0" applyAlignment="1" applyBorder="1" applyFont="1" applyNumberFormat="1">
      <alignment horizontal="right" shrinkToFit="1" vertical="center" wrapText="0"/>
    </xf>
    <xf borderId="12" fillId="2" fontId="44" numFmtId="3" xfId="0" applyAlignment="1" applyBorder="1" applyFont="1" applyNumberFormat="1">
      <alignment horizontal="right" shrinkToFit="1" vertical="center" wrapText="0"/>
    </xf>
    <xf borderId="12" fillId="2" fontId="45" numFmtId="0" xfId="0" applyAlignment="1" applyBorder="1" applyFont="1">
      <alignment horizontal="center" shrinkToFit="1" vertical="center" wrapText="0"/>
    </xf>
    <xf borderId="36" fillId="0" fontId="42" numFmtId="0" xfId="0" applyAlignment="1" applyBorder="1" applyFont="1">
      <alignment horizontal="center" shrinkToFit="0" vertical="center" wrapText="1"/>
    </xf>
    <xf borderId="12" fillId="0" fontId="43" numFmtId="165" xfId="0" applyAlignment="1" applyBorder="1" applyFont="1" applyNumberFormat="1">
      <alignment horizontal="center" vertical="center"/>
    </xf>
    <xf borderId="12" fillId="2" fontId="42" numFmtId="0" xfId="0" applyAlignment="1" applyBorder="1" applyFont="1">
      <alignment horizontal="center" shrinkToFit="0" vertical="center" wrapText="1"/>
    </xf>
    <xf borderId="37" fillId="0" fontId="42" numFmtId="3" xfId="0" applyAlignment="1" applyBorder="1" applyFont="1" applyNumberFormat="1">
      <alignment horizontal="right" shrinkToFit="0" vertical="center" wrapText="1"/>
    </xf>
    <xf borderId="12" fillId="2" fontId="43" numFmtId="167" xfId="0" applyAlignment="1" applyBorder="1" applyFont="1" applyNumberFormat="1">
      <alignment horizontal="right" readingOrder="0" shrinkToFit="1" vertical="center" wrapText="0"/>
    </xf>
    <xf borderId="12" fillId="0" fontId="42" numFmtId="0" xfId="0" applyAlignment="1" applyBorder="1" applyFont="1">
      <alignment horizontal="center" shrinkToFit="1" vertical="center" wrapText="0"/>
    </xf>
    <xf borderId="12" fillId="2" fontId="43" numFmtId="0" xfId="0" applyAlignment="1" applyBorder="1" applyFont="1">
      <alignment shrinkToFit="1" vertical="center" wrapText="0"/>
    </xf>
    <xf borderId="12" fillId="2" fontId="43" numFmtId="0" xfId="0" applyAlignment="1" applyBorder="1" applyFont="1">
      <alignment horizontal="center" vertical="center"/>
    </xf>
    <xf borderId="12" fillId="2" fontId="43" numFmtId="167" xfId="0" applyAlignment="1" applyBorder="1" applyFont="1" applyNumberFormat="1">
      <alignment shrinkToFit="1" vertical="center" wrapText="0"/>
    </xf>
    <xf borderId="12" fillId="2" fontId="44" numFmtId="167" xfId="0" applyAlignment="1" applyBorder="1" applyFont="1" applyNumberFormat="1">
      <alignment shrinkToFit="1" vertical="center" wrapText="0"/>
    </xf>
    <xf borderId="0" fillId="0" fontId="38" numFmtId="3" xfId="0" applyAlignment="1" applyFont="1" applyNumberFormat="1">
      <alignment vertical="center"/>
    </xf>
    <xf borderId="1" fillId="2" fontId="39" numFmtId="168" xfId="0" applyAlignment="1" applyBorder="1" applyFont="1" applyNumberFormat="1">
      <alignment vertical="center"/>
    </xf>
    <xf borderId="0" fillId="0" fontId="39" numFmtId="3" xfId="0" applyAlignment="1" applyFont="1" applyNumberFormat="1">
      <alignment vertical="center"/>
    </xf>
    <xf borderId="1" fillId="2" fontId="43" numFmtId="169" xfId="0" applyAlignment="1" applyBorder="1" applyFont="1" applyNumberFormat="1">
      <alignment horizontal="right" vertical="center"/>
    </xf>
    <xf borderId="38" fillId="0" fontId="39" numFmtId="0" xfId="0" applyAlignment="1" applyBorder="1" applyFont="1">
      <alignment horizontal="center" vertical="center"/>
    </xf>
    <xf borderId="12" fillId="2" fontId="39" numFmtId="0" xfId="0" applyAlignment="1" applyBorder="1" applyFont="1">
      <alignment horizontal="center" shrinkToFit="1" vertical="center" wrapText="0"/>
    </xf>
    <xf quotePrefix="1" borderId="36" fillId="2" fontId="37" numFmtId="0" xfId="0" applyAlignment="1" applyBorder="1" applyFont="1">
      <alignment horizontal="center" shrinkToFit="1" vertical="center" wrapText="0"/>
    </xf>
    <xf borderId="12" fillId="0" fontId="39" numFmtId="0" xfId="0" applyAlignment="1" applyBorder="1" applyFont="1">
      <alignment horizontal="center" vertical="center"/>
    </xf>
    <xf borderId="12" fillId="2" fontId="39" numFmtId="3" xfId="0" applyAlignment="1" applyBorder="1" applyFont="1" applyNumberFormat="1">
      <alignment horizontal="center" shrinkToFit="1" vertical="center" wrapText="0"/>
    </xf>
    <xf borderId="36" fillId="0" fontId="39" numFmtId="0" xfId="0" applyAlignment="1" applyBorder="1" applyFont="1">
      <alignment horizontal="center" vertical="center"/>
    </xf>
    <xf borderId="12" fillId="2" fontId="39" numFmtId="170" xfId="0" applyAlignment="1" applyBorder="1" applyFont="1" applyNumberFormat="1">
      <alignment shrinkToFit="1" vertical="center" wrapText="0"/>
    </xf>
    <xf borderId="12" fillId="2" fontId="37" numFmtId="170" xfId="0" applyAlignment="1" applyBorder="1" applyFont="1" applyNumberFormat="1">
      <alignment shrinkToFit="1" vertical="center" wrapText="0"/>
    </xf>
    <xf borderId="12" fillId="2" fontId="46" numFmtId="170" xfId="0" applyAlignment="1" applyBorder="1" applyFont="1" applyNumberFormat="1">
      <alignment shrinkToFit="1" vertical="center" wrapText="0"/>
    </xf>
    <xf borderId="12" fillId="0" fontId="47" numFmtId="0" xfId="0" applyAlignment="1" applyBorder="1" applyFont="1">
      <alignment horizontal="center" shrinkToFit="0" vertical="center" wrapText="1"/>
    </xf>
    <xf borderId="19" fillId="0" fontId="47" numFmtId="0" xfId="0" applyAlignment="1" applyBorder="1" applyFont="1">
      <alignment horizontal="center" shrinkToFit="0" vertical="center" wrapText="1"/>
    </xf>
    <xf borderId="12" fillId="2" fontId="47" numFmtId="0" xfId="0" applyAlignment="1" applyBorder="1" applyFont="1">
      <alignment horizontal="center" shrinkToFit="0" vertical="center" wrapText="1"/>
    </xf>
    <xf borderId="0" fillId="0" fontId="39" numFmtId="167" xfId="0" applyAlignment="1" applyFont="1" applyNumberFormat="1">
      <alignment vertical="center"/>
    </xf>
    <xf borderId="0" fillId="0" fontId="47" numFmtId="0" xfId="0" applyAlignment="1" applyFont="1">
      <alignment horizontal="left" vertical="center"/>
    </xf>
    <xf borderId="0" fillId="0" fontId="39" numFmtId="0" xfId="0" applyAlignment="1" applyFont="1">
      <alignment vertical="center"/>
    </xf>
    <xf borderId="0" fillId="0" fontId="39" numFmtId="17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3.us-west-2.amazonaws.com/secure.notion-static.com/36d61a2b-ddd2-4611-88dc-4d239995d554/Untitled.png?X-Amz-Algorithm=AWS4-HMAC-SHA256&amp;X-Amz-Credential=AKIAT73L2G45O3KS52Y5%2F20210702%2Fus-west-2%2Fs3%2Faws4_request&amp;X-Amz-Date=20210702T105547Z&amp;X-Amz-Expires=86400&amp;X-Amz-Signature=e20457def4165bf6f9c1af082776598c78e26d6761968fd4787ecd08af95fd87&amp;X-Amz-SignedHeaders=host&amp;response-content-disposition=filename%20%3D%22Untitled.png%22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75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14.86"/>
    <col customWidth="1" min="3" max="3" width="36.0"/>
    <col customWidth="1" min="4" max="4" width="53.0"/>
    <col customWidth="1" min="5" max="5" width="12.29"/>
  </cols>
  <sheetData>
    <row r="1" ht="4.5" customHeight="1">
      <c r="A1" s="58"/>
      <c r="B1" s="58"/>
      <c r="C1" s="59"/>
      <c r="D1" s="59"/>
      <c r="E1" s="58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32</v>
      </c>
      <c r="B2" s="60" t="s">
        <v>6</v>
      </c>
      <c r="C2" s="60" t="s">
        <v>33</v>
      </c>
      <c r="D2" s="60" t="s">
        <v>34</v>
      </c>
      <c r="E2" s="60" t="s">
        <v>29</v>
      </c>
      <c r="F2" s="60" t="s">
        <v>35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47.25" customHeight="1">
      <c r="A3" s="61">
        <v>1.0</v>
      </c>
      <c r="B3" s="61" t="s">
        <v>36</v>
      </c>
      <c r="C3" s="62" t="s">
        <v>37</v>
      </c>
      <c r="D3" s="62" t="s">
        <v>38</v>
      </c>
      <c r="E3" s="61"/>
      <c r="F3" s="63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54.75" customHeight="1">
      <c r="A4" s="61">
        <v>2.0</v>
      </c>
      <c r="B4" s="64"/>
      <c r="C4" s="62"/>
      <c r="D4" s="62"/>
      <c r="E4" s="61"/>
      <c r="F4" s="63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46.5" customHeight="1">
      <c r="A5" s="61">
        <v>3.0</v>
      </c>
      <c r="B5" s="64"/>
      <c r="C5" s="62"/>
      <c r="D5" s="62"/>
      <c r="E5" s="61"/>
      <c r="F5" s="63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56.25" customHeight="1">
      <c r="A6" s="61">
        <v>4.0</v>
      </c>
      <c r="B6" s="64"/>
      <c r="C6" s="62"/>
      <c r="D6" s="62"/>
      <c r="E6" s="61"/>
      <c r="F6" s="63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66.75" customHeight="1">
      <c r="A7" s="64"/>
      <c r="B7" s="64"/>
      <c r="C7" s="62"/>
      <c r="D7" s="62"/>
      <c r="E7" s="61"/>
      <c r="F7" s="63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54.75" customHeight="1">
      <c r="A8" s="64"/>
      <c r="B8" s="64"/>
      <c r="C8" s="62"/>
      <c r="D8" s="62"/>
      <c r="E8" s="61"/>
      <c r="F8" s="63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68.25" customHeight="1">
      <c r="A9" s="64"/>
      <c r="B9" s="64"/>
      <c r="C9" s="62"/>
      <c r="D9" s="62"/>
      <c r="E9" s="61"/>
      <c r="F9" s="63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146.25" customHeight="1">
      <c r="A10" s="64"/>
      <c r="B10" s="61"/>
      <c r="C10" s="62"/>
      <c r="D10" s="62"/>
      <c r="E10" s="64"/>
      <c r="F10" s="63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103.5" customHeight="1">
      <c r="A11" s="64"/>
      <c r="B11" s="64"/>
      <c r="C11" s="63"/>
      <c r="D11" s="62"/>
      <c r="E11" s="64"/>
      <c r="F11" s="63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94.5" customHeight="1">
      <c r="A12" s="64"/>
      <c r="B12" s="64"/>
      <c r="C12" s="62" t="s">
        <v>39</v>
      </c>
      <c r="D12" s="62" t="s">
        <v>40</v>
      </c>
      <c r="E12" s="64"/>
      <c r="F12" s="63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72.75" customHeight="1">
      <c r="A13" s="64"/>
      <c r="B13" s="64"/>
      <c r="C13" s="62" t="s">
        <v>41</v>
      </c>
      <c r="D13" s="62" t="s">
        <v>42</v>
      </c>
      <c r="E13" s="64"/>
      <c r="F13" s="63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4"/>
      <c r="B14" s="64"/>
      <c r="C14" s="63"/>
      <c r="D14" s="63"/>
      <c r="E14" s="64"/>
      <c r="F14" s="63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8"/>
      <c r="B15" s="58"/>
      <c r="C15" s="59"/>
      <c r="D15" s="59"/>
      <c r="E15" s="58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8"/>
      <c r="B16" s="58"/>
      <c r="C16" s="59"/>
      <c r="D16" s="59"/>
      <c r="E16" s="58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8"/>
      <c r="B17" s="58"/>
      <c r="C17" s="59"/>
      <c r="D17" s="59"/>
      <c r="E17" s="58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8"/>
      <c r="B18" s="58"/>
      <c r="C18" s="59"/>
      <c r="D18" s="59"/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8"/>
      <c r="B19" s="58"/>
      <c r="C19" s="59"/>
      <c r="D19" s="59"/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8"/>
      <c r="B20" s="58"/>
      <c r="C20" s="59"/>
      <c r="D20" s="59"/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8"/>
      <c r="B21" s="58"/>
      <c r="C21" s="59"/>
      <c r="D21" s="59"/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8"/>
      <c r="B22" s="58"/>
      <c r="C22" s="59"/>
      <c r="D22" s="59"/>
      <c r="E22" s="58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8"/>
      <c r="B23" s="58"/>
      <c r="C23" s="59"/>
      <c r="D23" s="59"/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8"/>
      <c r="B24" s="58"/>
      <c r="C24" s="59"/>
      <c r="D24" s="59"/>
      <c r="E24" s="5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8"/>
      <c r="B25" s="58"/>
      <c r="C25" s="59"/>
      <c r="D25" s="59"/>
      <c r="E25" s="58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8"/>
      <c r="B26" s="58"/>
      <c r="C26" s="59"/>
      <c r="D26" s="59"/>
      <c r="E26" s="58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8"/>
      <c r="B27" s="58"/>
      <c r="C27" s="59"/>
      <c r="D27" s="59"/>
      <c r="E27" s="58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8"/>
      <c r="B28" s="58"/>
      <c r="C28" s="59"/>
      <c r="D28" s="59"/>
      <c r="E28" s="5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8"/>
      <c r="B29" s="58"/>
      <c r="C29" s="59"/>
      <c r="D29" s="59"/>
      <c r="E29" s="58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8"/>
      <c r="B30" s="58"/>
      <c r="C30" s="59"/>
      <c r="D30" s="59"/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8"/>
      <c r="B31" s="58"/>
      <c r="C31" s="59"/>
      <c r="D31" s="59"/>
      <c r="E31" s="58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8"/>
      <c r="B32" s="58"/>
      <c r="C32" s="59"/>
      <c r="D32" s="59"/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8"/>
      <c r="B33" s="58"/>
      <c r="C33" s="59"/>
      <c r="D33" s="59"/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8"/>
      <c r="B34" s="58"/>
      <c r="C34" s="59"/>
      <c r="D34" s="59"/>
      <c r="E34" s="58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8"/>
      <c r="B35" s="58"/>
      <c r="C35" s="59"/>
      <c r="D35" s="59"/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8"/>
      <c r="B36" s="58"/>
      <c r="C36" s="59"/>
      <c r="D36" s="59"/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8"/>
      <c r="B37" s="58"/>
      <c r="C37" s="59"/>
      <c r="D37" s="59"/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8"/>
      <c r="B38" s="58"/>
      <c r="C38" s="59"/>
      <c r="D38" s="59"/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8"/>
      <c r="B39" s="58"/>
      <c r="C39" s="59"/>
      <c r="D39" s="59"/>
      <c r="E39" s="58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8"/>
      <c r="B40" s="58"/>
      <c r="C40" s="59"/>
      <c r="D40" s="59"/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8"/>
      <c r="B41" s="58"/>
      <c r="C41" s="59"/>
      <c r="D41" s="59"/>
      <c r="E41" s="58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8"/>
      <c r="B42" s="58"/>
      <c r="C42" s="59"/>
      <c r="D42" s="59"/>
      <c r="E42" s="58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8"/>
      <c r="B43" s="58"/>
      <c r="C43" s="59"/>
      <c r="D43" s="59"/>
      <c r="E43" s="58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8"/>
      <c r="B44" s="58"/>
      <c r="C44" s="59"/>
      <c r="D44" s="59"/>
      <c r="E44" s="58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8"/>
      <c r="B45" s="58"/>
      <c r="C45" s="59"/>
      <c r="D45" s="59"/>
      <c r="E45" s="58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8"/>
      <c r="B46" s="58"/>
      <c r="C46" s="59"/>
      <c r="D46" s="59"/>
      <c r="E46" s="58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8"/>
      <c r="B47" s="58"/>
      <c r="C47" s="59"/>
      <c r="D47" s="59"/>
      <c r="E47" s="58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8"/>
      <c r="B48" s="58"/>
      <c r="C48" s="59"/>
      <c r="D48" s="59"/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8"/>
      <c r="B49" s="58"/>
      <c r="C49" s="59"/>
      <c r="D49" s="59"/>
      <c r="E49" s="58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8"/>
      <c r="B50" s="58"/>
      <c r="C50" s="59"/>
      <c r="D50" s="59"/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8"/>
      <c r="B51" s="58"/>
      <c r="C51" s="59"/>
      <c r="D51" s="59"/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8"/>
      <c r="B52" s="58"/>
      <c r="C52" s="59"/>
      <c r="D52" s="59"/>
      <c r="E52" s="58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8"/>
      <c r="B53" s="58"/>
      <c r="C53" s="59"/>
      <c r="D53" s="59"/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8"/>
      <c r="B54" s="58"/>
      <c r="C54" s="59"/>
      <c r="D54" s="59"/>
      <c r="E54" s="58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8"/>
      <c r="B55" s="58"/>
      <c r="C55" s="59"/>
      <c r="D55" s="59"/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8"/>
      <c r="B56" s="58"/>
      <c r="C56" s="59"/>
      <c r="D56" s="59"/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8"/>
      <c r="B57" s="58"/>
      <c r="C57" s="59"/>
      <c r="D57" s="59"/>
      <c r="E57" s="58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8"/>
      <c r="B58" s="58"/>
      <c r="C58" s="59"/>
      <c r="D58" s="59"/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8"/>
      <c r="B59" s="58"/>
      <c r="C59" s="59"/>
      <c r="D59" s="59"/>
      <c r="E59" s="58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8"/>
      <c r="B60" s="58"/>
      <c r="C60" s="59"/>
      <c r="D60" s="59"/>
      <c r="E60" s="58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8"/>
      <c r="B61" s="58"/>
      <c r="C61" s="59"/>
      <c r="D61" s="59"/>
      <c r="E61" s="58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8"/>
      <c r="B62" s="58"/>
      <c r="C62" s="59"/>
      <c r="D62" s="59"/>
      <c r="E62" s="58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8"/>
      <c r="B63" s="58"/>
      <c r="C63" s="59"/>
      <c r="D63" s="59"/>
      <c r="E63" s="58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8"/>
      <c r="B64" s="58"/>
      <c r="C64" s="59"/>
      <c r="D64" s="59"/>
      <c r="E64" s="58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8"/>
      <c r="B65" s="58"/>
      <c r="C65" s="59"/>
      <c r="D65" s="59"/>
      <c r="E65" s="58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8"/>
      <c r="B66" s="58"/>
      <c r="C66" s="59"/>
      <c r="D66" s="59"/>
      <c r="E66" s="58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8"/>
      <c r="B67" s="58"/>
      <c r="C67" s="59"/>
      <c r="D67" s="59"/>
      <c r="E67" s="58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8"/>
      <c r="B68" s="58"/>
      <c r="C68" s="59"/>
      <c r="D68" s="59"/>
      <c r="E68" s="58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8"/>
      <c r="B69" s="58"/>
      <c r="C69" s="59"/>
      <c r="D69" s="59"/>
      <c r="E69" s="58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8"/>
      <c r="B70" s="58"/>
      <c r="C70" s="59"/>
      <c r="D70" s="59"/>
      <c r="E70" s="58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8"/>
      <c r="B71" s="58"/>
      <c r="C71" s="59"/>
      <c r="D71" s="59"/>
      <c r="E71" s="58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8"/>
      <c r="B72" s="58"/>
      <c r="C72" s="59"/>
      <c r="D72" s="59"/>
      <c r="E72" s="58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8"/>
      <c r="B73" s="58"/>
      <c r="C73" s="59"/>
      <c r="D73" s="59"/>
      <c r="E73" s="58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8"/>
      <c r="B74" s="58"/>
      <c r="C74" s="59"/>
      <c r="D74" s="59"/>
      <c r="E74" s="58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8"/>
      <c r="B75" s="58"/>
      <c r="C75" s="59"/>
      <c r="D75" s="59"/>
      <c r="E75" s="58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8"/>
      <c r="B76" s="58"/>
      <c r="C76" s="59"/>
      <c r="D76" s="59"/>
      <c r="E76" s="58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8"/>
      <c r="B77" s="58"/>
      <c r="C77" s="59"/>
      <c r="D77" s="59"/>
      <c r="E77" s="58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8"/>
      <c r="B78" s="58"/>
      <c r="C78" s="59"/>
      <c r="D78" s="59"/>
      <c r="E78" s="58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8"/>
      <c r="B79" s="58"/>
      <c r="C79" s="59"/>
      <c r="D79" s="59"/>
      <c r="E79" s="58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8"/>
      <c r="B80" s="58"/>
      <c r="C80" s="59"/>
      <c r="D80" s="59"/>
      <c r="E80" s="58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8"/>
      <c r="B81" s="58"/>
      <c r="C81" s="59"/>
      <c r="D81" s="59"/>
      <c r="E81" s="58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8"/>
      <c r="B82" s="58"/>
      <c r="C82" s="59"/>
      <c r="D82" s="59"/>
      <c r="E82" s="58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8"/>
      <c r="B83" s="58"/>
      <c r="C83" s="59"/>
      <c r="D83" s="59"/>
      <c r="E83" s="58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8"/>
      <c r="B84" s="58"/>
      <c r="C84" s="59"/>
      <c r="D84" s="59"/>
      <c r="E84" s="58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8"/>
      <c r="B85" s="58"/>
      <c r="C85" s="59"/>
      <c r="D85" s="59"/>
      <c r="E85" s="58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8"/>
      <c r="B86" s="58"/>
      <c r="C86" s="59"/>
      <c r="D86" s="59"/>
      <c r="E86" s="58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8"/>
      <c r="B87" s="58"/>
      <c r="C87" s="59"/>
      <c r="D87" s="59"/>
      <c r="E87" s="58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8"/>
      <c r="B88" s="58"/>
      <c r="C88" s="59"/>
      <c r="D88" s="59"/>
      <c r="E88" s="58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8"/>
      <c r="B89" s="58"/>
      <c r="C89" s="59"/>
      <c r="D89" s="59"/>
      <c r="E89" s="58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8"/>
      <c r="B90" s="58"/>
      <c r="C90" s="59"/>
      <c r="D90" s="59"/>
      <c r="E90" s="58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8"/>
      <c r="B91" s="58"/>
      <c r="C91" s="59"/>
      <c r="D91" s="59"/>
      <c r="E91" s="58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8"/>
      <c r="B92" s="58"/>
      <c r="C92" s="59"/>
      <c r="D92" s="59"/>
      <c r="E92" s="58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8"/>
      <c r="B93" s="58"/>
      <c r="C93" s="59"/>
      <c r="D93" s="59"/>
      <c r="E93" s="58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8"/>
      <c r="B94" s="58"/>
      <c r="C94" s="59"/>
      <c r="D94" s="59"/>
      <c r="E94" s="58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8"/>
      <c r="B95" s="58"/>
      <c r="C95" s="59"/>
      <c r="D95" s="59"/>
      <c r="E95" s="58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8"/>
      <c r="B96" s="58"/>
      <c r="C96" s="59"/>
      <c r="D96" s="59"/>
      <c r="E96" s="58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8"/>
      <c r="B97" s="58"/>
      <c r="C97" s="59"/>
      <c r="D97" s="59"/>
      <c r="E97" s="58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8"/>
      <c r="B98" s="58"/>
      <c r="C98" s="59"/>
      <c r="D98" s="59"/>
      <c r="E98" s="58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8"/>
      <c r="B99" s="58"/>
      <c r="C99" s="59"/>
      <c r="D99" s="59"/>
      <c r="E99" s="58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8"/>
      <c r="B100" s="58"/>
      <c r="C100" s="59"/>
      <c r="D100" s="59"/>
      <c r="E100" s="58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8"/>
      <c r="B101" s="58"/>
      <c r="C101" s="59"/>
      <c r="D101" s="59"/>
      <c r="E101" s="58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8"/>
      <c r="B102" s="58"/>
      <c r="C102" s="59"/>
      <c r="D102" s="59"/>
      <c r="E102" s="58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8"/>
      <c r="B103" s="58"/>
      <c r="C103" s="59"/>
      <c r="D103" s="59"/>
      <c r="E103" s="58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8"/>
      <c r="B104" s="58"/>
      <c r="C104" s="59"/>
      <c r="D104" s="59"/>
      <c r="E104" s="58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8"/>
      <c r="B105" s="58"/>
      <c r="C105" s="59"/>
      <c r="D105" s="59"/>
      <c r="E105" s="58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8"/>
      <c r="B106" s="58"/>
      <c r="C106" s="59"/>
      <c r="D106" s="59"/>
      <c r="E106" s="58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8"/>
      <c r="B107" s="58"/>
      <c r="C107" s="59"/>
      <c r="D107" s="59"/>
      <c r="E107" s="58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8"/>
      <c r="B108" s="58"/>
      <c r="C108" s="59"/>
      <c r="D108" s="59"/>
      <c r="E108" s="58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8"/>
      <c r="B109" s="58"/>
      <c r="C109" s="59"/>
      <c r="D109" s="59"/>
      <c r="E109" s="58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8"/>
      <c r="B110" s="58"/>
      <c r="C110" s="59"/>
      <c r="D110" s="59"/>
      <c r="E110" s="58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8"/>
      <c r="B111" s="58"/>
      <c r="C111" s="59"/>
      <c r="D111" s="59"/>
      <c r="E111" s="58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8"/>
      <c r="B112" s="58"/>
      <c r="C112" s="59"/>
      <c r="D112" s="59"/>
      <c r="E112" s="58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8"/>
      <c r="B113" s="58"/>
      <c r="C113" s="59"/>
      <c r="D113" s="59"/>
      <c r="E113" s="58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8"/>
      <c r="B114" s="58"/>
      <c r="C114" s="59"/>
      <c r="D114" s="59"/>
      <c r="E114" s="58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8"/>
      <c r="B115" s="58"/>
      <c r="C115" s="59"/>
      <c r="D115" s="59"/>
      <c r="E115" s="58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8"/>
      <c r="B116" s="58"/>
      <c r="C116" s="59"/>
      <c r="D116" s="59"/>
      <c r="E116" s="58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8"/>
      <c r="B117" s="58"/>
      <c r="C117" s="59"/>
      <c r="D117" s="59"/>
      <c r="E117" s="58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8"/>
      <c r="B118" s="58"/>
      <c r="C118" s="59"/>
      <c r="D118" s="59"/>
      <c r="E118" s="58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8"/>
      <c r="B119" s="58"/>
      <c r="C119" s="59"/>
      <c r="D119" s="59"/>
      <c r="E119" s="58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8"/>
      <c r="B120" s="58"/>
      <c r="C120" s="59"/>
      <c r="D120" s="59"/>
      <c r="E120" s="58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8"/>
      <c r="B121" s="58"/>
      <c r="C121" s="59"/>
      <c r="D121" s="59"/>
      <c r="E121" s="58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8"/>
      <c r="B122" s="58"/>
      <c r="C122" s="59"/>
      <c r="D122" s="59"/>
      <c r="E122" s="58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8"/>
      <c r="B123" s="58"/>
      <c r="C123" s="59"/>
      <c r="D123" s="59"/>
      <c r="E123" s="58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8"/>
      <c r="B124" s="58"/>
      <c r="C124" s="59"/>
      <c r="D124" s="59"/>
      <c r="E124" s="58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8"/>
      <c r="B125" s="58"/>
      <c r="C125" s="59"/>
      <c r="D125" s="59"/>
      <c r="E125" s="58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8"/>
      <c r="B126" s="58"/>
      <c r="C126" s="59"/>
      <c r="D126" s="59"/>
      <c r="E126" s="58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8"/>
      <c r="B127" s="58"/>
      <c r="C127" s="59"/>
      <c r="D127" s="59"/>
      <c r="E127" s="58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8"/>
      <c r="B128" s="58"/>
      <c r="C128" s="59"/>
      <c r="D128" s="59"/>
      <c r="E128" s="58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8"/>
      <c r="B129" s="58"/>
      <c r="C129" s="59"/>
      <c r="D129" s="59"/>
      <c r="E129" s="58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8"/>
      <c r="B130" s="58"/>
      <c r="C130" s="59"/>
      <c r="D130" s="59"/>
      <c r="E130" s="58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8"/>
      <c r="B131" s="58"/>
      <c r="C131" s="59"/>
      <c r="D131" s="59"/>
      <c r="E131" s="58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8"/>
      <c r="B132" s="58"/>
      <c r="C132" s="59"/>
      <c r="D132" s="59"/>
      <c r="E132" s="58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8"/>
      <c r="B133" s="58"/>
      <c r="C133" s="59"/>
      <c r="D133" s="59"/>
      <c r="E133" s="58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8"/>
      <c r="B134" s="58"/>
      <c r="C134" s="59"/>
      <c r="D134" s="59"/>
      <c r="E134" s="58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8"/>
      <c r="B135" s="58"/>
      <c r="C135" s="59"/>
      <c r="D135" s="59"/>
      <c r="E135" s="58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8"/>
      <c r="B136" s="58"/>
      <c r="C136" s="59"/>
      <c r="D136" s="59"/>
      <c r="E136" s="58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8"/>
      <c r="B137" s="58"/>
      <c r="C137" s="59"/>
      <c r="D137" s="59"/>
      <c r="E137" s="58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8"/>
      <c r="B138" s="58"/>
      <c r="C138" s="59"/>
      <c r="D138" s="59"/>
      <c r="E138" s="58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8"/>
      <c r="B139" s="58"/>
      <c r="C139" s="59"/>
      <c r="D139" s="59"/>
      <c r="E139" s="58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8"/>
      <c r="B140" s="58"/>
      <c r="C140" s="59"/>
      <c r="D140" s="59"/>
      <c r="E140" s="58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8"/>
      <c r="B141" s="58"/>
      <c r="C141" s="59"/>
      <c r="D141" s="59"/>
      <c r="E141" s="58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8"/>
      <c r="B142" s="58"/>
      <c r="C142" s="59"/>
      <c r="D142" s="59"/>
      <c r="E142" s="58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8"/>
      <c r="B143" s="58"/>
      <c r="C143" s="59"/>
      <c r="D143" s="59"/>
      <c r="E143" s="58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8"/>
      <c r="B144" s="58"/>
      <c r="C144" s="59"/>
      <c r="D144" s="59"/>
      <c r="E144" s="58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8"/>
      <c r="B145" s="58"/>
      <c r="C145" s="59"/>
      <c r="D145" s="59"/>
      <c r="E145" s="58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8"/>
      <c r="B146" s="58"/>
      <c r="C146" s="59"/>
      <c r="D146" s="59"/>
      <c r="E146" s="58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8"/>
      <c r="B147" s="58"/>
      <c r="C147" s="59"/>
      <c r="D147" s="59"/>
      <c r="E147" s="58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8"/>
      <c r="B148" s="58"/>
      <c r="C148" s="59"/>
      <c r="D148" s="59"/>
      <c r="E148" s="58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8"/>
      <c r="B149" s="58"/>
      <c r="C149" s="59"/>
      <c r="D149" s="59"/>
      <c r="E149" s="58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8"/>
      <c r="B150" s="58"/>
      <c r="C150" s="59"/>
      <c r="D150" s="59"/>
      <c r="E150" s="58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8"/>
      <c r="B151" s="58"/>
      <c r="C151" s="59"/>
      <c r="D151" s="59"/>
      <c r="E151" s="58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8"/>
      <c r="B152" s="58"/>
      <c r="C152" s="59"/>
      <c r="D152" s="59"/>
      <c r="E152" s="58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8"/>
      <c r="B153" s="58"/>
      <c r="C153" s="59"/>
      <c r="D153" s="59"/>
      <c r="E153" s="58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8"/>
      <c r="B154" s="58"/>
      <c r="C154" s="59"/>
      <c r="D154" s="59"/>
      <c r="E154" s="58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8"/>
      <c r="B155" s="58"/>
      <c r="C155" s="59"/>
      <c r="D155" s="59"/>
      <c r="E155" s="58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8"/>
      <c r="B156" s="58"/>
      <c r="C156" s="59"/>
      <c r="D156" s="59"/>
      <c r="E156" s="58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8"/>
      <c r="B157" s="58"/>
      <c r="C157" s="59"/>
      <c r="D157" s="59"/>
      <c r="E157" s="58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8"/>
      <c r="B158" s="58"/>
      <c r="C158" s="59"/>
      <c r="D158" s="59"/>
      <c r="E158" s="58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8"/>
      <c r="B159" s="58"/>
      <c r="C159" s="59"/>
      <c r="D159" s="59"/>
      <c r="E159" s="58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8"/>
      <c r="B160" s="58"/>
      <c r="C160" s="59"/>
      <c r="D160" s="59"/>
      <c r="E160" s="58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8"/>
      <c r="B161" s="58"/>
      <c r="C161" s="59"/>
      <c r="D161" s="59"/>
      <c r="E161" s="58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8"/>
      <c r="B162" s="58"/>
      <c r="C162" s="59"/>
      <c r="D162" s="59"/>
      <c r="E162" s="58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8"/>
      <c r="B163" s="58"/>
      <c r="C163" s="59"/>
      <c r="D163" s="59"/>
      <c r="E163" s="58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8"/>
      <c r="B164" s="58"/>
      <c r="C164" s="59"/>
      <c r="D164" s="59"/>
      <c r="E164" s="58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8"/>
      <c r="B165" s="58"/>
      <c r="C165" s="59"/>
      <c r="D165" s="59"/>
      <c r="E165" s="58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8"/>
      <c r="B166" s="58"/>
      <c r="C166" s="59"/>
      <c r="D166" s="59"/>
      <c r="E166" s="58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8"/>
      <c r="B167" s="58"/>
      <c r="C167" s="59"/>
      <c r="D167" s="59"/>
      <c r="E167" s="58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8"/>
      <c r="B168" s="58"/>
      <c r="C168" s="59"/>
      <c r="D168" s="59"/>
      <c r="E168" s="58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8"/>
      <c r="B169" s="58"/>
      <c r="C169" s="59"/>
      <c r="D169" s="59"/>
      <c r="E169" s="58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8"/>
      <c r="B170" s="58"/>
      <c r="C170" s="59"/>
      <c r="D170" s="59"/>
      <c r="E170" s="58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8"/>
      <c r="B171" s="58"/>
      <c r="C171" s="59"/>
      <c r="D171" s="59"/>
      <c r="E171" s="58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8"/>
      <c r="B172" s="58"/>
      <c r="C172" s="59"/>
      <c r="D172" s="59"/>
      <c r="E172" s="58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8"/>
      <c r="B173" s="58"/>
      <c r="C173" s="59"/>
      <c r="D173" s="59"/>
      <c r="E173" s="58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8"/>
      <c r="B174" s="58"/>
      <c r="C174" s="59"/>
      <c r="D174" s="59"/>
      <c r="E174" s="58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8"/>
      <c r="B175" s="58"/>
      <c r="C175" s="59"/>
      <c r="D175" s="59"/>
      <c r="E175" s="58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8"/>
      <c r="B176" s="58"/>
      <c r="C176" s="59"/>
      <c r="D176" s="59"/>
      <c r="E176" s="58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8"/>
      <c r="B177" s="58"/>
      <c r="C177" s="59"/>
      <c r="D177" s="59"/>
      <c r="E177" s="58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8"/>
      <c r="B178" s="58"/>
      <c r="C178" s="59"/>
      <c r="D178" s="59"/>
      <c r="E178" s="58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8"/>
      <c r="B179" s="58"/>
      <c r="C179" s="59"/>
      <c r="D179" s="59"/>
      <c r="E179" s="58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8"/>
      <c r="B180" s="58"/>
      <c r="C180" s="59"/>
      <c r="D180" s="59"/>
      <c r="E180" s="58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8"/>
      <c r="B181" s="58"/>
      <c r="C181" s="59"/>
      <c r="D181" s="59"/>
      <c r="E181" s="58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8"/>
      <c r="B182" s="58"/>
      <c r="C182" s="59"/>
      <c r="D182" s="59"/>
      <c r="E182" s="58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8"/>
      <c r="B183" s="58"/>
      <c r="C183" s="59"/>
      <c r="D183" s="59"/>
      <c r="E183" s="58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8"/>
      <c r="B184" s="58"/>
      <c r="C184" s="59"/>
      <c r="D184" s="59"/>
      <c r="E184" s="58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8"/>
      <c r="B185" s="58"/>
      <c r="C185" s="59"/>
      <c r="D185" s="59"/>
      <c r="E185" s="58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8"/>
      <c r="B186" s="58"/>
      <c r="C186" s="59"/>
      <c r="D186" s="59"/>
      <c r="E186" s="58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8"/>
      <c r="B187" s="58"/>
      <c r="C187" s="59"/>
      <c r="D187" s="59"/>
      <c r="E187" s="58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8"/>
      <c r="B188" s="58"/>
      <c r="C188" s="59"/>
      <c r="D188" s="59"/>
      <c r="E188" s="58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8"/>
      <c r="B189" s="58"/>
      <c r="C189" s="59"/>
      <c r="D189" s="59"/>
      <c r="E189" s="58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8"/>
      <c r="B190" s="58"/>
      <c r="C190" s="59"/>
      <c r="D190" s="59"/>
      <c r="E190" s="58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8"/>
      <c r="B191" s="58"/>
      <c r="C191" s="59"/>
      <c r="D191" s="59"/>
      <c r="E191" s="58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8"/>
      <c r="B192" s="58"/>
      <c r="C192" s="59"/>
      <c r="D192" s="59"/>
      <c r="E192" s="58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8"/>
      <c r="B193" s="58"/>
      <c r="C193" s="59"/>
      <c r="D193" s="59"/>
      <c r="E193" s="58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8"/>
      <c r="B194" s="58"/>
      <c r="C194" s="59"/>
      <c r="D194" s="59"/>
      <c r="E194" s="58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8"/>
      <c r="B195" s="58"/>
      <c r="C195" s="59"/>
      <c r="D195" s="59"/>
      <c r="E195" s="58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8"/>
      <c r="B196" s="58"/>
      <c r="C196" s="59"/>
      <c r="D196" s="59"/>
      <c r="E196" s="58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8"/>
      <c r="B197" s="58"/>
      <c r="C197" s="59"/>
      <c r="D197" s="59"/>
      <c r="E197" s="58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8"/>
      <c r="B198" s="58"/>
      <c r="C198" s="59"/>
      <c r="D198" s="59"/>
      <c r="E198" s="58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8"/>
      <c r="B199" s="58"/>
      <c r="C199" s="59"/>
      <c r="D199" s="59"/>
      <c r="E199" s="58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8"/>
      <c r="B200" s="58"/>
      <c r="C200" s="59"/>
      <c r="D200" s="59"/>
      <c r="E200" s="58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8"/>
      <c r="B201" s="58"/>
      <c r="C201" s="59"/>
      <c r="D201" s="59"/>
      <c r="E201" s="58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8"/>
      <c r="B202" s="58"/>
      <c r="C202" s="59"/>
      <c r="D202" s="59"/>
      <c r="E202" s="58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8"/>
      <c r="B203" s="58"/>
      <c r="C203" s="59"/>
      <c r="D203" s="59"/>
      <c r="E203" s="58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8"/>
      <c r="B204" s="58"/>
      <c r="C204" s="59"/>
      <c r="D204" s="59"/>
      <c r="E204" s="58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8"/>
      <c r="B205" s="58"/>
      <c r="C205" s="59"/>
      <c r="D205" s="59"/>
      <c r="E205" s="58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8"/>
      <c r="B206" s="58"/>
      <c r="C206" s="59"/>
      <c r="D206" s="59"/>
      <c r="E206" s="58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8"/>
      <c r="B207" s="58"/>
      <c r="C207" s="59"/>
      <c r="D207" s="59"/>
      <c r="E207" s="58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8"/>
      <c r="B208" s="58"/>
      <c r="C208" s="59"/>
      <c r="D208" s="59"/>
      <c r="E208" s="58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8"/>
      <c r="B209" s="58"/>
      <c r="C209" s="59"/>
      <c r="D209" s="59"/>
      <c r="E209" s="58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8"/>
      <c r="B210" s="58"/>
      <c r="C210" s="59"/>
      <c r="D210" s="59"/>
      <c r="E210" s="58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8"/>
      <c r="B211" s="58"/>
      <c r="C211" s="59"/>
      <c r="D211" s="59"/>
      <c r="E211" s="58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8"/>
      <c r="B212" s="58"/>
      <c r="C212" s="59"/>
      <c r="D212" s="59"/>
      <c r="E212" s="58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8"/>
      <c r="B213" s="58"/>
      <c r="C213" s="59"/>
      <c r="D213" s="59"/>
      <c r="E213" s="58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8"/>
      <c r="B214" s="58"/>
      <c r="C214" s="59"/>
      <c r="D214" s="59"/>
      <c r="E214" s="58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8"/>
      <c r="B215" s="58"/>
      <c r="C215" s="59"/>
      <c r="D215" s="59"/>
      <c r="E215" s="58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8"/>
      <c r="B216" s="58"/>
      <c r="C216" s="59"/>
      <c r="D216" s="59"/>
      <c r="E216" s="58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8"/>
      <c r="B217" s="58"/>
      <c r="C217" s="59"/>
      <c r="D217" s="59"/>
      <c r="E217" s="58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8"/>
      <c r="B218" s="58"/>
      <c r="C218" s="59"/>
      <c r="D218" s="59"/>
      <c r="E218" s="58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8"/>
      <c r="B219" s="58"/>
      <c r="C219" s="59"/>
      <c r="D219" s="59"/>
      <c r="E219" s="58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8"/>
      <c r="B220" s="58"/>
      <c r="C220" s="59"/>
      <c r="D220" s="59"/>
      <c r="E220" s="58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8"/>
      <c r="B221" s="58"/>
      <c r="C221" s="59"/>
      <c r="D221" s="59"/>
      <c r="E221" s="58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8"/>
      <c r="B222" s="58"/>
      <c r="C222" s="59"/>
      <c r="D222" s="59"/>
      <c r="E222" s="58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8"/>
      <c r="B223" s="58"/>
      <c r="C223" s="59"/>
      <c r="D223" s="59"/>
      <c r="E223" s="58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8"/>
      <c r="B224" s="58"/>
      <c r="C224" s="59"/>
      <c r="D224" s="59"/>
      <c r="E224" s="58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8"/>
      <c r="B225" s="58"/>
      <c r="C225" s="59"/>
      <c r="D225" s="59"/>
      <c r="E225" s="58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8"/>
      <c r="B226" s="58"/>
      <c r="C226" s="59"/>
      <c r="D226" s="59"/>
      <c r="E226" s="58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8"/>
      <c r="B227" s="58"/>
      <c r="C227" s="59"/>
      <c r="D227" s="59"/>
      <c r="E227" s="58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8"/>
      <c r="B228" s="58"/>
      <c r="C228" s="59"/>
      <c r="D228" s="59"/>
      <c r="E228" s="58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8"/>
      <c r="B229" s="58"/>
      <c r="C229" s="59"/>
      <c r="D229" s="59"/>
      <c r="E229" s="58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8"/>
      <c r="B230" s="58"/>
      <c r="C230" s="59"/>
      <c r="D230" s="59"/>
      <c r="E230" s="58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8"/>
      <c r="B231" s="58"/>
      <c r="C231" s="59"/>
      <c r="D231" s="59"/>
      <c r="E231" s="58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8"/>
      <c r="B232" s="58"/>
      <c r="C232" s="59"/>
      <c r="D232" s="59"/>
      <c r="E232" s="58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8"/>
      <c r="B233" s="58"/>
      <c r="C233" s="59"/>
      <c r="D233" s="59"/>
      <c r="E233" s="58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8"/>
      <c r="B234" s="58"/>
      <c r="C234" s="59"/>
      <c r="D234" s="59"/>
      <c r="E234" s="58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8"/>
      <c r="B235" s="58"/>
      <c r="C235" s="59"/>
      <c r="D235" s="59"/>
      <c r="E235" s="58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8"/>
      <c r="B236" s="58"/>
      <c r="C236" s="59"/>
      <c r="D236" s="59"/>
      <c r="E236" s="58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8"/>
      <c r="B237" s="58"/>
      <c r="C237" s="59"/>
      <c r="D237" s="59"/>
      <c r="E237" s="58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8"/>
      <c r="B238" s="58"/>
      <c r="C238" s="59"/>
      <c r="D238" s="59"/>
      <c r="E238" s="58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8"/>
      <c r="B239" s="58"/>
      <c r="C239" s="59"/>
      <c r="D239" s="59"/>
      <c r="E239" s="58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8"/>
      <c r="B240" s="58"/>
      <c r="C240" s="59"/>
      <c r="D240" s="59"/>
      <c r="E240" s="58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8"/>
      <c r="B241" s="58"/>
      <c r="C241" s="59"/>
      <c r="D241" s="59"/>
      <c r="E241" s="58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8"/>
      <c r="B242" s="58"/>
      <c r="C242" s="59"/>
      <c r="D242" s="59"/>
      <c r="E242" s="58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8"/>
      <c r="B243" s="58"/>
      <c r="C243" s="59"/>
      <c r="D243" s="59"/>
      <c r="E243" s="58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8"/>
      <c r="B244" s="58"/>
      <c r="C244" s="59"/>
      <c r="D244" s="59"/>
      <c r="E244" s="58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8"/>
      <c r="B245" s="58"/>
      <c r="C245" s="59"/>
      <c r="D245" s="59"/>
      <c r="E245" s="58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8"/>
      <c r="B246" s="58"/>
      <c r="C246" s="59"/>
      <c r="D246" s="59"/>
      <c r="E246" s="58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8"/>
      <c r="B247" s="58"/>
      <c r="C247" s="59"/>
      <c r="D247" s="59"/>
      <c r="E247" s="58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8"/>
      <c r="B248" s="58"/>
      <c r="C248" s="59"/>
      <c r="D248" s="59"/>
      <c r="E248" s="58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8"/>
      <c r="B249" s="58"/>
      <c r="C249" s="59"/>
      <c r="D249" s="59"/>
      <c r="E249" s="58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8"/>
      <c r="B250" s="58"/>
      <c r="C250" s="59"/>
      <c r="D250" s="59"/>
      <c r="E250" s="58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8"/>
      <c r="B251" s="58"/>
      <c r="C251" s="59"/>
      <c r="D251" s="59"/>
      <c r="E251" s="58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8"/>
      <c r="B252" s="58"/>
      <c r="C252" s="59"/>
      <c r="D252" s="59"/>
      <c r="E252" s="58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8"/>
      <c r="B253" s="58"/>
      <c r="C253" s="59"/>
      <c r="D253" s="59"/>
      <c r="E253" s="58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8"/>
      <c r="B254" s="58"/>
      <c r="C254" s="59"/>
      <c r="D254" s="59"/>
      <c r="E254" s="58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8"/>
      <c r="B255" s="58"/>
      <c r="C255" s="59"/>
      <c r="D255" s="59"/>
      <c r="E255" s="58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8"/>
      <c r="B256" s="58"/>
      <c r="C256" s="59"/>
      <c r="D256" s="59"/>
      <c r="E256" s="58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8"/>
      <c r="B257" s="58"/>
      <c r="C257" s="59"/>
      <c r="D257" s="59"/>
      <c r="E257" s="58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8"/>
      <c r="B258" s="58"/>
      <c r="C258" s="59"/>
      <c r="D258" s="59"/>
      <c r="E258" s="58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8"/>
      <c r="B259" s="58"/>
      <c r="C259" s="59"/>
      <c r="D259" s="59"/>
      <c r="E259" s="58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8"/>
      <c r="B260" s="58"/>
      <c r="C260" s="59"/>
      <c r="D260" s="59"/>
      <c r="E260" s="58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8"/>
      <c r="B261" s="58"/>
      <c r="C261" s="59"/>
      <c r="D261" s="59"/>
      <c r="E261" s="58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8"/>
      <c r="B262" s="58"/>
      <c r="C262" s="59"/>
      <c r="D262" s="59"/>
      <c r="E262" s="58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8"/>
      <c r="B263" s="58"/>
      <c r="C263" s="59"/>
      <c r="D263" s="59"/>
      <c r="E263" s="58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8"/>
      <c r="B264" s="58"/>
      <c r="C264" s="59"/>
      <c r="D264" s="59"/>
      <c r="E264" s="58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8"/>
      <c r="B265" s="58"/>
      <c r="C265" s="59"/>
      <c r="D265" s="59"/>
      <c r="E265" s="58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8"/>
      <c r="B266" s="58"/>
      <c r="C266" s="59"/>
      <c r="D266" s="59"/>
      <c r="E266" s="58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8"/>
      <c r="B267" s="58"/>
      <c r="C267" s="59"/>
      <c r="D267" s="59"/>
      <c r="E267" s="58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8"/>
      <c r="B268" s="58"/>
      <c r="C268" s="59"/>
      <c r="D268" s="59"/>
      <c r="E268" s="58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8"/>
      <c r="B269" s="58"/>
      <c r="C269" s="59"/>
      <c r="D269" s="59"/>
      <c r="E269" s="58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8"/>
      <c r="B270" s="58"/>
      <c r="C270" s="59"/>
      <c r="D270" s="59"/>
      <c r="E270" s="58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8"/>
      <c r="B271" s="58"/>
      <c r="C271" s="59"/>
      <c r="D271" s="59"/>
      <c r="E271" s="58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8"/>
      <c r="B272" s="58"/>
      <c r="C272" s="59"/>
      <c r="D272" s="59"/>
      <c r="E272" s="58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8"/>
      <c r="B273" s="58"/>
      <c r="C273" s="59"/>
      <c r="D273" s="59"/>
      <c r="E273" s="58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8"/>
      <c r="B274" s="58"/>
      <c r="C274" s="59"/>
      <c r="D274" s="59"/>
      <c r="E274" s="58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8"/>
      <c r="B275" s="58"/>
      <c r="C275" s="59"/>
      <c r="D275" s="59"/>
      <c r="E275" s="58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8"/>
      <c r="B276" s="58"/>
      <c r="C276" s="59"/>
      <c r="D276" s="59"/>
      <c r="E276" s="58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8"/>
      <c r="B277" s="58"/>
      <c r="C277" s="59"/>
      <c r="D277" s="59"/>
      <c r="E277" s="58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8"/>
      <c r="B278" s="58"/>
      <c r="C278" s="59"/>
      <c r="D278" s="59"/>
      <c r="E278" s="58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8"/>
      <c r="B279" s="58"/>
      <c r="C279" s="59"/>
      <c r="D279" s="59"/>
      <c r="E279" s="58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8"/>
      <c r="B280" s="58"/>
      <c r="C280" s="59"/>
      <c r="D280" s="59"/>
      <c r="E280" s="58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8"/>
      <c r="B281" s="58"/>
      <c r="C281" s="59"/>
      <c r="D281" s="59"/>
      <c r="E281" s="58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8"/>
      <c r="B282" s="58"/>
      <c r="C282" s="59"/>
      <c r="D282" s="59"/>
      <c r="E282" s="58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8"/>
      <c r="B283" s="58"/>
      <c r="C283" s="59"/>
      <c r="D283" s="59"/>
      <c r="E283" s="58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8"/>
      <c r="B284" s="58"/>
      <c r="C284" s="59"/>
      <c r="D284" s="59"/>
      <c r="E284" s="58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8"/>
      <c r="B285" s="58"/>
      <c r="C285" s="59"/>
      <c r="D285" s="59"/>
      <c r="E285" s="58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8"/>
      <c r="B286" s="58"/>
      <c r="C286" s="59"/>
      <c r="D286" s="59"/>
      <c r="E286" s="58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8"/>
      <c r="B287" s="58"/>
      <c r="C287" s="59"/>
      <c r="D287" s="59"/>
      <c r="E287" s="58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8"/>
      <c r="B288" s="58"/>
      <c r="C288" s="59"/>
      <c r="D288" s="59"/>
      <c r="E288" s="58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8"/>
      <c r="B289" s="58"/>
      <c r="C289" s="59"/>
      <c r="D289" s="59"/>
      <c r="E289" s="58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8"/>
      <c r="B290" s="58"/>
      <c r="C290" s="59"/>
      <c r="D290" s="59"/>
      <c r="E290" s="58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8"/>
      <c r="B291" s="58"/>
      <c r="C291" s="59"/>
      <c r="D291" s="59"/>
      <c r="E291" s="58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8"/>
      <c r="B292" s="58"/>
      <c r="C292" s="59"/>
      <c r="D292" s="59"/>
      <c r="E292" s="58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8"/>
      <c r="B293" s="58"/>
      <c r="C293" s="59"/>
      <c r="D293" s="59"/>
      <c r="E293" s="58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8"/>
      <c r="B294" s="58"/>
      <c r="C294" s="59"/>
      <c r="D294" s="59"/>
      <c r="E294" s="58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8"/>
      <c r="B295" s="58"/>
      <c r="C295" s="59"/>
      <c r="D295" s="59"/>
      <c r="E295" s="58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8"/>
      <c r="B296" s="58"/>
      <c r="C296" s="59"/>
      <c r="D296" s="59"/>
      <c r="E296" s="58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8"/>
      <c r="B297" s="58"/>
      <c r="C297" s="59"/>
      <c r="D297" s="59"/>
      <c r="E297" s="58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8"/>
      <c r="B298" s="58"/>
      <c r="C298" s="59"/>
      <c r="D298" s="59"/>
      <c r="E298" s="58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8"/>
      <c r="B299" s="58"/>
      <c r="C299" s="59"/>
      <c r="D299" s="59"/>
      <c r="E299" s="58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8"/>
      <c r="B300" s="58"/>
      <c r="C300" s="59"/>
      <c r="D300" s="59"/>
      <c r="E300" s="58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8"/>
      <c r="B301" s="58"/>
      <c r="C301" s="59"/>
      <c r="D301" s="59"/>
      <c r="E301" s="58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8"/>
      <c r="B302" s="58"/>
      <c r="C302" s="59"/>
      <c r="D302" s="59"/>
      <c r="E302" s="58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8"/>
      <c r="B303" s="58"/>
      <c r="C303" s="59"/>
      <c r="D303" s="59"/>
      <c r="E303" s="58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8"/>
      <c r="B304" s="58"/>
      <c r="C304" s="59"/>
      <c r="D304" s="59"/>
      <c r="E304" s="58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8"/>
      <c r="B305" s="58"/>
      <c r="C305" s="59"/>
      <c r="D305" s="59"/>
      <c r="E305" s="58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8"/>
      <c r="B306" s="58"/>
      <c r="C306" s="59"/>
      <c r="D306" s="59"/>
      <c r="E306" s="58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8"/>
      <c r="B307" s="58"/>
      <c r="C307" s="59"/>
      <c r="D307" s="59"/>
      <c r="E307" s="58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8"/>
      <c r="B308" s="58"/>
      <c r="C308" s="59"/>
      <c r="D308" s="59"/>
      <c r="E308" s="58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8"/>
      <c r="B309" s="58"/>
      <c r="C309" s="59"/>
      <c r="D309" s="59"/>
      <c r="E309" s="58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8"/>
      <c r="B310" s="58"/>
      <c r="C310" s="59"/>
      <c r="D310" s="59"/>
      <c r="E310" s="58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8"/>
      <c r="B311" s="58"/>
      <c r="C311" s="59"/>
      <c r="D311" s="59"/>
      <c r="E311" s="58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8"/>
      <c r="B312" s="58"/>
      <c r="C312" s="59"/>
      <c r="D312" s="59"/>
      <c r="E312" s="58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8"/>
      <c r="B313" s="58"/>
      <c r="C313" s="59"/>
      <c r="D313" s="59"/>
      <c r="E313" s="58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8"/>
      <c r="B314" s="58"/>
      <c r="C314" s="59"/>
      <c r="D314" s="59"/>
      <c r="E314" s="58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8"/>
      <c r="B315" s="58"/>
      <c r="C315" s="59"/>
      <c r="D315" s="59"/>
      <c r="E315" s="58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8"/>
      <c r="B316" s="58"/>
      <c r="C316" s="59"/>
      <c r="D316" s="59"/>
      <c r="E316" s="58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8"/>
      <c r="B317" s="58"/>
      <c r="C317" s="59"/>
      <c r="D317" s="59"/>
      <c r="E317" s="58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8"/>
      <c r="B318" s="58"/>
      <c r="C318" s="59"/>
      <c r="D318" s="59"/>
      <c r="E318" s="58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8"/>
      <c r="B319" s="58"/>
      <c r="C319" s="59"/>
      <c r="D319" s="59"/>
      <c r="E319" s="58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8"/>
      <c r="B320" s="58"/>
      <c r="C320" s="59"/>
      <c r="D320" s="59"/>
      <c r="E320" s="58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8"/>
      <c r="B321" s="58"/>
      <c r="C321" s="59"/>
      <c r="D321" s="59"/>
      <c r="E321" s="58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8"/>
      <c r="B322" s="58"/>
      <c r="C322" s="59"/>
      <c r="D322" s="59"/>
      <c r="E322" s="58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8"/>
      <c r="B323" s="58"/>
      <c r="C323" s="59"/>
      <c r="D323" s="59"/>
      <c r="E323" s="58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8"/>
      <c r="B324" s="58"/>
      <c r="C324" s="59"/>
      <c r="D324" s="59"/>
      <c r="E324" s="58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8"/>
      <c r="B325" s="58"/>
      <c r="C325" s="59"/>
      <c r="D325" s="59"/>
      <c r="E325" s="58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8"/>
      <c r="B326" s="58"/>
      <c r="C326" s="59"/>
      <c r="D326" s="59"/>
      <c r="E326" s="58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8"/>
      <c r="B327" s="58"/>
      <c r="C327" s="59"/>
      <c r="D327" s="59"/>
      <c r="E327" s="58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8"/>
      <c r="B328" s="58"/>
      <c r="C328" s="59"/>
      <c r="D328" s="59"/>
      <c r="E328" s="58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8"/>
      <c r="B329" s="58"/>
      <c r="C329" s="59"/>
      <c r="D329" s="59"/>
      <c r="E329" s="58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8"/>
      <c r="B330" s="58"/>
      <c r="C330" s="59"/>
      <c r="D330" s="59"/>
      <c r="E330" s="58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8"/>
      <c r="B331" s="58"/>
      <c r="C331" s="59"/>
      <c r="D331" s="59"/>
      <c r="E331" s="58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8"/>
      <c r="B332" s="58"/>
      <c r="C332" s="59"/>
      <c r="D332" s="59"/>
      <c r="E332" s="58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8"/>
      <c r="B333" s="58"/>
      <c r="C333" s="59"/>
      <c r="D333" s="59"/>
      <c r="E333" s="58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8"/>
      <c r="B334" s="58"/>
      <c r="C334" s="59"/>
      <c r="D334" s="59"/>
      <c r="E334" s="58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8"/>
      <c r="B335" s="58"/>
      <c r="C335" s="59"/>
      <c r="D335" s="59"/>
      <c r="E335" s="58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8"/>
      <c r="B336" s="58"/>
      <c r="C336" s="59"/>
      <c r="D336" s="59"/>
      <c r="E336" s="58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8"/>
      <c r="B337" s="58"/>
      <c r="C337" s="59"/>
      <c r="D337" s="59"/>
      <c r="E337" s="58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8"/>
      <c r="B338" s="58"/>
      <c r="C338" s="59"/>
      <c r="D338" s="59"/>
      <c r="E338" s="58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8"/>
      <c r="B339" s="58"/>
      <c r="C339" s="59"/>
      <c r="D339" s="59"/>
      <c r="E339" s="58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8"/>
      <c r="B340" s="58"/>
      <c r="C340" s="59"/>
      <c r="D340" s="59"/>
      <c r="E340" s="58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8"/>
      <c r="B341" s="58"/>
      <c r="C341" s="59"/>
      <c r="D341" s="59"/>
      <c r="E341" s="58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8"/>
      <c r="B342" s="58"/>
      <c r="C342" s="59"/>
      <c r="D342" s="59"/>
      <c r="E342" s="58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8"/>
      <c r="B343" s="58"/>
      <c r="C343" s="59"/>
      <c r="D343" s="59"/>
      <c r="E343" s="58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8"/>
      <c r="B344" s="58"/>
      <c r="C344" s="59"/>
      <c r="D344" s="59"/>
      <c r="E344" s="58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8"/>
      <c r="B345" s="58"/>
      <c r="C345" s="59"/>
      <c r="D345" s="59"/>
      <c r="E345" s="58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8"/>
      <c r="B346" s="58"/>
      <c r="C346" s="59"/>
      <c r="D346" s="59"/>
      <c r="E346" s="58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8"/>
      <c r="B347" s="58"/>
      <c r="C347" s="59"/>
      <c r="D347" s="59"/>
      <c r="E347" s="58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8"/>
      <c r="B348" s="58"/>
      <c r="C348" s="59"/>
      <c r="D348" s="59"/>
      <c r="E348" s="58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8"/>
      <c r="B349" s="58"/>
      <c r="C349" s="59"/>
      <c r="D349" s="59"/>
      <c r="E349" s="58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8"/>
      <c r="B350" s="58"/>
      <c r="C350" s="59"/>
      <c r="D350" s="59"/>
      <c r="E350" s="58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8"/>
      <c r="B351" s="58"/>
      <c r="C351" s="59"/>
      <c r="D351" s="59"/>
      <c r="E351" s="58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8"/>
      <c r="B352" s="58"/>
      <c r="C352" s="59"/>
      <c r="D352" s="59"/>
      <c r="E352" s="58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8"/>
      <c r="B353" s="58"/>
      <c r="C353" s="59"/>
      <c r="D353" s="59"/>
      <c r="E353" s="58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8"/>
      <c r="B354" s="58"/>
      <c r="C354" s="59"/>
      <c r="D354" s="59"/>
      <c r="E354" s="58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8"/>
      <c r="B355" s="58"/>
      <c r="C355" s="59"/>
      <c r="D355" s="59"/>
      <c r="E355" s="58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8"/>
      <c r="B356" s="58"/>
      <c r="C356" s="59"/>
      <c r="D356" s="59"/>
      <c r="E356" s="58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8"/>
      <c r="B357" s="58"/>
      <c r="C357" s="59"/>
      <c r="D357" s="59"/>
      <c r="E357" s="58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8"/>
      <c r="B358" s="58"/>
      <c r="C358" s="59"/>
      <c r="D358" s="59"/>
      <c r="E358" s="58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8"/>
      <c r="B359" s="58"/>
      <c r="C359" s="59"/>
      <c r="D359" s="59"/>
      <c r="E359" s="58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8"/>
      <c r="B360" s="58"/>
      <c r="C360" s="59"/>
      <c r="D360" s="59"/>
      <c r="E360" s="58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8"/>
      <c r="B361" s="58"/>
      <c r="C361" s="59"/>
      <c r="D361" s="59"/>
      <c r="E361" s="58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8"/>
      <c r="B362" s="58"/>
      <c r="C362" s="59"/>
      <c r="D362" s="59"/>
      <c r="E362" s="58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8"/>
      <c r="B363" s="58"/>
      <c r="C363" s="59"/>
      <c r="D363" s="59"/>
      <c r="E363" s="58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8"/>
      <c r="B364" s="58"/>
      <c r="C364" s="59"/>
      <c r="D364" s="59"/>
      <c r="E364" s="58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8"/>
      <c r="B365" s="58"/>
      <c r="C365" s="59"/>
      <c r="D365" s="59"/>
      <c r="E365" s="58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8"/>
      <c r="B366" s="58"/>
      <c r="C366" s="59"/>
      <c r="D366" s="59"/>
      <c r="E366" s="58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8"/>
      <c r="B367" s="58"/>
      <c r="C367" s="59"/>
      <c r="D367" s="59"/>
      <c r="E367" s="58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8"/>
      <c r="B368" s="58"/>
      <c r="C368" s="59"/>
      <c r="D368" s="59"/>
      <c r="E368" s="58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8"/>
      <c r="B369" s="58"/>
      <c r="C369" s="59"/>
      <c r="D369" s="59"/>
      <c r="E369" s="58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8"/>
      <c r="B370" s="58"/>
      <c r="C370" s="59"/>
      <c r="D370" s="59"/>
      <c r="E370" s="58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8"/>
      <c r="B371" s="58"/>
      <c r="C371" s="59"/>
      <c r="D371" s="59"/>
      <c r="E371" s="58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8"/>
      <c r="B372" s="58"/>
      <c r="C372" s="59"/>
      <c r="D372" s="59"/>
      <c r="E372" s="58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8"/>
      <c r="B373" s="58"/>
      <c r="C373" s="59"/>
      <c r="D373" s="59"/>
      <c r="E373" s="58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8"/>
      <c r="B374" s="58"/>
      <c r="C374" s="59"/>
      <c r="D374" s="59"/>
      <c r="E374" s="58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8"/>
      <c r="B375" s="58"/>
      <c r="C375" s="59"/>
      <c r="D375" s="59"/>
      <c r="E375" s="58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8"/>
      <c r="B376" s="58"/>
      <c r="C376" s="59"/>
      <c r="D376" s="59"/>
      <c r="E376" s="58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8"/>
      <c r="B377" s="58"/>
      <c r="C377" s="59"/>
      <c r="D377" s="59"/>
      <c r="E377" s="58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8"/>
      <c r="B378" s="58"/>
      <c r="C378" s="59"/>
      <c r="D378" s="59"/>
      <c r="E378" s="58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8"/>
      <c r="B379" s="58"/>
      <c r="C379" s="59"/>
      <c r="D379" s="59"/>
      <c r="E379" s="58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8"/>
      <c r="B380" s="58"/>
      <c r="C380" s="59"/>
      <c r="D380" s="59"/>
      <c r="E380" s="58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8"/>
      <c r="B381" s="58"/>
      <c r="C381" s="59"/>
      <c r="D381" s="59"/>
      <c r="E381" s="58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8"/>
      <c r="B382" s="58"/>
      <c r="C382" s="59"/>
      <c r="D382" s="59"/>
      <c r="E382" s="58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8"/>
      <c r="B383" s="58"/>
      <c r="C383" s="59"/>
      <c r="D383" s="59"/>
      <c r="E383" s="58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8"/>
      <c r="B384" s="58"/>
      <c r="C384" s="59"/>
      <c r="D384" s="59"/>
      <c r="E384" s="58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8"/>
      <c r="B385" s="58"/>
      <c r="C385" s="59"/>
      <c r="D385" s="59"/>
      <c r="E385" s="58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8"/>
      <c r="B386" s="58"/>
      <c r="C386" s="59"/>
      <c r="D386" s="59"/>
      <c r="E386" s="58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8"/>
      <c r="B387" s="58"/>
      <c r="C387" s="59"/>
      <c r="D387" s="59"/>
      <c r="E387" s="58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8"/>
      <c r="B388" s="58"/>
      <c r="C388" s="59"/>
      <c r="D388" s="59"/>
      <c r="E388" s="58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8"/>
      <c r="B389" s="58"/>
      <c r="C389" s="59"/>
      <c r="D389" s="59"/>
      <c r="E389" s="58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8"/>
      <c r="B390" s="58"/>
      <c r="C390" s="59"/>
      <c r="D390" s="59"/>
      <c r="E390" s="58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8"/>
      <c r="B391" s="58"/>
      <c r="C391" s="59"/>
      <c r="D391" s="59"/>
      <c r="E391" s="58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8"/>
      <c r="B392" s="58"/>
      <c r="C392" s="59"/>
      <c r="D392" s="59"/>
      <c r="E392" s="58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8"/>
      <c r="B393" s="58"/>
      <c r="C393" s="59"/>
      <c r="D393" s="59"/>
      <c r="E393" s="58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8"/>
      <c r="B394" s="58"/>
      <c r="C394" s="59"/>
      <c r="D394" s="59"/>
      <c r="E394" s="58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8"/>
      <c r="B395" s="58"/>
      <c r="C395" s="59"/>
      <c r="D395" s="59"/>
      <c r="E395" s="58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8"/>
      <c r="B396" s="58"/>
      <c r="C396" s="59"/>
      <c r="D396" s="59"/>
      <c r="E396" s="58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8"/>
      <c r="B397" s="58"/>
      <c r="C397" s="59"/>
      <c r="D397" s="59"/>
      <c r="E397" s="58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8"/>
      <c r="B398" s="58"/>
      <c r="C398" s="59"/>
      <c r="D398" s="59"/>
      <c r="E398" s="58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8"/>
      <c r="B399" s="58"/>
      <c r="C399" s="59"/>
      <c r="D399" s="59"/>
      <c r="E399" s="58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8"/>
      <c r="B400" s="58"/>
      <c r="C400" s="59"/>
      <c r="D400" s="59"/>
      <c r="E400" s="58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8"/>
      <c r="B401" s="58"/>
      <c r="C401" s="59"/>
      <c r="D401" s="59"/>
      <c r="E401" s="58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8"/>
      <c r="B402" s="58"/>
      <c r="C402" s="59"/>
      <c r="D402" s="59"/>
      <c r="E402" s="58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8"/>
      <c r="B403" s="58"/>
      <c r="C403" s="59"/>
      <c r="D403" s="59"/>
      <c r="E403" s="58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8"/>
      <c r="B404" s="58"/>
      <c r="C404" s="59"/>
      <c r="D404" s="59"/>
      <c r="E404" s="58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8"/>
      <c r="B405" s="58"/>
      <c r="C405" s="59"/>
      <c r="D405" s="59"/>
      <c r="E405" s="58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8"/>
      <c r="B406" s="58"/>
      <c r="C406" s="59"/>
      <c r="D406" s="59"/>
      <c r="E406" s="58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8"/>
      <c r="B407" s="58"/>
      <c r="C407" s="59"/>
      <c r="D407" s="59"/>
      <c r="E407" s="58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8"/>
      <c r="B408" s="58"/>
      <c r="C408" s="59"/>
      <c r="D408" s="59"/>
      <c r="E408" s="58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8"/>
      <c r="B409" s="58"/>
      <c r="C409" s="59"/>
      <c r="D409" s="59"/>
      <c r="E409" s="58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8"/>
      <c r="B410" s="58"/>
      <c r="C410" s="59"/>
      <c r="D410" s="59"/>
      <c r="E410" s="58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8"/>
      <c r="B411" s="58"/>
      <c r="C411" s="59"/>
      <c r="D411" s="59"/>
      <c r="E411" s="58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8"/>
      <c r="B412" s="58"/>
      <c r="C412" s="59"/>
      <c r="D412" s="59"/>
      <c r="E412" s="58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8"/>
      <c r="B413" s="58"/>
      <c r="C413" s="59"/>
      <c r="D413" s="59"/>
      <c r="E413" s="58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8"/>
      <c r="B414" s="58"/>
      <c r="C414" s="59"/>
      <c r="D414" s="59"/>
      <c r="E414" s="58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8"/>
      <c r="B415" s="58"/>
      <c r="C415" s="59"/>
      <c r="D415" s="59"/>
      <c r="E415" s="58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8"/>
      <c r="B416" s="58"/>
      <c r="C416" s="59"/>
      <c r="D416" s="59"/>
      <c r="E416" s="58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8"/>
      <c r="B417" s="58"/>
      <c r="C417" s="59"/>
      <c r="D417" s="59"/>
      <c r="E417" s="58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8"/>
      <c r="B418" s="58"/>
      <c r="C418" s="59"/>
      <c r="D418" s="59"/>
      <c r="E418" s="58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8"/>
      <c r="B419" s="58"/>
      <c r="C419" s="59"/>
      <c r="D419" s="59"/>
      <c r="E419" s="58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8"/>
      <c r="B420" s="58"/>
      <c r="C420" s="59"/>
      <c r="D420" s="59"/>
      <c r="E420" s="58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8"/>
      <c r="B421" s="58"/>
      <c r="C421" s="59"/>
      <c r="D421" s="59"/>
      <c r="E421" s="58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8"/>
      <c r="B422" s="58"/>
      <c r="C422" s="59"/>
      <c r="D422" s="59"/>
      <c r="E422" s="58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8"/>
      <c r="B423" s="58"/>
      <c r="C423" s="59"/>
      <c r="D423" s="59"/>
      <c r="E423" s="58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8"/>
      <c r="B424" s="58"/>
      <c r="C424" s="59"/>
      <c r="D424" s="59"/>
      <c r="E424" s="58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8"/>
      <c r="B425" s="58"/>
      <c r="C425" s="59"/>
      <c r="D425" s="59"/>
      <c r="E425" s="58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8"/>
      <c r="B426" s="58"/>
      <c r="C426" s="59"/>
      <c r="D426" s="59"/>
      <c r="E426" s="58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8"/>
      <c r="B427" s="58"/>
      <c r="C427" s="59"/>
      <c r="D427" s="59"/>
      <c r="E427" s="58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8"/>
      <c r="B428" s="58"/>
      <c r="C428" s="59"/>
      <c r="D428" s="59"/>
      <c r="E428" s="58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8"/>
      <c r="B429" s="58"/>
      <c r="C429" s="59"/>
      <c r="D429" s="59"/>
      <c r="E429" s="58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8"/>
      <c r="B430" s="58"/>
      <c r="C430" s="59"/>
      <c r="D430" s="59"/>
      <c r="E430" s="58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8"/>
      <c r="B431" s="58"/>
      <c r="C431" s="59"/>
      <c r="D431" s="59"/>
      <c r="E431" s="58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8"/>
      <c r="B432" s="58"/>
      <c r="C432" s="59"/>
      <c r="D432" s="59"/>
      <c r="E432" s="58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8"/>
      <c r="B433" s="58"/>
      <c r="C433" s="59"/>
      <c r="D433" s="59"/>
      <c r="E433" s="58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8"/>
      <c r="B434" s="58"/>
      <c r="C434" s="59"/>
      <c r="D434" s="59"/>
      <c r="E434" s="58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8"/>
      <c r="B435" s="58"/>
      <c r="C435" s="59"/>
      <c r="D435" s="59"/>
      <c r="E435" s="58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8"/>
      <c r="B436" s="58"/>
      <c r="C436" s="59"/>
      <c r="D436" s="59"/>
      <c r="E436" s="58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8"/>
      <c r="B437" s="58"/>
      <c r="C437" s="59"/>
      <c r="D437" s="59"/>
      <c r="E437" s="58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8"/>
      <c r="B438" s="58"/>
      <c r="C438" s="59"/>
      <c r="D438" s="59"/>
      <c r="E438" s="58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8"/>
      <c r="B439" s="58"/>
      <c r="C439" s="59"/>
      <c r="D439" s="59"/>
      <c r="E439" s="58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8"/>
      <c r="B440" s="58"/>
      <c r="C440" s="59"/>
      <c r="D440" s="59"/>
      <c r="E440" s="58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8"/>
      <c r="B441" s="58"/>
      <c r="C441" s="59"/>
      <c r="D441" s="59"/>
      <c r="E441" s="58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8"/>
      <c r="B442" s="58"/>
      <c r="C442" s="59"/>
      <c r="D442" s="59"/>
      <c r="E442" s="58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8"/>
      <c r="B443" s="58"/>
      <c r="C443" s="59"/>
      <c r="D443" s="59"/>
      <c r="E443" s="58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8"/>
      <c r="B444" s="58"/>
      <c r="C444" s="59"/>
      <c r="D444" s="59"/>
      <c r="E444" s="58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8"/>
      <c r="B445" s="58"/>
      <c r="C445" s="59"/>
      <c r="D445" s="59"/>
      <c r="E445" s="58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8"/>
      <c r="B446" s="58"/>
      <c r="C446" s="59"/>
      <c r="D446" s="59"/>
      <c r="E446" s="58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8"/>
      <c r="B447" s="58"/>
      <c r="C447" s="59"/>
      <c r="D447" s="59"/>
      <c r="E447" s="58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8"/>
      <c r="B448" s="58"/>
      <c r="C448" s="59"/>
      <c r="D448" s="59"/>
      <c r="E448" s="58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8"/>
      <c r="B449" s="58"/>
      <c r="C449" s="59"/>
      <c r="D449" s="59"/>
      <c r="E449" s="58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8"/>
      <c r="B450" s="58"/>
      <c r="C450" s="59"/>
      <c r="D450" s="59"/>
      <c r="E450" s="58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8"/>
      <c r="B451" s="58"/>
      <c r="C451" s="59"/>
      <c r="D451" s="59"/>
      <c r="E451" s="58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8"/>
      <c r="B452" s="58"/>
      <c r="C452" s="59"/>
      <c r="D452" s="59"/>
      <c r="E452" s="58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8"/>
      <c r="B453" s="58"/>
      <c r="C453" s="59"/>
      <c r="D453" s="59"/>
      <c r="E453" s="58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8"/>
      <c r="B454" s="58"/>
      <c r="C454" s="59"/>
      <c r="D454" s="59"/>
      <c r="E454" s="58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8"/>
      <c r="B455" s="58"/>
      <c r="C455" s="59"/>
      <c r="D455" s="59"/>
      <c r="E455" s="58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8"/>
      <c r="B456" s="58"/>
      <c r="C456" s="59"/>
      <c r="D456" s="59"/>
      <c r="E456" s="58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8"/>
      <c r="B457" s="58"/>
      <c r="C457" s="59"/>
      <c r="D457" s="59"/>
      <c r="E457" s="58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8"/>
      <c r="B458" s="58"/>
      <c r="C458" s="59"/>
      <c r="D458" s="59"/>
      <c r="E458" s="58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8"/>
      <c r="B459" s="58"/>
      <c r="C459" s="59"/>
      <c r="D459" s="59"/>
      <c r="E459" s="58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8"/>
      <c r="B460" s="58"/>
      <c r="C460" s="59"/>
      <c r="D460" s="59"/>
      <c r="E460" s="58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8"/>
      <c r="B461" s="58"/>
      <c r="C461" s="59"/>
      <c r="D461" s="59"/>
      <c r="E461" s="58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8"/>
      <c r="B462" s="58"/>
      <c r="C462" s="59"/>
      <c r="D462" s="59"/>
      <c r="E462" s="58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8"/>
      <c r="B463" s="58"/>
      <c r="C463" s="59"/>
      <c r="D463" s="59"/>
      <c r="E463" s="58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8"/>
      <c r="B464" s="58"/>
      <c r="C464" s="59"/>
      <c r="D464" s="59"/>
      <c r="E464" s="58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8"/>
      <c r="B465" s="58"/>
      <c r="C465" s="59"/>
      <c r="D465" s="59"/>
      <c r="E465" s="58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8"/>
      <c r="B466" s="58"/>
      <c r="C466" s="59"/>
      <c r="D466" s="59"/>
      <c r="E466" s="58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8"/>
      <c r="B467" s="58"/>
      <c r="C467" s="59"/>
      <c r="D467" s="59"/>
      <c r="E467" s="58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8"/>
      <c r="B468" s="58"/>
      <c r="C468" s="59"/>
      <c r="D468" s="59"/>
      <c r="E468" s="58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8"/>
      <c r="B469" s="58"/>
      <c r="C469" s="59"/>
      <c r="D469" s="59"/>
      <c r="E469" s="58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8"/>
      <c r="B470" s="58"/>
      <c r="C470" s="59"/>
      <c r="D470" s="59"/>
      <c r="E470" s="58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8"/>
      <c r="B471" s="58"/>
      <c r="C471" s="59"/>
      <c r="D471" s="59"/>
      <c r="E471" s="58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8"/>
      <c r="B472" s="58"/>
      <c r="C472" s="59"/>
      <c r="D472" s="59"/>
      <c r="E472" s="58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8"/>
      <c r="B473" s="58"/>
      <c r="C473" s="59"/>
      <c r="D473" s="59"/>
      <c r="E473" s="58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8"/>
      <c r="B474" s="58"/>
      <c r="C474" s="59"/>
      <c r="D474" s="59"/>
      <c r="E474" s="58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8"/>
      <c r="B475" s="58"/>
      <c r="C475" s="59"/>
      <c r="D475" s="59"/>
      <c r="E475" s="58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8"/>
      <c r="B476" s="58"/>
      <c r="C476" s="59"/>
      <c r="D476" s="59"/>
      <c r="E476" s="58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8"/>
      <c r="B477" s="58"/>
      <c r="C477" s="59"/>
      <c r="D477" s="59"/>
      <c r="E477" s="58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8"/>
      <c r="B478" s="58"/>
      <c r="C478" s="59"/>
      <c r="D478" s="59"/>
      <c r="E478" s="58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8"/>
      <c r="B479" s="58"/>
      <c r="C479" s="59"/>
      <c r="D479" s="59"/>
      <c r="E479" s="58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8"/>
      <c r="B480" s="58"/>
      <c r="C480" s="59"/>
      <c r="D480" s="59"/>
      <c r="E480" s="58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8"/>
      <c r="B481" s="58"/>
      <c r="C481" s="59"/>
      <c r="D481" s="59"/>
      <c r="E481" s="58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8"/>
      <c r="B482" s="58"/>
      <c r="C482" s="59"/>
      <c r="D482" s="59"/>
      <c r="E482" s="58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8"/>
      <c r="B483" s="58"/>
      <c r="C483" s="59"/>
      <c r="D483" s="59"/>
      <c r="E483" s="58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8"/>
      <c r="B484" s="58"/>
      <c r="C484" s="59"/>
      <c r="D484" s="59"/>
      <c r="E484" s="58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8"/>
      <c r="B485" s="58"/>
      <c r="C485" s="59"/>
      <c r="D485" s="59"/>
      <c r="E485" s="58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8"/>
      <c r="B486" s="58"/>
      <c r="C486" s="59"/>
      <c r="D486" s="59"/>
      <c r="E486" s="58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8"/>
      <c r="B487" s="58"/>
      <c r="C487" s="59"/>
      <c r="D487" s="59"/>
      <c r="E487" s="58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8"/>
      <c r="B488" s="58"/>
      <c r="C488" s="59"/>
      <c r="D488" s="59"/>
      <c r="E488" s="58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8"/>
      <c r="B489" s="58"/>
      <c r="C489" s="59"/>
      <c r="D489" s="59"/>
      <c r="E489" s="58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8"/>
      <c r="B490" s="58"/>
      <c r="C490" s="59"/>
      <c r="D490" s="59"/>
      <c r="E490" s="58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8"/>
      <c r="B491" s="58"/>
      <c r="C491" s="59"/>
      <c r="D491" s="59"/>
      <c r="E491" s="58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8"/>
      <c r="B492" s="58"/>
      <c r="C492" s="59"/>
      <c r="D492" s="59"/>
      <c r="E492" s="58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8"/>
      <c r="B493" s="58"/>
      <c r="C493" s="59"/>
      <c r="D493" s="59"/>
      <c r="E493" s="58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8"/>
      <c r="B494" s="58"/>
      <c r="C494" s="59"/>
      <c r="D494" s="59"/>
      <c r="E494" s="58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8"/>
      <c r="B495" s="58"/>
      <c r="C495" s="59"/>
      <c r="D495" s="59"/>
      <c r="E495" s="58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8"/>
      <c r="B496" s="58"/>
      <c r="C496" s="59"/>
      <c r="D496" s="59"/>
      <c r="E496" s="58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8"/>
      <c r="B497" s="58"/>
      <c r="C497" s="59"/>
      <c r="D497" s="59"/>
      <c r="E497" s="58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8"/>
      <c r="B498" s="58"/>
      <c r="C498" s="59"/>
      <c r="D498" s="59"/>
      <c r="E498" s="58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8"/>
      <c r="B499" s="58"/>
      <c r="C499" s="59"/>
      <c r="D499" s="59"/>
      <c r="E499" s="58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8"/>
      <c r="B500" s="58"/>
      <c r="C500" s="59"/>
      <c r="D500" s="59"/>
      <c r="E500" s="58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8"/>
      <c r="B501" s="58"/>
      <c r="C501" s="59"/>
      <c r="D501" s="59"/>
      <c r="E501" s="58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8"/>
      <c r="B502" s="58"/>
      <c r="C502" s="59"/>
      <c r="D502" s="59"/>
      <c r="E502" s="58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8"/>
      <c r="B503" s="58"/>
      <c r="C503" s="59"/>
      <c r="D503" s="59"/>
      <c r="E503" s="58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8"/>
      <c r="B504" s="58"/>
      <c r="C504" s="59"/>
      <c r="D504" s="59"/>
      <c r="E504" s="58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8"/>
      <c r="B505" s="58"/>
      <c r="C505" s="59"/>
      <c r="D505" s="59"/>
      <c r="E505" s="58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8"/>
      <c r="B506" s="58"/>
      <c r="C506" s="59"/>
      <c r="D506" s="59"/>
      <c r="E506" s="58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8"/>
      <c r="B507" s="58"/>
      <c r="C507" s="59"/>
      <c r="D507" s="59"/>
      <c r="E507" s="58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8"/>
      <c r="B508" s="58"/>
      <c r="C508" s="59"/>
      <c r="D508" s="59"/>
      <c r="E508" s="58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8"/>
      <c r="B509" s="58"/>
      <c r="C509" s="59"/>
      <c r="D509" s="59"/>
      <c r="E509" s="58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8"/>
      <c r="B510" s="58"/>
      <c r="C510" s="59"/>
      <c r="D510" s="59"/>
      <c r="E510" s="58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8"/>
      <c r="B511" s="58"/>
      <c r="C511" s="59"/>
      <c r="D511" s="59"/>
      <c r="E511" s="58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8"/>
      <c r="B512" s="58"/>
      <c r="C512" s="59"/>
      <c r="D512" s="59"/>
      <c r="E512" s="58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8"/>
      <c r="B513" s="58"/>
      <c r="C513" s="59"/>
      <c r="D513" s="59"/>
      <c r="E513" s="58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8"/>
      <c r="B514" s="58"/>
      <c r="C514" s="59"/>
      <c r="D514" s="59"/>
      <c r="E514" s="58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8"/>
      <c r="B515" s="58"/>
      <c r="C515" s="59"/>
      <c r="D515" s="59"/>
      <c r="E515" s="58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8"/>
      <c r="B516" s="58"/>
      <c r="C516" s="59"/>
      <c r="D516" s="59"/>
      <c r="E516" s="58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8"/>
      <c r="B517" s="58"/>
      <c r="C517" s="59"/>
      <c r="D517" s="59"/>
      <c r="E517" s="58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8"/>
      <c r="B518" s="58"/>
      <c r="C518" s="59"/>
      <c r="D518" s="59"/>
      <c r="E518" s="58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8"/>
      <c r="B519" s="58"/>
      <c r="C519" s="59"/>
      <c r="D519" s="59"/>
      <c r="E519" s="58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8"/>
      <c r="B520" s="58"/>
      <c r="C520" s="59"/>
      <c r="D520" s="59"/>
      <c r="E520" s="58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8"/>
      <c r="B521" s="58"/>
      <c r="C521" s="59"/>
      <c r="D521" s="59"/>
      <c r="E521" s="58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8"/>
      <c r="B522" s="58"/>
      <c r="C522" s="59"/>
      <c r="D522" s="59"/>
      <c r="E522" s="58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8"/>
      <c r="B523" s="58"/>
      <c r="C523" s="59"/>
      <c r="D523" s="59"/>
      <c r="E523" s="58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8"/>
      <c r="B524" s="58"/>
      <c r="C524" s="59"/>
      <c r="D524" s="59"/>
      <c r="E524" s="58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8"/>
      <c r="B525" s="58"/>
      <c r="C525" s="59"/>
      <c r="D525" s="59"/>
      <c r="E525" s="58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8"/>
      <c r="B526" s="58"/>
      <c r="C526" s="59"/>
      <c r="D526" s="59"/>
      <c r="E526" s="58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8"/>
      <c r="B527" s="58"/>
      <c r="C527" s="59"/>
      <c r="D527" s="59"/>
      <c r="E527" s="58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8"/>
      <c r="B528" s="58"/>
      <c r="C528" s="59"/>
      <c r="D528" s="59"/>
      <c r="E528" s="58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8"/>
      <c r="B529" s="58"/>
      <c r="C529" s="59"/>
      <c r="D529" s="59"/>
      <c r="E529" s="58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8"/>
      <c r="B530" s="58"/>
      <c r="C530" s="59"/>
      <c r="D530" s="59"/>
      <c r="E530" s="58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8"/>
      <c r="B531" s="58"/>
      <c r="C531" s="59"/>
      <c r="D531" s="59"/>
      <c r="E531" s="58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8"/>
      <c r="B532" s="58"/>
      <c r="C532" s="59"/>
      <c r="D532" s="59"/>
      <c r="E532" s="58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8"/>
      <c r="B533" s="58"/>
      <c r="C533" s="59"/>
      <c r="D533" s="59"/>
      <c r="E533" s="58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8"/>
      <c r="B534" s="58"/>
      <c r="C534" s="59"/>
      <c r="D534" s="59"/>
      <c r="E534" s="58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8"/>
      <c r="B535" s="58"/>
      <c r="C535" s="59"/>
      <c r="D535" s="59"/>
      <c r="E535" s="58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8"/>
      <c r="B536" s="58"/>
      <c r="C536" s="59"/>
      <c r="D536" s="59"/>
      <c r="E536" s="58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8"/>
      <c r="B537" s="58"/>
      <c r="C537" s="59"/>
      <c r="D537" s="59"/>
      <c r="E537" s="58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8"/>
      <c r="B538" s="58"/>
      <c r="C538" s="59"/>
      <c r="D538" s="59"/>
      <c r="E538" s="58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8"/>
      <c r="B539" s="58"/>
      <c r="C539" s="59"/>
      <c r="D539" s="59"/>
      <c r="E539" s="58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8"/>
      <c r="B540" s="58"/>
      <c r="C540" s="59"/>
      <c r="D540" s="59"/>
      <c r="E540" s="58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8"/>
      <c r="B541" s="58"/>
      <c r="C541" s="59"/>
      <c r="D541" s="59"/>
      <c r="E541" s="58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8"/>
      <c r="B542" s="58"/>
      <c r="C542" s="59"/>
      <c r="D542" s="59"/>
      <c r="E542" s="58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8"/>
      <c r="B543" s="58"/>
      <c r="C543" s="59"/>
      <c r="D543" s="59"/>
      <c r="E543" s="58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8"/>
      <c r="B544" s="58"/>
      <c r="C544" s="59"/>
      <c r="D544" s="59"/>
      <c r="E544" s="58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8"/>
      <c r="B545" s="58"/>
      <c r="C545" s="59"/>
      <c r="D545" s="59"/>
      <c r="E545" s="58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8"/>
      <c r="B546" s="58"/>
      <c r="C546" s="59"/>
      <c r="D546" s="59"/>
      <c r="E546" s="58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8"/>
      <c r="B547" s="58"/>
      <c r="C547" s="59"/>
      <c r="D547" s="59"/>
      <c r="E547" s="58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8"/>
      <c r="B548" s="58"/>
      <c r="C548" s="59"/>
      <c r="D548" s="59"/>
      <c r="E548" s="58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8"/>
      <c r="B549" s="58"/>
      <c r="C549" s="59"/>
      <c r="D549" s="59"/>
      <c r="E549" s="58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8"/>
      <c r="B550" s="58"/>
      <c r="C550" s="59"/>
      <c r="D550" s="59"/>
      <c r="E550" s="58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8"/>
      <c r="B551" s="58"/>
      <c r="C551" s="59"/>
      <c r="D551" s="59"/>
      <c r="E551" s="58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8"/>
      <c r="B552" s="58"/>
      <c r="C552" s="59"/>
      <c r="D552" s="59"/>
      <c r="E552" s="58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8"/>
      <c r="B553" s="58"/>
      <c r="C553" s="59"/>
      <c r="D553" s="59"/>
      <c r="E553" s="58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8"/>
      <c r="B554" s="58"/>
      <c r="C554" s="59"/>
      <c r="D554" s="59"/>
      <c r="E554" s="58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8"/>
      <c r="B555" s="58"/>
      <c r="C555" s="59"/>
      <c r="D555" s="59"/>
      <c r="E555" s="58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8"/>
      <c r="B556" s="58"/>
      <c r="C556" s="59"/>
      <c r="D556" s="59"/>
      <c r="E556" s="58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8"/>
      <c r="B557" s="58"/>
      <c r="C557" s="59"/>
      <c r="D557" s="59"/>
      <c r="E557" s="58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8"/>
      <c r="B558" s="58"/>
      <c r="C558" s="59"/>
      <c r="D558" s="59"/>
      <c r="E558" s="58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8"/>
      <c r="B559" s="58"/>
      <c r="C559" s="59"/>
      <c r="D559" s="59"/>
      <c r="E559" s="58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8"/>
      <c r="B560" s="58"/>
      <c r="C560" s="59"/>
      <c r="D560" s="59"/>
      <c r="E560" s="58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8"/>
      <c r="B561" s="58"/>
      <c r="C561" s="59"/>
      <c r="D561" s="59"/>
      <c r="E561" s="58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8"/>
      <c r="B562" s="58"/>
      <c r="C562" s="59"/>
      <c r="D562" s="59"/>
      <c r="E562" s="58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8"/>
      <c r="B563" s="58"/>
      <c r="C563" s="59"/>
      <c r="D563" s="59"/>
      <c r="E563" s="58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8"/>
      <c r="B564" s="58"/>
      <c r="C564" s="59"/>
      <c r="D564" s="59"/>
      <c r="E564" s="58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8"/>
      <c r="B565" s="58"/>
      <c r="C565" s="59"/>
      <c r="D565" s="59"/>
      <c r="E565" s="58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8"/>
      <c r="B566" s="58"/>
      <c r="C566" s="59"/>
      <c r="D566" s="59"/>
      <c r="E566" s="58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8"/>
      <c r="B567" s="58"/>
      <c r="C567" s="59"/>
      <c r="D567" s="59"/>
      <c r="E567" s="58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8"/>
      <c r="B568" s="58"/>
      <c r="C568" s="59"/>
      <c r="D568" s="59"/>
      <c r="E568" s="58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8"/>
      <c r="B569" s="58"/>
      <c r="C569" s="59"/>
      <c r="D569" s="59"/>
      <c r="E569" s="58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8"/>
      <c r="B570" s="58"/>
      <c r="C570" s="59"/>
      <c r="D570" s="59"/>
      <c r="E570" s="58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8"/>
      <c r="B571" s="58"/>
      <c r="C571" s="59"/>
      <c r="D571" s="59"/>
      <c r="E571" s="58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8"/>
      <c r="B572" s="58"/>
      <c r="C572" s="59"/>
      <c r="D572" s="59"/>
      <c r="E572" s="58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8"/>
      <c r="B573" s="58"/>
      <c r="C573" s="59"/>
      <c r="D573" s="59"/>
      <c r="E573" s="58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8"/>
      <c r="B574" s="58"/>
      <c r="C574" s="59"/>
      <c r="D574" s="59"/>
      <c r="E574" s="58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8"/>
      <c r="B575" s="58"/>
      <c r="C575" s="59"/>
      <c r="D575" s="59"/>
      <c r="E575" s="58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8"/>
      <c r="B576" s="58"/>
      <c r="C576" s="59"/>
      <c r="D576" s="59"/>
      <c r="E576" s="58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8"/>
      <c r="B577" s="58"/>
      <c r="C577" s="59"/>
      <c r="D577" s="59"/>
      <c r="E577" s="58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8"/>
      <c r="B578" s="58"/>
      <c r="C578" s="59"/>
      <c r="D578" s="59"/>
      <c r="E578" s="58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8"/>
      <c r="B579" s="58"/>
      <c r="C579" s="59"/>
      <c r="D579" s="59"/>
      <c r="E579" s="58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8"/>
      <c r="B580" s="58"/>
      <c r="C580" s="59"/>
      <c r="D580" s="59"/>
      <c r="E580" s="58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8"/>
      <c r="B581" s="58"/>
      <c r="C581" s="59"/>
      <c r="D581" s="59"/>
      <c r="E581" s="58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8"/>
      <c r="B582" s="58"/>
      <c r="C582" s="59"/>
      <c r="D582" s="59"/>
      <c r="E582" s="58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8"/>
      <c r="B583" s="58"/>
      <c r="C583" s="59"/>
      <c r="D583" s="59"/>
      <c r="E583" s="58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8"/>
      <c r="B584" s="58"/>
      <c r="C584" s="59"/>
      <c r="D584" s="59"/>
      <c r="E584" s="58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8"/>
      <c r="B585" s="58"/>
      <c r="C585" s="59"/>
      <c r="D585" s="59"/>
      <c r="E585" s="58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8"/>
      <c r="B586" s="58"/>
      <c r="C586" s="59"/>
      <c r="D586" s="59"/>
      <c r="E586" s="58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8"/>
      <c r="B587" s="58"/>
      <c r="C587" s="59"/>
      <c r="D587" s="59"/>
      <c r="E587" s="58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8"/>
      <c r="B588" s="58"/>
      <c r="C588" s="59"/>
      <c r="D588" s="59"/>
      <c r="E588" s="58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8"/>
      <c r="B589" s="58"/>
      <c r="C589" s="59"/>
      <c r="D589" s="59"/>
      <c r="E589" s="58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8"/>
      <c r="B590" s="58"/>
      <c r="C590" s="59"/>
      <c r="D590" s="59"/>
      <c r="E590" s="58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8"/>
      <c r="B591" s="58"/>
      <c r="C591" s="59"/>
      <c r="D591" s="59"/>
      <c r="E591" s="58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8"/>
      <c r="B592" s="58"/>
      <c r="C592" s="59"/>
      <c r="D592" s="59"/>
      <c r="E592" s="58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8"/>
      <c r="B593" s="58"/>
      <c r="C593" s="59"/>
      <c r="D593" s="59"/>
      <c r="E593" s="58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8"/>
      <c r="B594" s="58"/>
      <c r="C594" s="59"/>
      <c r="D594" s="59"/>
      <c r="E594" s="58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8"/>
      <c r="B595" s="58"/>
      <c r="C595" s="59"/>
      <c r="D595" s="59"/>
      <c r="E595" s="58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8"/>
      <c r="B596" s="58"/>
      <c r="C596" s="59"/>
      <c r="D596" s="59"/>
      <c r="E596" s="58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8"/>
      <c r="B597" s="58"/>
      <c r="C597" s="59"/>
      <c r="D597" s="59"/>
      <c r="E597" s="58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8"/>
      <c r="B598" s="58"/>
      <c r="C598" s="59"/>
      <c r="D598" s="59"/>
      <c r="E598" s="58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8"/>
      <c r="B599" s="58"/>
      <c r="C599" s="59"/>
      <c r="D599" s="59"/>
      <c r="E599" s="58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8"/>
      <c r="B600" s="58"/>
      <c r="C600" s="59"/>
      <c r="D600" s="59"/>
      <c r="E600" s="58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8"/>
      <c r="B601" s="58"/>
      <c r="C601" s="59"/>
      <c r="D601" s="59"/>
      <c r="E601" s="58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8"/>
      <c r="B602" s="58"/>
      <c r="C602" s="59"/>
      <c r="D602" s="59"/>
      <c r="E602" s="58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8"/>
      <c r="B603" s="58"/>
      <c r="C603" s="59"/>
      <c r="D603" s="59"/>
      <c r="E603" s="58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8"/>
      <c r="B604" s="58"/>
      <c r="C604" s="59"/>
      <c r="D604" s="59"/>
      <c r="E604" s="58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8"/>
      <c r="B605" s="58"/>
      <c r="C605" s="59"/>
      <c r="D605" s="59"/>
      <c r="E605" s="58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8"/>
      <c r="B606" s="58"/>
      <c r="C606" s="59"/>
      <c r="D606" s="59"/>
      <c r="E606" s="58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8"/>
      <c r="B607" s="58"/>
      <c r="C607" s="59"/>
      <c r="D607" s="59"/>
      <c r="E607" s="58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8"/>
      <c r="B608" s="58"/>
      <c r="C608" s="59"/>
      <c r="D608" s="59"/>
      <c r="E608" s="58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8"/>
      <c r="B609" s="58"/>
      <c r="C609" s="59"/>
      <c r="D609" s="59"/>
      <c r="E609" s="58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8"/>
      <c r="B610" s="58"/>
      <c r="C610" s="59"/>
      <c r="D610" s="59"/>
      <c r="E610" s="58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8"/>
      <c r="B611" s="58"/>
      <c r="C611" s="59"/>
      <c r="D611" s="59"/>
      <c r="E611" s="58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8"/>
      <c r="B612" s="58"/>
      <c r="C612" s="59"/>
      <c r="D612" s="59"/>
      <c r="E612" s="58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8"/>
      <c r="B613" s="58"/>
      <c r="C613" s="59"/>
      <c r="D613" s="59"/>
      <c r="E613" s="58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8"/>
      <c r="B614" s="58"/>
      <c r="C614" s="59"/>
      <c r="D614" s="59"/>
      <c r="E614" s="58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8"/>
      <c r="B615" s="58"/>
      <c r="C615" s="59"/>
      <c r="D615" s="59"/>
      <c r="E615" s="58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8"/>
      <c r="B616" s="58"/>
      <c r="C616" s="59"/>
      <c r="D616" s="59"/>
      <c r="E616" s="58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8"/>
      <c r="B617" s="58"/>
      <c r="C617" s="59"/>
      <c r="D617" s="59"/>
      <c r="E617" s="58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8"/>
      <c r="B618" s="58"/>
      <c r="C618" s="59"/>
      <c r="D618" s="59"/>
      <c r="E618" s="58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8"/>
      <c r="B619" s="58"/>
      <c r="C619" s="59"/>
      <c r="D619" s="59"/>
      <c r="E619" s="58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8"/>
      <c r="B620" s="58"/>
      <c r="C620" s="59"/>
      <c r="D620" s="59"/>
      <c r="E620" s="58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8"/>
      <c r="B621" s="58"/>
      <c r="C621" s="59"/>
      <c r="D621" s="59"/>
      <c r="E621" s="58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8"/>
      <c r="B622" s="58"/>
      <c r="C622" s="59"/>
      <c r="D622" s="59"/>
      <c r="E622" s="58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8"/>
      <c r="B623" s="58"/>
      <c r="C623" s="59"/>
      <c r="D623" s="59"/>
      <c r="E623" s="58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8"/>
      <c r="B624" s="58"/>
      <c r="C624" s="59"/>
      <c r="D624" s="59"/>
      <c r="E624" s="58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8"/>
      <c r="B625" s="58"/>
      <c r="C625" s="59"/>
      <c r="D625" s="59"/>
      <c r="E625" s="58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8"/>
      <c r="B626" s="58"/>
      <c r="C626" s="59"/>
      <c r="D626" s="59"/>
      <c r="E626" s="58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8"/>
      <c r="B627" s="58"/>
      <c r="C627" s="59"/>
      <c r="D627" s="59"/>
      <c r="E627" s="58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8"/>
      <c r="B628" s="58"/>
      <c r="C628" s="59"/>
      <c r="D628" s="59"/>
      <c r="E628" s="58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8"/>
      <c r="B629" s="58"/>
      <c r="C629" s="59"/>
      <c r="D629" s="59"/>
      <c r="E629" s="58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8"/>
      <c r="B630" s="58"/>
      <c r="C630" s="59"/>
      <c r="D630" s="59"/>
      <c r="E630" s="58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8"/>
      <c r="B631" s="58"/>
      <c r="C631" s="59"/>
      <c r="D631" s="59"/>
      <c r="E631" s="58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8"/>
      <c r="B632" s="58"/>
      <c r="C632" s="59"/>
      <c r="D632" s="59"/>
      <c r="E632" s="58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8"/>
      <c r="B633" s="58"/>
      <c r="C633" s="59"/>
      <c r="D633" s="59"/>
      <c r="E633" s="58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8"/>
      <c r="B634" s="58"/>
      <c r="C634" s="59"/>
      <c r="D634" s="59"/>
      <c r="E634" s="58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8"/>
      <c r="B635" s="58"/>
      <c r="C635" s="59"/>
      <c r="D635" s="59"/>
      <c r="E635" s="58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8"/>
      <c r="B636" s="58"/>
      <c r="C636" s="59"/>
      <c r="D636" s="59"/>
      <c r="E636" s="58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8"/>
      <c r="B637" s="58"/>
      <c r="C637" s="59"/>
      <c r="D637" s="59"/>
      <c r="E637" s="58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8"/>
      <c r="B638" s="58"/>
      <c r="C638" s="59"/>
      <c r="D638" s="59"/>
      <c r="E638" s="58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8"/>
      <c r="B639" s="58"/>
      <c r="C639" s="59"/>
      <c r="D639" s="59"/>
      <c r="E639" s="58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8"/>
      <c r="B640" s="58"/>
      <c r="C640" s="59"/>
      <c r="D640" s="59"/>
      <c r="E640" s="58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8"/>
      <c r="B641" s="58"/>
      <c r="C641" s="59"/>
      <c r="D641" s="59"/>
      <c r="E641" s="58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8"/>
      <c r="B642" s="58"/>
      <c r="C642" s="59"/>
      <c r="D642" s="59"/>
      <c r="E642" s="58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8"/>
      <c r="B643" s="58"/>
      <c r="C643" s="59"/>
      <c r="D643" s="59"/>
      <c r="E643" s="58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8"/>
      <c r="B644" s="58"/>
      <c r="C644" s="59"/>
      <c r="D644" s="59"/>
      <c r="E644" s="58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8"/>
      <c r="B645" s="58"/>
      <c r="C645" s="59"/>
      <c r="D645" s="59"/>
      <c r="E645" s="58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8"/>
      <c r="B646" s="58"/>
      <c r="C646" s="59"/>
      <c r="D646" s="59"/>
      <c r="E646" s="58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8"/>
      <c r="B647" s="58"/>
      <c r="C647" s="59"/>
      <c r="D647" s="59"/>
      <c r="E647" s="58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8"/>
      <c r="B648" s="58"/>
      <c r="C648" s="59"/>
      <c r="D648" s="59"/>
      <c r="E648" s="58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8"/>
      <c r="B649" s="58"/>
      <c r="C649" s="59"/>
      <c r="D649" s="59"/>
      <c r="E649" s="58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8"/>
      <c r="B650" s="58"/>
      <c r="C650" s="59"/>
      <c r="D650" s="59"/>
      <c r="E650" s="58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8"/>
      <c r="B651" s="58"/>
      <c r="C651" s="59"/>
      <c r="D651" s="59"/>
      <c r="E651" s="58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8"/>
      <c r="B652" s="58"/>
      <c r="C652" s="59"/>
      <c r="D652" s="59"/>
      <c r="E652" s="58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8"/>
      <c r="B653" s="58"/>
      <c r="C653" s="59"/>
      <c r="D653" s="59"/>
      <c r="E653" s="58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8"/>
      <c r="B654" s="58"/>
      <c r="C654" s="59"/>
      <c r="D654" s="59"/>
      <c r="E654" s="58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8"/>
      <c r="B655" s="58"/>
      <c r="C655" s="59"/>
      <c r="D655" s="59"/>
      <c r="E655" s="58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8"/>
      <c r="B656" s="58"/>
      <c r="C656" s="59"/>
      <c r="D656" s="59"/>
      <c r="E656" s="58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8"/>
      <c r="B657" s="58"/>
      <c r="C657" s="59"/>
      <c r="D657" s="59"/>
      <c r="E657" s="58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8"/>
      <c r="B658" s="58"/>
      <c r="C658" s="59"/>
      <c r="D658" s="59"/>
      <c r="E658" s="58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8"/>
      <c r="B659" s="58"/>
      <c r="C659" s="59"/>
      <c r="D659" s="59"/>
      <c r="E659" s="58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8"/>
      <c r="B660" s="58"/>
      <c r="C660" s="59"/>
      <c r="D660" s="59"/>
      <c r="E660" s="58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8"/>
      <c r="B661" s="58"/>
      <c r="C661" s="59"/>
      <c r="D661" s="59"/>
      <c r="E661" s="58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8"/>
      <c r="B662" s="58"/>
      <c r="C662" s="59"/>
      <c r="D662" s="59"/>
      <c r="E662" s="58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8"/>
      <c r="B663" s="58"/>
      <c r="C663" s="59"/>
      <c r="D663" s="59"/>
      <c r="E663" s="58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8"/>
      <c r="B664" s="58"/>
      <c r="C664" s="59"/>
      <c r="D664" s="59"/>
      <c r="E664" s="58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8"/>
      <c r="B665" s="58"/>
      <c r="C665" s="59"/>
      <c r="D665" s="59"/>
      <c r="E665" s="58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8"/>
      <c r="B666" s="58"/>
      <c r="C666" s="59"/>
      <c r="D666" s="59"/>
      <c r="E666" s="58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8"/>
      <c r="B667" s="58"/>
      <c r="C667" s="59"/>
      <c r="D667" s="59"/>
      <c r="E667" s="58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8"/>
      <c r="B668" s="58"/>
      <c r="C668" s="59"/>
      <c r="D668" s="59"/>
      <c r="E668" s="58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8"/>
      <c r="B669" s="58"/>
      <c r="C669" s="59"/>
      <c r="D669" s="59"/>
      <c r="E669" s="58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8"/>
      <c r="B670" s="58"/>
      <c r="C670" s="59"/>
      <c r="D670" s="59"/>
      <c r="E670" s="58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8"/>
      <c r="B671" s="58"/>
      <c r="C671" s="59"/>
      <c r="D671" s="59"/>
      <c r="E671" s="58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8"/>
      <c r="B672" s="58"/>
      <c r="C672" s="59"/>
      <c r="D672" s="59"/>
      <c r="E672" s="58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8"/>
      <c r="B673" s="58"/>
      <c r="C673" s="59"/>
      <c r="D673" s="59"/>
      <c r="E673" s="58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8"/>
      <c r="B674" s="58"/>
      <c r="C674" s="59"/>
      <c r="D674" s="59"/>
      <c r="E674" s="58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8"/>
      <c r="B675" s="58"/>
      <c r="C675" s="59"/>
      <c r="D675" s="59"/>
      <c r="E675" s="58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8"/>
      <c r="B676" s="58"/>
      <c r="C676" s="59"/>
      <c r="D676" s="59"/>
      <c r="E676" s="58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8"/>
      <c r="B677" s="58"/>
      <c r="C677" s="59"/>
      <c r="D677" s="59"/>
      <c r="E677" s="58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8"/>
      <c r="B678" s="58"/>
      <c r="C678" s="59"/>
      <c r="D678" s="59"/>
      <c r="E678" s="58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8"/>
      <c r="B679" s="58"/>
      <c r="C679" s="59"/>
      <c r="D679" s="59"/>
      <c r="E679" s="58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8"/>
      <c r="B680" s="58"/>
      <c r="C680" s="59"/>
      <c r="D680" s="59"/>
      <c r="E680" s="58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8"/>
      <c r="B681" s="58"/>
      <c r="C681" s="59"/>
      <c r="D681" s="59"/>
      <c r="E681" s="58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8"/>
      <c r="B682" s="58"/>
      <c r="C682" s="59"/>
      <c r="D682" s="59"/>
      <c r="E682" s="58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8"/>
      <c r="B683" s="58"/>
      <c r="C683" s="59"/>
      <c r="D683" s="59"/>
      <c r="E683" s="58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8"/>
      <c r="B684" s="58"/>
      <c r="C684" s="59"/>
      <c r="D684" s="59"/>
      <c r="E684" s="58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8"/>
      <c r="B685" s="58"/>
      <c r="C685" s="59"/>
      <c r="D685" s="59"/>
      <c r="E685" s="58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8"/>
      <c r="B686" s="58"/>
      <c r="C686" s="59"/>
      <c r="D686" s="59"/>
      <c r="E686" s="58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8"/>
      <c r="B687" s="58"/>
      <c r="C687" s="59"/>
      <c r="D687" s="59"/>
      <c r="E687" s="58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8"/>
      <c r="B688" s="58"/>
      <c r="C688" s="59"/>
      <c r="D688" s="59"/>
      <c r="E688" s="58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8"/>
      <c r="B689" s="58"/>
      <c r="C689" s="59"/>
      <c r="D689" s="59"/>
      <c r="E689" s="58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8"/>
      <c r="B690" s="58"/>
      <c r="C690" s="59"/>
      <c r="D690" s="59"/>
      <c r="E690" s="58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8"/>
      <c r="B691" s="58"/>
      <c r="C691" s="59"/>
      <c r="D691" s="59"/>
      <c r="E691" s="58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8"/>
      <c r="B692" s="58"/>
      <c r="C692" s="59"/>
      <c r="D692" s="59"/>
      <c r="E692" s="58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8"/>
      <c r="B693" s="58"/>
      <c r="C693" s="59"/>
      <c r="D693" s="59"/>
      <c r="E693" s="58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8"/>
      <c r="B694" s="58"/>
      <c r="C694" s="59"/>
      <c r="D694" s="59"/>
      <c r="E694" s="58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8"/>
      <c r="B695" s="58"/>
      <c r="C695" s="59"/>
      <c r="D695" s="59"/>
      <c r="E695" s="58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8"/>
      <c r="B696" s="58"/>
      <c r="C696" s="59"/>
      <c r="D696" s="59"/>
      <c r="E696" s="58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8"/>
      <c r="B697" s="58"/>
      <c r="C697" s="59"/>
      <c r="D697" s="59"/>
      <c r="E697" s="58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8"/>
      <c r="B698" s="58"/>
      <c r="C698" s="59"/>
      <c r="D698" s="59"/>
      <c r="E698" s="58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8"/>
      <c r="B699" s="58"/>
      <c r="C699" s="59"/>
      <c r="D699" s="59"/>
      <c r="E699" s="58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8"/>
      <c r="B700" s="58"/>
      <c r="C700" s="59"/>
      <c r="D700" s="59"/>
      <c r="E700" s="58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8"/>
      <c r="B701" s="58"/>
      <c r="C701" s="59"/>
      <c r="D701" s="59"/>
      <c r="E701" s="58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8"/>
      <c r="B702" s="58"/>
      <c r="C702" s="59"/>
      <c r="D702" s="59"/>
      <c r="E702" s="58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8"/>
      <c r="B703" s="58"/>
      <c r="C703" s="59"/>
      <c r="D703" s="59"/>
      <c r="E703" s="58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8"/>
      <c r="B704" s="58"/>
      <c r="C704" s="59"/>
      <c r="D704" s="59"/>
      <c r="E704" s="58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8"/>
      <c r="B705" s="58"/>
      <c r="C705" s="59"/>
      <c r="D705" s="59"/>
      <c r="E705" s="58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8"/>
      <c r="B706" s="58"/>
      <c r="C706" s="59"/>
      <c r="D706" s="59"/>
      <c r="E706" s="58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8"/>
      <c r="B707" s="58"/>
      <c r="C707" s="59"/>
      <c r="D707" s="59"/>
      <c r="E707" s="58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8"/>
      <c r="B708" s="58"/>
      <c r="C708" s="59"/>
      <c r="D708" s="59"/>
      <c r="E708" s="58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8"/>
      <c r="B709" s="58"/>
      <c r="C709" s="59"/>
      <c r="D709" s="59"/>
      <c r="E709" s="58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8"/>
      <c r="B710" s="58"/>
      <c r="C710" s="59"/>
      <c r="D710" s="59"/>
      <c r="E710" s="58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8"/>
      <c r="B711" s="58"/>
      <c r="C711" s="59"/>
      <c r="D711" s="59"/>
      <c r="E711" s="58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8"/>
      <c r="B712" s="58"/>
      <c r="C712" s="59"/>
      <c r="D712" s="59"/>
      <c r="E712" s="58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8"/>
      <c r="B713" s="58"/>
      <c r="C713" s="59"/>
      <c r="D713" s="59"/>
      <c r="E713" s="58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8"/>
      <c r="B714" s="58"/>
      <c r="C714" s="59"/>
      <c r="D714" s="59"/>
      <c r="E714" s="58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8"/>
      <c r="B715" s="58"/>
      <c r="C715" s="59"/>
      <c r="D715" s="59"/>
      <c r="E715" s="58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8"/>
      <c r="B716" s="58"/>
      <c r="C716" s="59"/>
      <c r="D716" s="59"/>
      <c r="E716" s="58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8"/>
      <c r="B717" s="58"/>
      <c r="C717" s="59"/>
      <c r="D717" s="59"/>
      <c r="E717" s="58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8"/>
      <c r="B718" s="58"/>
      <c r="C718" s="59"/>
      <c r="D718" s="59"/>
      <c r="E718" s="58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8"/>
      <c r="B719" s="58"/>
      <c r="C719" s="59"/>
      <c r="D719" s="59"/>
      <c r="E719" s="58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8"/>
      <c r="B720" s="58"/>
      <c r="C720" s="59"/>
      <c r="D720" s="59"/>
      <c r="E720" s="58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8"/>
      <c r="B721" s="58"/>
      <c r="C721" s="59"/>
      <c r="D721" s="59"/>
      <c r="E721" s="58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8"/>
      <c r="B722" s="58"/>
      <c r="C722" s="59"/>
      <c r="D722" s="59"/>
      <c r="E722" s="58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8"/>
      <c r="B723" s="58"/>
      <c r="C723" s="59"/>
      <c r="D723" s="59"/>
      <c r="E723" s="58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8"/>
      <c r="B724" s="58"/>
      <c r="C724" s="59"/>
      <c r="D724" s="59"/>
      <c r="E724" s="58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8"/>
      <c r="B725" s="58"/>
      <c r="C725" s="59"/>
      <c r="D725" s="59"/>
      <c r="E725" s="58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8"/>
      <c r="B726" s="58"/>
      <c r="C726" s="59"/>
      <c r="D726" s="59"/>
      <c r="E726" s="58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8"/>
      <c r="B727" s="58"/>
      <c r="C727" s="59"/>
      <c r="D727" s="59"/>
      <c r="E727" s="58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8"/>
      <c r="B728" s="58"/>
      <c r="C728" s="59"/>
      <c r="D728" s="59"/>
      <c r="E728" s="58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8"/>
      <c r="B729" s="58"/>
      <c r="C729" s="59"/>
      <c r="D729" s="59"/>
      <c r="E729" s="58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8"/>
      <c r="B730" s="58"/>
      <c r="C730" s="59"/>
      <c r="D730" s="59"/>
      <c r="E730" s="58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8"/>
      <c r="B731" s="58"/>
      <c r="C731" s="59"/>
      <c r="D731" s="59"/>
      <c r="E731" s="58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8"/>
      <c r="B732" s="58"/>
      <c r="C732" s="59"/>
      <c r="D732" s="59"/>
      <c r="E732" s="58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8"/>
      <c r="B733" s="58"/>
      <c r="C733" s="59"/>
      <c r="D733" s="59"/>
      <c r="E733" s="58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8"/>
      <c r="B734" s="58"/>
      <c r="C734" s="59"/>
      <c r="D734" s="59"/>
      <c r="E734" s="58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8"/>
      <c r="B735" s="58"/>
      <c r="C735" s="59"/>
      <c r="D735" s="59"/>
      <c r="E735" s="58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8"/>
      <c r="B736" s="58"/>
      <c r="C736" s="59"/>
      <c r="D736" s="59"/>
      <c r="E736" s="58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8"/>
      <c r="B737" s="58"/>
      <c r="C737" s="59"/>
      <c r="D737" s="59"/>
      <c r="E737" s="58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8"/>
      <c r="B738" s="58"/>
      <c r="C738" s="59"/>
      <c r="D738" s="59"/>
      <c r="E738" s="58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8"/>
      <c r="B739" s="58"/>
      <c r="C739" s="59"/>
      <c r="D739" s="59"/>
      <c r="E739" s="58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8"/>
      <c r="B740" s="58"/>
      <c r="C740" s="59"/>
      <c r="D740" s="59"/>
      <c r="E740" s="58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8"/>
      <c r="B741" s="58"/>
      <c r="C741" s="59"/>
      <c r="D741" s="59"/>
      <c r="E741" s="58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8"/>
      <c r="B742" s="58"/>
      <c r="C742" s="59"/>
      <c r="D742" s="59"/>
      <c r="E742" s="58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8"/>
      <c r="B743" s="58"/>
      <c r="C743" s="59"/>
      <c r="D743" s="59"/>
      <c r="E743" s="58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8"/>
      <c r="B744" s="58"/>
      <c r="C744" s="59"/>
      <c r="D744" s="59"/>
      <c r="E744" s="58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8"/>
      <c r="B745" s="58"/>
      <c r="C745" s="59"/>
      <c r="D745" s="59"/>
      <c r="E745" s="58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8"/>
      <c r="B746" s="58"/>
      <c r="C746" s="59"/>
      <c r="D746" s="59"/>
      <c r="E746" s="58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8"/>
      <c r="B747" s="58"/>
      <c r="C747" s="59"/>
      <c r="D747" s="59"/>
      <c r="E747" s="58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8"/>
      <c r="B748" s="58"/>
      <c r="C748" s="59"/>
      <c r="D748" s="59"/>
      <c r="E748" s="58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8"/>
      <c r="B749" s="58"/>
      <c r="C749" s="59"/>
      <c r="D749" s="59"/>
      <c r="E749" s="58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8"/>
      <c r="B750" s="58"/>
      <c r="C750" s="59"/>
      <c r="D750" s="59"/>
      <c r="E750" s="58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8"/>
      <c r="B751" s="58"/>
      <c r="C751" s="59"/>
      <c r="D751" s="59"/>
      <c r="E751" s="58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8"/>
      <c r="B752" s="58"/>
      <c r="C752" s="59"/>
      <c r="D752" s="59"/>
      <c r="E752" s="58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8"/>
      <c r="B753" s="58"/>
      <c r="C753" s="59"/>
      <c r="D753" s="59"/>
      <c r="E753" s="58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8"/>
      <c r="B754" s="58"/>
      <c r="C754" s="59"/>
      <c r="D754" s="59"/>
      <c r="E754" s="58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8"/>
      <c r="B755" s="58"/>
      <c r="C755" s="59"/>
      <c r="D755" s="59"/>
      <c r="E755" s="58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8"/>
      <c r="B756" s="58"/>
      <c r="C756" s="59"/>
      <c r="D756" s="59"/>
      <c r="E756" s="58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8"/>
      <c r="B757" s="58"/>
      <c r="C757" s="59"/>
      <c r="D757" s="59"/>
      <c r="E757" s="58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8"/>
      <c r="B758" s="58"/>
      <c r="C758" s="59"/>
      <c r="D758" s="59"/>
      <c r="E758" s="58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8"/>
      <c r="B759" s="58"/>
      <c r="C759" s="59"/>
      <c r="D759" s="59"/>
      <c r="E759" s="58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8"/>
      <c r="B760" s="58"/>
      <c r="C760" s="59"/>
      <c r="D760" s="59"/>
      <c r="E760" s="58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8"/>
      <c r="B761" s="58"/>
      <c r="C761" s="59"/>
      <c r="D761" s="59"/>
      <c r="E761" s="58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8"/>
      <c r="B762" s="58"/>
      <c r="C762" s="59"/>
      <c r="D762" s="59"/>
      <c r="E762" s="58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8"/>
      <c r="B763" s="58"/>
      <c r="C763" s="59"/>
      <c r="D763" s="59"/>
      <c r="E763" s="58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8"/>
      <c r="B764" s="58"/>
      <c r="C764" s="59"/>
      <c r="D764" s="59"/>
      <c r="E764" s="58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8"/>
      <c r="B765" s="58"/>
      <c r="C765" s="59"/>
      <c r="D765" s="59"/>
      <c r="E765" s="58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8"/>
      <c r="B766" s="58"/>
      <c r="C766" s="59"/>
      <c r="D766" s="59"/>
      <c r="E766" s="58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8"/>
      <c r="B767" s="58"/>
      <c r="C767" s="59"/>
      <c r="D767" s="59"/>
      <c r="E767" s="58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8"/>
      <c r="B768" s="58"/>
      <c r="C768" s="59"/>
      <c r="D768" s="59"/>
      <c r="E768" s="58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8"/>
      <c r="B769" s="58"/>
      <c r="C769" s="59"/>
      <c r="D769" s="59"/>
      <c r="E769" s="58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8"/>
      <c r="B770" s="58"/>
      <c r="C770" s="59"/>
      <c r="D770" s="59"/>
      <c r="E770" s="58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8"/>
      <c r="B771" s="58"/>
      <c r="C771" s="59"/>
      <c r="D771" s="59"/>
      <c r="E771" s="58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8"/>
      <c r="B772" s="58"/>
      <c r="C772" s="59"/>
      <c r="D772" s="59"/>
      <c r="E772" s="58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8"/>
      <c r="B773" s="58"/>
      <c r="C773" s="59"/>
      <c r="D773" s="59"/>
      <c r="E773" s="58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8"/>
      <c r="B774" s="58"/>
      <c r="C774" s="59"/>
      <c r="D774" s="59"/>
      <c r="E774" s="58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8"/>
      <c r="B775" s="58"/>
      <c r="C775" s="59"/>
      <c r="D775" s="59"/>
      <c r="E775" s="58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8"/>
      <c r="B776" s="58"/>
      <c r="C776" s="59"/>
      <c r="D776" s="59"/>
      <c r="E776" s="58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8"/>
      <c r="B777" s="58"/>
      <c r="C777" s="59"/>
      <c r="D777" s="59"/>
      <c r="E777" s="58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8"/>
      <c r="B778" s="58"/>
      <c r="C778" s="59"/>
      <c r="D778" s="59"/>
      <c r="E778" s="58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8"/>
      <c r="B779" s="58"/>
      <c r="C779" s="59"/>
      <c r="D779" s="59"/>
      <c r="E779" s="58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8"/>
      <c r="B780" s="58"/>
      <c r="C780" s="59"/>
      <c r="D780" s="59"/>
      <c r="E780" s="58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8"/>
      <c r="B781" s="58"/>
      <c r="C781" s="59"/>
      <c r="D781" s="59"/>
      <c r="E781" s="58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8"/>
      <c r="B782" s="58"/>
      <c r="C782" s="59"/>
      <c r="D782" s="59"/>
      <c r="E782" s="58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8"/>
      <c r="B783" s="58"/>
      <c r="C783" s="59"/>
      <c r="D783" s="59"/>
      <c r="E783" s="58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8"/>
      <c r="B784" s="58"/>
      <c r="C784" s="59"/>
      <c r="D784" s="59"/>
      <c r="E784" s="58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8"/>
      <c r="B785" s="58"/>
      <c r="C785" s="59"/>
      <c r="D785" s="59"/>
      <c r="E785" s="58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8"/>
      <c r="B786" s="58"/>
      <c r="C786" s="59"/>
      <c r="D786" s="59"/>
      <c r="E786" s="58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8"/>
      <c r="B787" s="58"/>
      <c r="C787" s="59"/>
      <c r="D787" s="59"/>
      <c r="E787" s="58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8"/>
      <c r="B788" s="58"/>
      <c r="C788" s="59"/>
      <c r="D788" s="59"/>
      <c r="E788" s="58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8"/>
      <c r="B789" s="58"/>
      <c r="C789" s="59"/>
      <c r="D789" s="59"/>
      <c r="E789" s="58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8"/>
      <c r="B790" s="58"/>
      <c r="C790" s="59"/>
      <c r="D790" s="59"/>
      <c r="E790" s="58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8"/>
      <c r="B791" s="58"/>
      <c r="C791" s="59"/>
      <c r="D791" s="59"/>
      <c r="E791" s="58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8"/>
      <c r="B792" s="58"/>
      <c r="C792" s="59"/>
      <c r="D792" s="59"/>
      <c r="E792" s="58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8"/>
      <c r="B793" s="58"/>
      <c r="C793" s="59"/>
      <c r="D793" s="59"/>
      <c r="E793" s="58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8"/>
      <c r="B794" s="58"/>
      <c r="C794" s="59"/>
      <c r="D794" s="59"/>
      <c r="E794" s="58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8"/>
      <c r="B795" s="58"/>
      <c r="C795" s="59"/>
      <c r="D795" s="59"/>
      <c r="E795" s="58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8"/>
      <c r="B796" s="58"/>
      <c r="C796" s="59"/>
      <c r="D796" s="59"/>
      <c r="E796" s="58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8"/>
      <c r="B797" s="58"/>
      <c r="C797" s="59"/>
      <c r="D797" s="59"/>
      <c r="E797" s="58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8"/>
      <c r="B798" s="58"/>
      <c r="C798" s="59"/>
      <c r="D798" s="59"/>
      <c r="E798" s="58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8"/>
      <c r="B799" s="58"/>
      <c r="C799" s="59"/>
      <c r="D799" s="59"/>
      <c r="E799" s="58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8"/>
      <c r="B800" s="58"/>
      <c r="C800" s="59"/>
      <c r="D800" s="59"/>
      <c r="E800" s="58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8"/>
      <c r="B801" s="58"/>
      <c r="C801" s="59"/>
      <c r="D801" s="59"/>
      <c r="E801" s="58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8"/>
      <c r="B802" s="58"/>
      <c r="C802" s="59"/>
      <c r="D802" s="59"/>
      <c r="E802" s="58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8"/>
      <c r="B803" s="58"/>
      <c r="C803" s="59"/>
      <c r="D803" s="59"/>
      <c r="E803" s="58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8"/>
      <c r="B804" s="58"/>
      <c r="C804" s="59"/>
      <c r="D804" s="59"/>
      <c r="E804" s="58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8"/>
      <c r="B805" s="58"/>
      <c r="C805" s="59"/>
      <c r="D805" s="59"/>
      <c r="E805" s="58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8"/>
      <c r="B806" s="58"/>
      <c r="C806" s="59"/>
      <c r="D806" s="59"/>
      <c r="E806" s="58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8"/>
      <c r="B807" s="58"/>
      <c r="C807" s="59"/>
      <c r="D807" s="59"/>
      <c r="E807" s="58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8"/>
      <c r="B808" s="58"/>
      <c r="C808" s="59"/>
      <c r="D808" s="59"/>
      <c r="E808" s="58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8"/>
      <c r="B809" s="58"/>
      <c r="C809" s="59"/>
      <c r="D809" s="59"/>
      <c r="E809" s="58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8"/>
      <c r="B810" s="58"/>
      <c r="C810" s="59"/>
      <c r="D810" s="59"/>
      <c r="E810" s="58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8"/>
      <c r="B811" s="58"/>
      <c r="C811" s="59"/>
      <c r="D811" s="59"/>
      <c r="E811" s="58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8"/>
      <c r="B812" s="58"/>
      <c r="C812" s="59"/>
      <c r="D812" s="59"/>
      <c r="E812" s="58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8"/>
      <c r="B813" s="58"/>
      <c r="C813" s="59"/>
      <c r="D813" s="59"/>
      <c r="E813" s="58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8"/>
      <c r="B814" s="58"/>
      <c r="C814" s="59"/>
      <c r="D814" s="59"/>
      <c r="E814" s="58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8"/>
      <c r="B815" s="58"/>
      <c r="C815" s="59"/>
      <c r="D815" s="59"/>
      <c r="E815" s="58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8"/>
      <c r="B816" s="58"/>
      <c r="C816" s="59"/>
      <c r="D816" s="59"/>
      <c r="E816" s="58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8"/>
      <c r="B817" s="58"/>
      <c r="C817" s="59"/>
      <c r="D817" s="59"/>
      <c r="E817" s="58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8"/>
      <c r="B818" s="58"/>
      <c r="C818" s="59"/>
      <c r="D818" s="59"/>
      <c r="E818" s="58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8"/>
      <c r="B819" s="58"/>
      <c r="C819" s="59"/>
      <c r="D819" s="59"/>
      <c r="E819" s="58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8"/>
      <c r="B820" s="58"/>
      <c r="C820" s="59"/>
      <c r="D820" s="59"/>
      <c r="E820" s="58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8"/>
      <c r="B821" s="58"/>
      <c r="C821" s="59"/>
      <c r="D821" s="59"/>
      <c r="E821" s="58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8"/>
      <c r="B822" s="58"/>
      <c r="C822" s="59"/>
      <c r="D822" s="59"/>
      <c r="E822" s="58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8"/>
      <c r="B823" s="58"/>
      <c r="C823" s="59"/>
      <c r="D823" s="59"/>
      <c r="E823" s="58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8"/>
      <c r="B824" s="58"/>
      <c r="C824" s="59"/>
      <c r="D824" s="59"/>
      <c r="E824" s="58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8"/>
      <c r="B825" s="58"/>
      <c r="C825" s="59"/>
      <c r="D825" s="59"/>
      <c r="E825" s="58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8"/>
      <c r="B826" s="58"/>
      <c r="C826" s="59"/>
      <c r="D826" s="59"/>
      <c r="E826" s="58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8"/>
      <c r="B827" s="58"/>
      <c r="C827" s="59"/>
      <c r="D827" s="59"/>
      <c r="E827" s="58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8"/>
      <c r="B828" s="58"/>
      <c r="C828" s="59"/>
      <c r="D828" s="59"/>
      <c r="E828" s="58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8"/>
      <c r="B829" s="58"/>
      <c r="C829" s="59"/>
      <c r="D829" s="59"/>
      <c r="E829" s="58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8"/>
      <c r="B830" s="58"/>
      <c r="C830" s="59"/>
      <c r="D830" s="59"/>
      <c r="E830" s="58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8"/>
      <c r="B831" s="58"/>
      <c r="C831" s="59"/>
      <c r="D831" s="59"/>
      <c r="E831" s="58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8"/>
      <c r="B832" s="58"/>
      <c r="C832" s="59"/>
      <c r="D832" s="59"/>
      <c r="E832" s="58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8"/>
      <c r="B833" s="58"/>
      <c r="C833" s="59"/>
      <c r="D833" s="59"/>
      <c r="E833" s="58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8"/>
      <c r="B834" s="58"/>
      <c r="C834" s="59"/>
      <c r="D834" s="59"/>
      <c r="E834" s="58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8"/>
      <c r="B835" s="58"/>
      <c r="C835" s="59"/>
      <c r="D835" s="59"/>
      <c r="E835" s="58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8"/>
      <c r="B836" s="58"/>
      <c r="C836" s="59"/>
      <c r="D836" s="59"/>
      <c r="E836" s="58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8"/>
      <c r="B837" s="58"/>
      <c r="C837" s="59"/>
      <c r="D837" s="59"/>
      <c r="E837" s="58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8"/>
      <c r="B838" s="58"/>
      <c r="C838" s="59"/>
      <c r="D838" s="59"/>
      <c r="E838" s="58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8"/>
      <c r="B839" s="58"/>
      <c r="C839" s="59"/>
      <c r="D839" s="59"/>
      <c r="E839" s="58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8"/>
      <c r="B840" s="58"/>
      <c r="C840" s="59"/>
      <c r="D840" s="59"/>
      <c r="E840" s="58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8"/>
      <c r="B841" s="58"/>
      <c r="C841" s="59"/>
      <c r="D841" s="59"/>
      <c r="E841" s="58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8"/>
      <c r="B842" s="58"/>
      <c r="C842" s="59"/>
      <c r="D842" s="59"/>
      <c r="E842" s="58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8"/>
      <c r="B843" s="58"/>
      <c r="C843" s="59"/>
      <c r="D843" s="59"/>
      <c r="E843" s="58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8"/>
      <c r="B844" s="58"/>
      <c r="C844" s="59"/>
      <c r="D844" s="59"/>
      <c r="E844" s="58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8"/>
      <c r="B845" s="58"/>
      <c r="C845" s="59"/>
      <c r="D845" s="59"/>
      <c r="E845" s="58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8"/>
      <c r="B846" s="58"/>
      <c r="C846" s="59"/>
      <c r="D846" s="59"/>
      <c r="E846" s="58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8"/>
      <c r="B847" s="58"/>
      <c r="C847" s="59"/>
      <c r="D847" s="59"/>
      <c r="E847" s="58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8"/>
      <c r="B848" s="58"/>
      <c r="C848" s="59"/>
      <c r="D848" s="59"/>
      <c r="E848" s="58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8"/>
      <c r="B849" s="58"/>
      <c r="C849" s="59"/>
      <c r="D849" s="59"/>
      <c r="E849" s="58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8"/>
      <c r="B850" s="58"/>
      <c r="C850" s="59"/>
      <c r="D850" s="59"/>
      <c r="E850" s="58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8"/>
      <c r="B851" s="58"/>
      <c r="C851" s="59"/>
      <c r="D851" s="59"/>
      <c r="E851" s="58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8"/>
      <c r="B852" s="58"/>
      <c r="C852" s="59"/>
      <c r="D852" s="59"/>
      <c r="E852" s="58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8"/>
      <c r="B853" s="58"/>
      <c r="C853" s="59"/>
      <c r="D853" s="59"/>
      <c r="E853" s="58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8"/>
      <c r="B854" s="58"/>
      <c r="C854" s="59"/>
      <c r="D854" s="59"/>
      <c r="E854" s="58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8"/>
      <c r="B855" s="58"/>
      <c r="C855" s="59"/>
      <c r="D855" s="59"/>
      <c r="E855" s="58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8"/>
      <c r="B856" s="58"/>
      <c r="C856" s="59"/>
      <c r="D856" s="59"/>
      <c r="E856" s="58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8"/>
      <c r="B857" s="58"/>
      <c r="C857" s="59"/>
      <c r="D857" s="59"/>
      <c r="E857" s="58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8"/>
      <c r="B858" s="58"/>
      <c r="C858" s="59"/>
      <c r="D858" s="59"/>
      <c r="E858" s="58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8"/>
      <c r="B859" s="58"/>
      <c r="C859" s="59"/>
      <c r="D859" s="59"/>
      <c r="E859" s="58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8"/>
      <c r="B860" s="58"/>
      <c r="C860" s="59"/>
      <c r="D860" s="59"/>
      <c r="E860" s="58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8"/>
      <c r="B861" s="58"/>
      <c r="C861" s="59"/>
      <c r="D861" s="59"/>
      <c r="E861" s="58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8"/>
      <c r="B862" s="58"/>
      <c r="C862" s="59"/>
      <c r="D862" s="59"/>
      <c r="E862" s="58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8"/>
      <c r="B863" s="58"/>
      <c r="C863" s="59"/>
      <c r="D863" s="59"/>
      <c r="E863" s="58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8"/>
      <c r="B864" s="58"/>
      <c r="C864" s="59"/>
      <c r="D864" s="59"/>
      <c r="E864" s="58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8"/>
      <c r="B865" s="58"/>
      <c r="C865" s="59"/>
      <c r="D865" s="59"/>
      <c r="E865" s="58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8"/>
      <c r="B866" s="58"/>
      <c r="C866" s="59"/>
      <c r="D866" s="59"/>
      <c r="E866" s="58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8"/>
      <c r="B867" s="58"/>
      <c r="C867" s="59"/>
      <c r="D867" s="59"/>
      <c r="E867" s="58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8"/>
      <c r="B868" s="58"/>
      <c r="C868" s="59"/>
      <c r="D868" s="59"/>
      <c r="E868" s="58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8"/>
      <c r="B869" s="58"/>
      <c r="C869" s="59"/>
      <c r="D869" s="59"/>
      <c r="E869" s="58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8"/>
      <c r="B870" s="58"/>
      <c r="C870" s="59"/>
      <c r="D870" s="59"/>
      <c r="E870" s="58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8"/>
      <c r="B871" s="58"/>
      <c r="C871" s="59"/>
      <c r="D871" s="59"/>
      <c r="E871" s="58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8"/>
      <c r="B872" s="58"/>
      <c r="C872" s="59"/>
      <c r="D872" s="59"/>
      <c r="E872" s="58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8"/>
      <c r="B873" s="58"/>
      <c r="C873" s="59"/>
      <c r="D873" s="59"/>
      <c r="E873" s="58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8"/>
      <c r="B874" s="58"/>
      <c r="C874" s="59"/>
      <c r="D874" s="59"/>
      <c r="E874" s="58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8"/>
      <c r="B875" s="58"/>
      <c r="C875" s="59"/>
      <c r="D875" s="59"/>
      <c r="E875" s="58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8"/>
      <c r="B876" s="58"/>
      <c r="C876" s="59"/>
      <c r="D876" s="59"/>
      <c r="E876" s="58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8"/>
      <c r="B877" s="58"/>
      <c r="C877" s="59"/>
      <c r="D877" s="59"/>
      <c r="E877" s="58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8"/>
      <c r="B878" s="58"/>
      <c r="C878" s="59"/>
      <c r="D878" s="59"/>
      <c r="E878" s="58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8"/>
      <c r="B879" s="58"/>
      <c r="C879" s="59"/>
      <c r="D879" s="59"/>
      <c r="E879" s="58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8"/>
      <c r="B880" s="58"/>
      <c r="C880" s="59"/>
      <c r="D880" s="59"/>
      <c r="E880" s="58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8"/>
      <c r="B881" s="58"/>
      <c r="C881" s="59"/>
      <c r="D881" s="59"/>
      <c r="E881" s="58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8"/>
      <c r="B882" s="58"/>
      <c r="C882" s="59"/>
      <c r="D882" s="59"/>
      <c r="E882" s="58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8"/>
      <c r="B883" s="58"/>
      <c r="C883" s="59"/>
      <c r="D883" s="59"/>
      <c r="E883" s="58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8"/>
      <c r="B884" s="58"/>
      <c r="C884" s="59"/>
      <c r="D884" s="59"/>
      <c r="E884" s="58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8"/>
      <c r="B885" s="58"/>
      <c r="C885" s="59"/>
      <c r="D885" s="59"/>
      <c r="E885" s="58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8"/>
      <c r="B886" s="58"/>
      <c r="C886" s="59"/>
      <c r="D886" s="59"/>
      <c r="E886" s="58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8"/>
      <c r="B887" s="58"/>
      <c r="C887" s="59"/>
      <c r="D887" s="59"/>
      <c r="E887" s="58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8"/>
      <c r="B888" s="58"/>
      <c r="C888" s="59"/>
      <c r="D888" s="59"/>
      <c r="E888" s="58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8"/>
      <c r="B889" s="58"/>
      <c r="C889" s="59"/>
      <c r="D889" s="59"/>
      <c r="E889" s="58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8"/>
      <c r="B890" s="58"/>
      <c r="C890" s="59"/>
      <c r="D890" s="59"/>
      <c r="E890" s="58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8"/>
      <c r="B891" s="58"/>
      <c r="C891" s="59"/>
      <c r="D891" s="59"/>
      <c r="E891" s="58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8"/>
      <c r="B892" s="58"/>
      <c r="C892" s="59"/>
      <c r="D892" s="59"/>
      <c r="E892" s="58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8"/>
      <c r="B893" s="58"/>
      <c r="C893" s="59"/>
      <c r="D893" s="59"/>
      <c r="E893" s="58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8"/>
      <c r="B894" s="58"/>
      <c r="C894" s="59"/>
      <c r="D894" s="59"/>
      <c r="E894" s="58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8"/>
      <c r="B895" s="58"/>
      <c r="C895" s="59"/>
      <c r="D895" s="59"/>
      <c r="E895" s="58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8"/>
      <c r="B896" s="58"/>
      <c r="C896" s="59"/>
      <c r="D896" s="59"/>
      <c r="E896" s="58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8"/>
      <c r="B897" s="58"/>
      <c r="C897" s="59"/>
      <c r="D897" s="59"/>
      <c r="E897" s="58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8"/>
      <c r="B898" s="58"/>
      <c r="C898" s="59"/>
      <c r="D898" s="59"/>
      <c r="E898" s="58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8"/>
      <c r="B899" s="58"/>
      <c r="C899" s="59"/>
      <c r="D899" s="59"/>
      <c r="E899" s="58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8"/>
      <c r="B900" s="58"/>
      <c r="C900" s="59"/>
      <c r="D900" s="59"/>
      <c r="E900" s="58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8"/>
      <c r="B901" s="58"/>
      <c r="C901" s="59"/>
      <c r="D901" s="59"/>
      <c r="E901" s="58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8"/>
      <c r="B902" s="58"/>
      <c r="C902" s="59"/>
      <c r="D902" s="59"/>
      <c r="E902" s="58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8"/>
      <c r="B903" s="58"/>
      <c r="C903" s="59"/>
      <c r="D903" s="59"/>
      <c r="E903" s="58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8"/>
      <c r="B904" s="58"/>
      <c r="C904" s="59"/>
      <c r="D904" s="59"/>
      <c r="E904" s="58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8"/>
      <c r="B905" s="58"/>
      <c r="C905" s="59"/>
      <c r="D905" s="59"/>
      <c r="E905" s="58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8"/>
      <c r="B906" s="58"/>
      <c r="C906" s="59"/>
      <c r="D906" s="59"/>
      <c r="E906" s="58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8"/>
      <c r="B907" s="58"/>
      <c r="C907" s="59"/>
      <c r="D907" s="59"/>
      <c r="E907" s="58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8"/>
      <c r="B908" s="58"/>
      <c r="C908" s="59"/>
      <c r="D908" s="59"/>
      <c r="E908" s="58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8"/>
      <c r="B909" s="58"/>
      <c r="C909" s="59"/>
      <c r="D909" s="59"/>
      <c r="E909" s="58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8"/>
      <c r="B910" s="58"/>
      <c r="C910" s="59"/>
      <c r="D910" s="59"/>
      <c r="E910" s="58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8"/>
      <c r="B911" s="58"/>
      <c r="C911" s="59"/>
      <c r="D911" s="59"/>
      <c r="E911" s="58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8"/>
      <c r="B912" s="58"/>
      <c r="C912" s="59"/>
      <c r="D912" s="59"/>
      <c r="E912" s="58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8"/>
      <c r="B913" s="58"/>
      <c r="C913" s="59"/>
      <c r="D913" s="59"/>
      <c r="E913" s="58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8"/>
      <c r="B914" s="58"/>
      <c r="C914" s="59"/>
      <c r="D914" s="59"/>
      <c r="E914" s="58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8"/>
      <c r="B915" s="58"/>
      <c r="C915" s="59"/>
      <c r="D915" s="59"/>
      <c r="E915" s="58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8"/>
      <c r="B916" s="58"/>
      <c r="C916" s="59"/>
      <c r="D916" s="59"/>
      <c r="E916" s="58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8"/>
      <c r="B917" s="58"/>
      <c r="C917" s="59"/>
      <c r="D917" s="59"/>
      <c r="E917" s="58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8"/>
      <c r="B918" s="58"/>
      <c r="C918" s="59"/>
      <c r="D918" s="59"/>
      <c r="E918" s="58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8"/>
      <c r="B919" s="58"/>
      <c r="C919" s="59"/>
      <c r="D919" s="59"/>
      <c r="E919" s="58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8"/>
      <c r="B920" s="58"/>
      <c r="C920" s="59"/>
      <c r="D920" s="59"/>
      <c r="E920" s="58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8"/>
      <c r="B921" s="58"/>
      <c r="C921" s="59"/>
      <c r="D921" s="59"/>
      <c r="E921" s="58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8"/>
      <c r="B922" s="58"/>
      <c r="C922" s="59"/>
      <c r="D922" s="59"/>
      <c r="E922" s="58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8"/>
      <c r="B923" s="58"/>
      <c r="C923" s="59"/>
      <c r="D923" s="59"/>
      <c r="E923" s="58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8"/>
      <c r="B924" s="58"/>
      <c r="C924" s="59"/>
      <c r="D924" s="59"/>
      <c r="E924" s="58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8"/>
      <c r="B925" s="58"/>
      <c r="C925" s="59"/>
      <c r="D925" s="59"/>
      <c r="E925" s="58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8"/>
      <c r="B926" s="58"/>
      <c r="C926" s="59"/>
      <c r="D926" s="59"/>
      <c r="E926" s="58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8"/>
      <c r="B927" s="58"/>
      <c r="C927" s="59"/>
      <c r="D927" s="59"/>
      <c r="E927" s="58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8"/>
      <c r="B928" s="58"/>
      <c r="C928" s="59"/>
      <c r="D928" s="59"/>
      <c r="E928" s="58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8"/>
      <c r="B929" s="58"/>
      <c r="C929" s="59"/>
      <c r="D929" s="59"/>
      <c r="E929" s="58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8"/>
      <c r="B930" s="58"/>
      <c r="C930" s="59"/>
      <c r="D930" s="59"/>
      <c r="E930" s="58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8"/>
      <c r="B931" s="58"/>
      <c r="C931" s="59"/>
      <c r="D931" s="59"/>
      <c r="E931" s="58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8"/>
      <c r="B932" s="58"/>
      <c r="C932" s="59"/>
      <c r="D932" s="59"/>
      <c r="E932" s="58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8"/>
      <c r="B933" s="58"/>
      <c r="C933" s="59"/>
      <c r="D933" s="59"/>
      <c r="E933" s="58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8"/>
      <c r="B934" s="58"/>
      <c r="C934" s="59"/>
      <c r="D934" s="59"/>
      <c r="E934" s="58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8"/>
      <c r="B935" s="58"/>
      <c r="C935" s="59"/>
      <c r="D935" s="59"/>
      <c r="E935" s="58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8"/>
      <c r="B936" s="58"/>
      <c r="C936" s="59"/>
      <c r="D936" s="59"/>
      <c r="E936" s="58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8"/>
      <c r="B937" s="58"/>
      <c r="C937" s="59"/>
      <c r="D937" s="59"/>
      <c r="E937" s="58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8"/>
      <c r="B938" s="58"/>
      <c r="C938" s="59"/>
      <c r="D938" s="59"/>
      <c r="E938" s="58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8"/>
      <c r="B939" s="58"/>
      <c r="C939" s="59"/>
      <c r="D939" s="59"/>
      <c r="E939" s="58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8"/>
      <c r="B940" s="58"/>
      <c r="C940" s="59"/>
      <c r="D940" s="59"/>
      <c r="E940" s="58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8"/>
      <c r="B941" s="58"/>
      <c r="C941" s="59"/>
      <c r="D941" s="59"/>
      <c r="E941" s="58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8"/>
      <c r="B942" s="58"/>
      <c r="C942" s="59"/>
      <c r="D942" s="59"/>
      <c r="E942" s="58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8"/>
      <c r="B943" s="58"/>
      <c r="C943" s="59"/>
      <c r="D943" s="59"/>
      <c r="E943" s="58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8"/>
      <c r="B944" s="58"/>
      <c r="C944" s="59"/>
      <c r="D944" s="59"/>
      <c r="E944" s="58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8"/>
      <c r="B945" s="58"/>
      <c r="C945" s="59"/>
      <c r="D945" s="59"/>
      <c r="E945" s="58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8"/>
      <c r="B946" s="58"/>
      <c r="C946" s="59"/>
      <c r="D946" s="59"/>
      <c r="E946" s="58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8"/>
      <c r="B947" s="58"/>
      <c r="C947" s="59"/>
      <c r="D947" s="59"/>
      <c r="E947" s="58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8"/>
      <c r="B948" s="58"/>
      <c r="C948" s="59"/>
      <c r="D948" s="59"/>
      <c r="E948" s="58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8"/>
      <c r="B949" s="58"/>
      <c r="C949" s="59"/>
      <c r="D949" s="59"/>
      <c r="E949" s="58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8"/>
      <c r="B950" s="58"/>
      <c r="C950" s="59"/>
      <c r="D950" s="59"/>
      <c r="E950" s="58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8"/>
      <c r="B951" s="58"/>
      <c r="C951" s="59"/>
      <c r="D951" s="59"/>
      <c r="E951" s="58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8"/>
      <c r="B952" s="58"/>
      <c r="C952" s="59"/>
      <c r="D952" s="59"/>
      <c r="E952" s="58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8"/>
      <c r="B953" s="58"/>
      <c r="C953" s="59"/>
      <c r="D953" s="59"/>
      <c r="E953" s="58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8"/>
      <c r="B954" s="58"/>
      <c r="C954" s="59"/>
      <c r="D954" s="59"/>
      <c r="E954" s="58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8"/>
      <c r="B955" s="58"/>
      <c r="C955" s="59"/>
      <c r="D955" s="59"/>
      <c r="E955" s="58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8"/>
      <c r="B956" s="58"/>
      <c r="C956" s="59"/>
      <c r="D956" s="59"/>
      <c r="E956" s="58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8"/>
      <c r="B957" s="58"/>
      <c r="C957" s="59"/>
      <c r="D957" s="59"/>
      <c r="E957" s="58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8"/>
      <c r="B958" s="58"/>
      <c r="C958" s="59"/>
      <c r="D958" s="59"/>
      <c r="E958" s="58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8"/>
      <c r="B959" s="58"/>
      <c r="C959" s="59"/>
      <c r="D959" s="59"/>
      <c r="E959" s="58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8"/>
      <c r="B960" s="58"/>
      <c r="C960" s="59"/>
      <c r="D960" s="59"/>
      <c r="E960" s="58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8"/>
      <c r="B961" s="58"/>
      <c r="C961" s="59"/>
      <c r="D961" s="59"/>
      <c r="E961" s="58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8"/>
      <c r="B962" s="58"/>
      <c r="C962" s="59"/>
      <c r="D962" s="59"/>
      <c r="E962" s="58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8"/>
      <c r="B963" s="58"/>
      <c r="C963" s="59"/>
      <c r="D963" s="59"/>
      <c r="E963" s="58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8"/>
      <c r="B964" s="58"/>
      <c r="C964" s="59"/>
      <c r="D964" s="59"/>
      <c r="E964" s="58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8"/>
      <c r="B965" s="58"/>
      <c r="C965" s="59"/>
      <c r="D965" s="59"/>
      <c r="E965" s="58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8"/>
      <c r="B966" s="58"/>
      <c r="C966" s="59"/>
      <c r="D966" s="59"/>
      <c r="E966" s="58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8"/>
      <c r="B967" s="58"/>
      <c r="C967" s="59"/>
      <c r="D967" s="59"/>
      <c r="E967" s="58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8"/>
      <c r="B968" s="58"/>
      <c r="C968" s="59"/>
      <c r="D968" s="59"/>
      <c r="E968" s="58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8"/>
      <c r="B969" s="58"/>
      <c r="C969" s="59"/>
      <c r="D969" s="59"/>
      <c r="E969" s="58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8"/>
      <c r="B970" s="58"/>
      <c r="C970" s="59"/>
      <c r="D970" s="59"/>
      <c r="E970" s="58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8"/>
      <c r="B971" s="58"/>
      <c r="C971" s="59"/>
      <c r="D971" s="59"/>
      <c r="E971" s="58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8"/>
      <c r="B972" s="58"/>
      <c r="C972" s="59"/>
      <c r="D972" s="59"/>
      <c r="E972" s="58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8"/>
      <c r="B973" s="58"/>
      <c r="C973" s="59"/>
      <c r="D973" s="59"/>
      <c r="E973" s="58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8"/>
      <c r="B974" s="58"/>
      <c r="C974" s="59"/>
      <c r="D974" s="59"/>
      <c r="E974" s="58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8"/>
      <c r="B975" s="58"/>
      <c r="C975" s="59"/>
      <c r="D975" s="59"/>
      <c r="E975" s="58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8"/>
      <c r="B976" s="58"/>
      <c r="C976" s="59"/>
      <c r="D976" s="59"/>
      <c r="E976" s="58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8"/>
      <c r="B977" s="58"/>
      <c r="C977" s="59"/>
      <c r="D977" s="59"/>
      <c r="E977" s="58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8"/>
      <c r="B978" s="58"/>
      <c r="C978" s="59"/>
      <c r="D978" s="59"/>
      <c r="E978" s="58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8"/>
      <c r="B979" s="58"/>
      <c r="C979" s="59"/>
      <c r="D979" s="59"/>
      <c r="E979" s="58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8"/>
      <c r="B980" s="58"/>
      <c r="C980" s="59"/>
      <c r="D980" s="59"/>
      <c r="E980" s="58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8"/>
      <c r="B981" s="58"/>
      <c r="C981" s="59"/>
      <c r="D981" s="59"/>
      <c r="E981" s="58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8"/>
      <c r="B982" s="58"/>
      <c r="C982" s="59"/>
      <c r="D982" s="59"/>
      <c r="E982" s="58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8"/>
      <c r="B983" s="58"/>
      <c r="C983" s="59"/>
      <c r="D983" s="59"/>
      <c r="E983" s="58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8"/>
      <c r="B984" s="58"/>
      <c r="C984" s="59"/>
      <c r="D984" s="59"/>
      <c r="E984" s="58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8"/>
      <c r="B985" s="58"/>
      <c r="C985" s="59"/>
      <c r="D985" s="59"/>
      <c r="E985" s="58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8"/>
      <c r="B986" s="58"/>
      <c r="C986" s="59"/>
      <c r="D986" s="59"/>
      <c r="E986" s="58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8"/>
      <c r="B987" s="58"/>
      <c r="C987" s="59"/>
      <c r="D987" s="59"/>
      <c r="E987" s="58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8"/>
      <c r="B988" s="58"/>
      <c r="C988" s="59"/>
      <c r="D988" s="59"/>
      <c r="E988" s="58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8"/>
      <c r="B989" s="58"/>
      <c r="C989" s="59"/>
      <c r="D989" s="59"/>
      <c r="E989" s="58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8"/>
      <c r="B990" s="58"/>
      <c r="C990" s="59"/>
      <c r="D990" s="59"/>
      <c r="E990" s="58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8"/>
      <c r="B991" s="58"/>
      <c r="C991" s="59"/>
      <c r="D991" s="59"/>
      <c r="E991" s="58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8"/>
      <c r="B992" s="58"/>
      <c r="C992" s="59"/>
      <c r="D992" s="59"/>
      <c r="E992" s="58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8"/>
      <c r="B993" s="58"/>
      <c r="C993" s="59"/>
      <c r="D993" s="59"/>
      <c r="E993" s="58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8"/>
      <c r="B994" s="58"/>
      <c r="C994" s="59"/>
      <c r="D994" s="59"/>
      <c r="E994" s="58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8"/>
      <c r="B995" s="58"/>
      <c r="C995" s="59"/>
      <c r="D995" s="59"/>
      <c r="E995" s="58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8"/>
      <c r="B996" s="58"/>
      <c r="C996" s="59"/>
      <c r="D996" s="59"/>
      <c r="E996" s="58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8"/>
      <c r="B997" s="58"/>
      <c r="C997" s="59"/>
      <c r="D997" s="59"/>
      <c r="E997" s="58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8"/>
      <c r="B998" s="58"/>
      <c r="C998" s="59"/>
      <c r="D998" s="59"/>
      <c r="E998" s="58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8"/>
      <c r="B999" s="58"/>
      <c r="C999" s="59"/>
      <c r="D999" s="59"/>
      <c r="E999" s="58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8"/>
      <c r="B1000" s="58"/>
      <c r="C1000" s="59"/>
      <c r="D1000" s="59"/>
      <c r="E1000" s="58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.0"/>
    <col customWidth="1" min="2" max="2" width="26.14"/>
    <col customWidth="1" min="3" max="3" width="92.43"/>
    <col customWidth="1" min="4" max="4" width="7.57"/>
    <col customWidth="1" min="5" max="5" width="7.0"/>
    <col customWidth="1" min="6" max="6" width="9.29"/>
    <col customWidth="1" min="7" max="7" width="55.57"/>
    <col customWidth="1" min="8" max="8" width="36.71"/>
    <col customWidth="1" min="9" max="25" width="4.86"/>
  </cols>
  <sheetData>
    <row r="1" ht="33.0" customHeight="1">
      <c r="A1" s="65" t="s">
        <v>43</v>
      </c>
      <c r="B1" s="66"/>
      <c r="C1" s="66"/>
      <c r="D1" s="66"/>
      <c r="E1" s="66"/>
      <c r="F1" s="66"/>
      <c r="G1" s="66"/>
      <c r="H1" s="66"/>
    </row>
    <row r="2" ht="21.75" customHeight="1">
      <c r="A2" s="67" t="s">
        <v>44</v>
      </c>
      <c r="B2" s="68"/>
      <c r="C2" s="69" t="s">
        <v>45</v>
      </c>
      <c r="D2" s="70" t="s">
        <v>46</v>
      </c>
      <c r="E2" s="70" t="s">
        <v>47</v>
      </c>
      <c r="F2" s="70" t="s">
        <v>9</v>
      </c>
      <c r="G2" s="71" t="s">
        <v>34</v>
      </c>
      <c r="H2" s="71" t="s">
        <v>35</v>
      </c>
    </row>
    <row r="3" ht="21.75" customHeight="1">
      <c r="A3" s="72" t="s">
        <v>48</v>
      </c>
      <c r="B3" s="73" t="s">
        <v>49</v>
      </c>
      <c r="C3" s="74"/>
      <c r="D3" s="75">
        <v>0.0</v>
      </c>
      <c r="E3" s="76">
        <v>1.0</v>
      </c>
      <c r="F3" s="77"/>
      <c r="G3" s="78"/>
      <c r="H3" s="78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ht="21.75" customHeight="1">
      <c r="A4" s="80"/>
      <c r="B4" s="81"/>
      <c r="C4" s="82"/>
      <c r="D4" s="83">
        <v>0.0</v>
      </c>
      <c r="E4" s="84">
        <v>1.0</v>
      </c>
      <c r="F4" s="85"/>
      <c r="G4" s="86"/>
      <c r="H4" s="86"/>
    </row>
    <row r="5" ht="21.75" customHeight="1">
      <c r="A5" s="80"/>
      <c r="B5" s="81"/>
      <c r="C5" s="82"/>
      <c r="D5" s="83">
        <v>0.0</v>
      </c>
      <c r="E5" s="84">
        <v>1.0</v>
      </c>
      <c r="F5" s="85"/>
      <c r="G5" s="86"/>
      <c r="H5" s="86"/>
    </row>
    <row r="6" ht="21.75" customHeight="1">
      <c r="A6" s="72" t="s">
        <v>50</v>
      </c>
      <c r="B6" s="87" t="s">
        <v>51</v>
      </c>
      <c r="C6" s="74"/>
      <c r="D6" s="75">
        <v>0.0</v>
      </c>
      <c r="E6" s="88">
        <v>1.0</v>
      </c>
      <c r="F6" s="77"/>
      <c r="G6" s="78"/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80"/>
      <c r="B7" s="81"/>
      <c r="C7" s="82"/>
      <c r="D7" s="89">
        <v>0.0</v>
      </c>
      <c r="E7" s="90">
        <v>1.0</v>
      </c>
      <c r="F7" s="85"/>
      <c r="G7" s="91"/>
      <c r="H7" s="91"/>
    </row>
    <row r="8">
      <c r="A8" s="80"/>
      <c r="B8" s="92"/>
      <c r="C8" s="82"/>
      <c r="D8" s="89">
        <v>0.0</v>
      </c>
      <c r="E8" s="90">
        <v>1.0</v>
      </c>
      <c r="F8" s="85"/>
      <c r="G8" s="91"/>
      <c r="H8" s="91"/>
    </row>
    <row r="9">
      <c r="A9" s="80"/>
      <c r="B9" s="92"/>
      <c r="C9" s="82"/>
      <c r="D9" s="89">
        <v>0.0</v>
      </c>
      <c r="E9" s="90">
        <v>1.0</v>
      </c>
      <c r="F9" s="85"/>
      <c r="G9" s="91"/>
      <c r="H9" s="91"/>
    </row>
    <row r="10">
      <c r="A10" s="80"/>
      <c r="B10" s="93"/>
      <c r="C10" s="82"/>
      <c r="D10" s="89">
        <v>0.0</v>
      </c>
      <c r="E10" s="90">
        <v>1.0</v>
      </c>
      <c r="F10" s="94"/>
      <c r="G10" s="95"/>
      <c r="H10" s="95"/>
    </row>
    <row r="11">
      <c r="A11" s="80"/>
      <c r="B11" s="92"/>
      <c r="C11" s="82"/>
      <c r="D11" s="89">
        <v>0.0</v>
      </c>
      <c r="E11" s="90">
        <v>1.0</v>
      </c>
      <c r="F11" s="85"/>
      <c r="G11" s="91"/>
      <c r="H11" s="91"/>
    </row>
    <row r="12">
      <c r="A12" s="80"/>
      <c r="B12" s="93"/>
      <c r="C12" s="82"/>
      <c r="D12" s="89">
        <v>0.0</v>
      </c>
      <c r="E12" s="90">
        <v>1.0</v>
      </c>
      <c r="F12" s="94"/>
      <c r="G12" s="95"/>
      <c r="H12" s="95"/>
    </row>
    <row r="13">
      <c r="A13" s="80"/>
      <c r="B13" s="92"/>
      <c r="C13" s="82"/>
      <c r="D13" s="89">
        <v>0.0</v>
      </c>
      <c r="E13" s="90">
        <v>1.0</v>
      </c>
      <c r="F13" s="85"/>
      <c r="G13" s="91"/>
      <c r="H13" s="91"/>
    </row>
    <row r="14">
      <c r="A14" s="80"/>
      <c r="B14" s="92"/>
      <c r="C14" s="82"/>
      <c r="D14" s="89">
        <v>0.0</v>
      </c>
      <c r="E14" s="90">
        <v>1.0</v>
      </c>
      <c r="F14" s="85"/>
      <c r="G14" s="96"/>
      <c r="H14" s="91"/>
    </row>
    <row r="15">
      <c r="A15" s="80"/>
      <c r="B15" s="92"/>
      <c r="C15" s="82"/>
      <c r="D15" s="89">
        <v>0.0</v>
      </c>
      <c r="E15" s="90">
        <v>1.0</v>
      </c>
      <c r="F15" s="85"/>
      <c r="G15" s="96"/>
      <c r="H15" s="91"/>
    </row>
    <row r="16">
      <c r="A16" s="80"/>
      <c r="B16" s="92"/>
      <c r="C16" s="82"/>
      <c r="D16" s="89">
        <v>0.0</v>
      </c>
      <c r="E16" s="90">
        <v>1.0</v>
      </c>
      <c r="F16" s="85"/>
      <c r="G16" s="96"/>
      <c r="H16" s="91"/>
    </row>
    <row r="17">
      <c r="A17" s="80"/>
      <c r="B17" s="92"/>
      <c r="C17" s="82"/>
      <c r="D17" s="89">
        <v>0.0</v>
      </c>
      <c r="E17" s="90">
        <v>1.0</v>
      </c>
      <c r="F17" s="85"/>
      <c r="G17" s="86"/>
      <c r="H17" s="86"/>
    </row>
    <row r="18" ht="24.75" customHeight="1">
      <c r="A18" s="80"/>
      <c r="B18" s="92"/>
      <c r="C18" s="82"/>
      <c r="D18" s="89">
        <v>0.0</v>
      </c>
      <c r="E18" s="90">
        <v>1.0</v>
      </c>
      <c r="F18" s="85"/>
      <c r="G18" s="86"/>
      <c r="H18" s="86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ht="25.5" customHeight="1">
      <c r="A19" s="80"/>
      <c r="B19" s="92"/>
      <c r="C19" s="82"/>
      <c r="D19" s="89">
        <v>0.0</v>
      </c>
      <c r="E19" s="90">
        <v>1.0</v>
      </c>
      <c r="F19" s="85"/>
      <c r="G19" s="86"/>
      <c r="H19" s="86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ht="21.75" customHeight="1">
      <c r="A20" s="80"/>
      <c r="B20" s="92"/>
      <c r="C20" s="82"/>
      <c r="D20" s="89">
        <v>0.0</v>
      </c>
      <c r="E20" s="90">
        <v>1.0</v>
      </c>
      <c r="F20" s="85"/>
      <c r="G20" s="86"/>
      <c r="H20" s="86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ht="21.75" customHeight="1">
      <c r="A21" s="72" t="s">
        <v>52</v>
      </c>
      <c r="B21" s="73" t="s">
        <v>53</v>
      </c>
      <c r="C21" s="74"/>
      <c r="D21" s="75">
        <v>0.0</v>
      </c>
      <c r="E21" s="76">
        <v>1.0</v>
      </c>
      <c r="F21" s="77"/>
      <c r="G21" s="78"/>
      <c r="H21" s="78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ht="21.75" customHeight="1">
      <c r="A22" s="80"/>
      <c r="B22" s="97"/>
      <c r="C22" s="82"/>
      <c r="D22" s="89">
        <v>0.0</v>
      </c>
      <c r="E22" s="90">
        <v>1.0</v>
      </c>
      <c r="F22" s="85"/>
      <c r="G22" s="91"/>
      <c r="H22" s="91"/>
    </row>
    <row r="23" ht="21.75" customHeight="1">
      <c r="A23" s="80"/>
      <c r="B23" s="81"/>
      <c r="C23" s="82"/>
      <c r="D23" s="89">
        <v>0.0</v>
      </c>
      <c r="E23" s="90">
        <v>1.0</v>
      </c>
      <c r="F23" s="85"/>
      <c r="G23" s="91"/>
      <c r="H23" s="91"/>
    </row>
    <row r="24" ht="21.75" customHeight="1">
      <c r="A24" s="80"/>
      <c r="B24" s="81"/>
      <c r="C24" s="82"/>
      <c r="D24" s="89">
        <v>0.0</v>
      </c>
      <c r="E24" s="90">
        <v>1.0</v>
      </c>
      <c r="F24" s="85"/>
      <c r="G24" s="91"/>
      <c r="H24" s="91"/>
    </row>
    <row r="25" ht="21.75" customHeight="1">
      <c r="A25" s="80"/>
      <c r="B25" s="81"/>
      <c r="C25" s="82"/>
      <c r="D25" s="89">
        <v>0.0</v>
      </c>
      <c r="E25" s="90">
        <v>1.0</v>
      </c>
      <c r="F25" s="85"/>
      <c r="G25" s="91"/>
      <c r="H25" s="91"/>
    </row>
    <row r="26" ht="21.75" customHeight="1">
      <c r="A26" s="80"/>
      <c r="B26" s="81"/>
      <c r="C26" s="82"/>
      <c r="D26" s="89">
        <v>0.0</v>
      </c>
      <c r="E26" s="90">
        <v>1.0</v>
      </c>
      <c r="F26" s="85"/>
      <c r="G26" s="91"/>
      <c r="H26" s="91"/>
    </row>
    <row r="27" ht="21.75" customHeight="1">
      <c r="A27" s="80"/>
      <c r="B27" s="81"/>
      <c r="C27" s="82"/>
      <c r="D27" s="89">
        <v>0.0</v>
      </c>
      <c r="E27" s="90">
        <v>1.0</v>
      </c>
      <c r="F27" s="85"/>
      <c r="G27" s="91"/>
      <c r="H27" s="91"/>
    </row>
    <row r="28" ht="21.75" customHeight="1">
      <c r="A28" s="80"/>
      <c r="B28" s="81"/>
      <c r="C28" s="82"/>
      <c r="D28" s="89">
        <v>0.0</v>
      </c>
      <c r="E28" s="90">
        <v>1.0</v>
      </c>
      <c r="F28" s="85"/>
      <c r="G28" s="91"/>
      <c r="H28" s="91"/>
    </row>
    <row r="29" ht="21.75" customHeight="1">
      <c r="A29" s="80"/>
      <c r="B29" s="81"/>
      <c r="C29" s="82"/>
      <c r="D29" s="89">
        <v>0.0</v>
      </c>
      <c r="E29" s="90">
        <v>1.0</v>
      </c>
      <c r="F29" s="85"/>
      <c r="G29" s="91"/>
      <c r="H29" s="91"/>
    </row>
    <row r="30" ht="21.75" customHeight="1">
      <c r="A30" s="80"/>
      <c r="B30" s="97"/>
      <c r="C30" s="82"/>
      <c r="D30" s="89">
        <v>0.0</v>
      </c>
      <c r="E30" s="90">
        <v>1.0</v>
      </c>
      <c r="F30" s="85"/>
      <c r="G30" s="91"/>
      <c r="H30" s="91"/>
    </row>
    <row r="31" ht="21.75" customHeight="1">
      <c r="A31" s="80"/>
      <c r="B31" s="92"/>
      <c r="C31" s="82"/>
      <c r="D31" s="89">
        <v>0.0</v>
      </c>
      <c r="E31" s="90">
        <v>1.0</v>
      </c>
      <c r="F31" s="85"/>
      <c r="G31" s="91"/>
      <c r="H31" s="91"/>
    </row>
    <row r="32" ht="21.75" customHeight="1">
      <c r="A32" s="80"/>
      <c r="B32" s="92"/>
      <c r="C32" s="82"/>
      <c r="D32" s="89">
        <v>0.0</v>
      </c>
      <c r="E32" s="90">
        <v>1.0</v>
      </c>
      <c r="F32" s="85"/>
      <c r="G32" s="91"/>
      <c r="H32" s="91"/>
    </row>
    <row r="33" ht="21.75" customHeight="1">
      <c r="A33" s="80"/>
      <c r="B33" s="92"/>
      <c r="C33" s="82"/>
      <c r="D33" s="89">
        <v>0.0</v>
      </c>
      <c r="E33" s="90">
        <v>1.0</v>
      </c>
      <c r="F33" s="85"/>
      <c r="G33" s="91"/>
      <c r="H33" s="91"/>
    </row>
    <row r="34" ht="21.75" customHeight="1">
      <c r="A34" s="80"/>
      <c r="B34" s="92"/>
      <c r="C34" s="82"/>
      <c r="D34" s="89">
        <v>0.0</v>
      </c>
      <c r="E34" s="90">
        <v>1.0</v>
      </c>
      <c r="F34" s="85"/>
      <c r="G34" s="91"/>
      <c r="H34" s="91"/>
    </row>
    <row r="35" ht="21.75" customHeight="1">
      <c r="A35" s="80"/>
      <c r="B35" s="92"/>
      <c r="C35" s="82"/>
      <c r="D35" s="89">
        <v>0.0</v>
      </c>
      <c r="E35" s="90">
        <v>1.0</v>
      </c>
      <c r="F35" s="85"/>
      <c r="G35" s="91"/>
      <c r="H35" s="91"/>
    </row>
    <row r="36" ht="21.75" customHeight="1">
      <c r="A36" s="80"/>
      <c r="B36" s="92"/>
      <c r="C36" s="82"/>
      <c r="D36" s="89">
        <v>0.0</v>
      </c>
      <c r="E36" s="90">
        <v>1.0</v>
      </c>
      <c r="F36" s="85"/>
      <c r="G36" s="91"/>
      <c r="H36" s="91"/>
    </row>
    <row r="37" ht="21.75" customHeight="1">
      <c r="A37" s="80"/>
      <c r="B37" s="98"/>
      <c r="C37" s="82"/>
      <c r="D37" s="89">
        <v>0.0</v>
      </c>
      <c r="E37" s="90">
        <v>1.0</v>
      </c>
      <c r="F37" s="85"/>
      <c r="G37" s="91"/>
      <c r="H37" s="91"/>
    </row>
    <row r="38" ht="21.75" customHeight="1">
      <c r="A38" s="99"/>
      <c r="B38" s="92"/>
      <c r="C38" s="100"/>
      <c r="D38" s="89">
        <v>0.0</v>
      </c>
      <c r="E38" s="90">
        <v>1.0</v>
      </c>
      <c r="F38" s="85"/>
      <c r="G38" s="91"/>
      <c r="H38" s="9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ht="21.75" customHeight="1">
      <c r="A39" s="99"/>
      <c r="B39" s="92"/>
      <c r="C39" s="100"/>
      <c r="D39" s="89">
        <v>0.0</v>
      </c>
      <c r="E39" s="90">
        <v>1.0</v>
      </c>
      <c r="F39" s="85"/>
      <c r="G39" s="91"/>
      <c r="H39" s="9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ht="21.75" customHeight="1">
      <c r="A40" s="99"/>
      <c r="B40" s="92"/>
      <c r="C40" s="100"/>
      <c r="D40" s="89">
        <v>0.0</v>
      </c>
      <c r="E40" s="90">
        <v>1.0</v>
      </c>
      <c r="F40" s="85"/>
      <c r="G40" s="91"/>
      <c r="H40" s="9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ht="21.75" customHeight="1">
      <c r="A41" s="99"/>
      <c r="B41" s="92"/>
      <c r="C41" s="100"/>
      <c r="D41" s="89">
        <v>0.0</v>
      </c>
      <c r="E41" s="90">
        <v>1.0</v>
      </c>
      <c r="F41" s="85"/>
      <c r="G41" s="91"/>
      <c r="H41" s="9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ht="21.75" customHeight="1">
      <c r="A42" s="99"/>
      <c r="B42" s="92"/>
      <c r="C42" s="100"/>
      <c r="D42" s="89">
        <v>0.0</v>
      </c>
      <c r="E42" s="90">
        <v>1.0</v>
      </c>
      <c r="F42" s="85"/>
      <c r="G42" s="91"/>
      <c r="H42" s="9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ht="21.75" customHeight="1">
      <c r="A43" s="99"/>
      <c r="B43" s="92"/>
      <c r="C43" s="100"/>
      <c r="D43" s="89">
        <v>0.0</v>
      </c>
      <c r="E43" s="90">
        <v>1.0</v>
      </c>
      <c r="F43" s="85"/>
      <c r="G43" s="91"/>
      <c r="H43" s="9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ht="21.75" customHeight="1">
      <c r="A44" s="99"/>
      <c r="B44" s="98"/>
      <c r="C44" s="100"/>
      <c r="D44" s="89">
        <v>0.0</v>
      </c>
      <c r="E44" s="90">
        <v>1.0</v>
      </c>
      <c r="F44" s="85"/>
      <c r="G44" s="91"/>
      <c r="H44" s="9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ht="21.75" customHeight="1">
      <c r="A45" s="99"/>
      <c r="B45" s="92"/>
      <c r="C45" s="100"/>
      <c r="D45" s="89">
        <v>0.0</v>
      </c>
      <c r="E45" s="90">
        <v>1.0</v>
      </c>
      <c r="F45" s="85"/>
      <c r="G45" s="91"/>
      <c r="H45" s="9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ht="21.75" customHeight="1">
      <c r="A46" s="99"/>
      <c r="B46" s="92"/>
      <c r="C46" s="100"/>
      <c r="D46" s="89">
        <v>0.0</v>
      </c>
      <c r="E46" s="90">
        <v>1.0</v>
      </c>
      <c r="F46" s="85"/>
      <c r="G46" s="91"/>
      <c r="H46" s="9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ht="21.75" customHeight="1">
      <c r="A47" s="99"/>
      <c r="B47" s="92"/>
      <c r="C47" s="100"/>
      <c r="D47" s="89">
        <v>0.0</v>
      </c>
      <c r="E47" s="90">
        <v>1.0</v>
      </c>
      <c r="F47" s="85"/>
      <c r="G47" s="91"/>
      <c r="H47" s="9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ht="21.75" customHeight="1">
      <c r="A48" s="99"/>
      <c r="B48" s="92"/>
      <c r="C48" s="100"/>
      <c r="D48" s="89">
        <v>0.0</v>
      </c>
      <c r="E48" s="90">
        <v>1.0</v>
      </c>
      <c r="F48" s="85"/>
      <c r="G48" s="91"/>
      <c r="H48" s="9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ht="21.75" customHeight="1">
      <c r="A49" s="99"/>
      <c r="B49" s="92"/>
      <c r="C49" s="100"/>
      <c r="D49" s="89">
        <v>0.0</v>
      </c>
      <c r="E49" s="90">
        <v>1.0</v>
      </c>
      <c r="F49" s="85"/>
      <c r="G49" s="91"/>
      <c r="H49" s="9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ht="21.75" customHeight="1">
      <c r="A50" s="99"/>
      <c r="B50" s="92"/>
      <c r="C50" s="100"/>
      <c r="D50" s="89">
        <v>0.0</v>
      </c>
      <c r="E50" s="90">
        <v>1.0</v>
      </c>
      <c r="F50" s="85"/>
      <c r="G50" s="91"/>
      <c r="H50" s="9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ht="21.75" customHeight="1">
      <c r="A51" s="99"/>
      <c r="B51" s="98"/>
      <c r="C51" s="100"/>
      <c r="D51" s="89">
        <v>0.0</v>
      </c>
      <c r="E51" s="90">
        <v>1.0</v>
      </c>
      <c r="F51" s="85"/>
      <c r="G51" s="91"/>
      <c r="H51" s="9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ht="21.75" customHeight="1">
      <c r="A52" s="99"/>
      <c r="B52" s="92"/>
      <c r="C52" s="100"/>
      <c r="D52" s="89">
        <v>0.0</v>
      </c>
      <c r="E52" s="90">
        <v>1.0</v>
      </c>
      <c r="F52" s="85"/>
      <c r="G52" s="91"/>
      <c r="H52" s="9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ht="21.75" customHeight="1">
      <c r="A53" s="99"/>
      <c r="B53" s="92"/>
      <c r="C53" s="100"/>
      <c r="D53" s="89">
        <v>0.0</v>
      </c>
      <c r="E53" s="90">
        <v>1.0</v>
      </c>
      <c r="F53" s="85"/>
      <c r="G53" s="91"/>
      <c r="H53" s="9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ht="21.75" customHeight="1">
      <c r="A54" s="99"/>
      <c r="B54" s="92"/>
      <c r="C54" s="100"/>
      <c r="D54" s="89">
        <v>0.0</v>
      </c>
      <c r="E54" s="90">
        <v>1.0</v>
      </c>
      <c r="F54" s="85"/>
      <c r="G54" s="91"/>
      <c r="H54" s="9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ht="21.75" customHeight="1">
      <c r="A55" s="99"/>
      <c r="B55" s="92"/>
      <c r="C55" s="100"/>
      <c r="D55" s="89">
        <v>0.0</v>
      </c>
      <c r="E55" s="90">
        <v>1.0</v>
      </c>
      <c r="F55" s="85"/>
      <c r="G55" s="91"/>
      <c r="H55" s="9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ht="21.75" customHeight="1">
      <c r="A56" s="99"/>
      <c r="B56" s="98"/>
      <c r="C56" s="100"/>
      <c r="D56" s="89">
        <v>0.0</v>
      </c>
      <c r="E56" s="90">
        <v>1.0</v>
      </c>
      <c r="F56" s="85"/>
      <c r="G56" s="91"/>
      <c r="H56" s="9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ht="21.75" customHeight="1">
      <c r="A57" s="99"/>
      <c r="B57" s="92"/>
      <c r="C57" s="100"/>
      <c r="D57" s="89">
        <v>0.0</v>
      </c>
      <c r="E57" s="90">
        <v>1.0</v>
      </c>
      <c r="F57" s="85"/>
      <c r="G57" s="96"/>
      <c r="H57" s="96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ht="21.75" customHeight="1">
      <c r="A58" s="99"/>
      <c r="B58" s="92"/>
      <c r="C58" s="100"/>
      <c r="D58" s="89">
        <v>0.0</v>
      </c>
      <c r="E58" s="90">
        <v>1.0</v>
      </c>
      <c r="F58" s="85"/>
      <c r="G58" s="96"/>
      <c r="H58" s="96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ht="21.75" customHeight="1">
      <c r="A59" s="99"/>
      <c r="B59" s="92"/>
      <c r="C59" s="100"/>
      <c r="D59" s="89">
        <v>0.0</v>
      </c>
      <c r="E59" s="90">
        <v>1.0</v>
      </c>
      <c r="F59" s="85"/>
      <c r="G59" s="96"/>
      <c r="H59" s="96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ht="21.75" customHeight="1">
      <c r="A60" s="99"/>
      <c r="B60" s="92"/>
      <c r="C60" s="100"/>
      <c r="D60" s="89">
        <v>0.0</v>
      </c>
      <c r="E60" s="90">
        <v>1.0</v>
      </c>
      <c r="F60" s="85"/>
      <c r="G60" s="96"/>
      <c r="H60" s="96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ht="21.75" customHeight="1">
      <c r="A61" s="99"/>
      <c r="B61" s="92"/>
      <c r="C61" s="100"/>
      <c r="D61" s="89">
        <v>0.0</v>
      </c>
      <c r="E61" s="90">
        <v>1.0</v>
      </c>
      <c r="F61" s="85"/>
      <c r="G61" s="96"/>
      <c r="H61" s="96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ht="21.75" customHeight="1">
      <c r="A62" s="99"/>
      <c r="B62" s="92"/>
      <c r="C62" s="100"/>
      <c r="D62" s="89">
        <v>0.0</v>
      </c>
      <c r="E62" s="90">
        <v>1.0</v>
      </c>
      <c r="F62" s="85"/>
      <c r="G62" s="96"/>
      <c r="H62" s="96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ht="21.75" customHeight="1">
      <c r="A63" s="72" t="s">
        <v>54</v>
      </c>
      <c r="B63" s="73" t="s">
        <v>55</v>
      </c>
      <c r="C63" s="74"/>
      <c r="D63" s="75">
        <v>0.0</v>
      </c>
      <c r="E63" s="88">
        <v>1.0</v>
      </c>
      <c r="F63" s="77"/>
      <c r="G63" s="78"/>
      <c r="H63" s="78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 ht="21.75" customHeight="1">
      <c r="A64" s="80"/>
      <c r="B64" s="97"/>
      <c r="C64" s="82"/>
      <c r="D64" s="89">
        <v>0.0</v>
      </c>
      <c r="E64" s="90">
        <v>1.0</v>
      </c>
      <c r="F64" s="85"/>
      <c r="G64" s="91"/>
      <c r="H64" s="91"/>
    </row>
    <row r="65" ht="21.75" customHeight="1">
      <c r="A65" s="80"/>
      <c r="B65" s="81"/>
      <c r="C65" s="82"/>
      <c r="D65" s="89">
        <v>0.0</v>
      </c>
      <c r="E65" s="90">
        <v>1.0</v>
      </c>
      <c r="F65" s="85"/>
      <c r="G65" s="91"/>
      <c r="H65" s="91"/>
    </row>
    <row r="66" ht="21.75" customHeight="1">
      <c r="A66" s="80"/>
      <c r="B66" s="81"/>
      <c r="C66" s="82"/>
      <c r="D66" s="89">
        <v>0.0</v>
      </c>
      <c r="E66" s="90">
        <v>1.0</v>
      </c>
      <c r="F66" s="85"/>
      <c r="G66" s="91"/>
      <c r="H66" s="91"/>
    </row>
    <row r="67" ht="21.75" customHeight="1">
      <c r="A67" s="80"/>
      <c r="B67" s="97"/>
      <c r="C67" s="82"/>
      <c r="D67" s="89">
        <v>0.0</v>
      </c>
      <c r="E67" s="90">
        <v>1.0</v>
      </c>
      <c r="F67" s="85"/>
      <c r="G67" s="91"/>
      <c r="H67" s="91"/>
    </row>
    <row r="68" ht="21.75" customHeight="1">
      <c r="A68" s="80"/>
      <c r="B68" s="92"/>
      <c r="C68" s="82"/>
      <c r="D68" s="89">
        <v>0.0</v>
      </c>
      <c r="E68" s="90">
        <v>1.0</v>
      </c>
      <c r="F68" s="85"/>
      <c r="G68" s="91"/>
      <c r="H68" s="91"/>
    </row>
    <row r="69" ht="21.75" customHeight="1">
      <c r="A69" s="80"/>
      <c r="B69" s="92"/>
      <c r="C69" s="82"/>
      <c r="D69" s="89">
        <v>0.0</v>
      </c>
      <c r="E69" s="90">
        <v>1.0</v>
      </c>
      <c r="F69" s="85"/>
      <c r="G69" s="91"/>
      <c r="H69" s="91"/>
    </row>
    <row r="70" ht="21.75" customHeight="1">
      <c r="A70" s="80"/>
      <c r="B70" s="92"/>
      <c r="C70" s="82"/>
      <c r="D70" s="89">
        <v>0.0</v>
      </c>
      <c r="E70" s="90">
        <v>1.0</v>
      </c>
      <c r="F70" s="85"/>
      <c r="G70" s="91"/>
      <c r="H70" s="91"/>
    </row>
    <row r="71" ht="21.75" customHeight="1">
      <c r="A71" s="80"/>
      <c r="B71" s="98"/>
      <c r="C71" s="82"/>
      <c r="D71" s="89">
        <v>0.0</v>
      </c>
      <c r="E71" s="90">
        <v>1.0</v>
      </c>
      <c r="F71" s="85"/>
      <c r="G71" s="91"/>
      <c r="H71" s="91"/>
    </row>
    <row r="72" ht="21.75" customHeight="1">
      <c r="A72" s="80"/>
      <c r="B72" s="92"/>
      <c r="C72" s="82"/>
      <c r="D72" s="89">
        <v>0.0</v>
      </c>
      <c r="E72" s="90">
        <v>1.0</v>
      </c>
      <c r="F72" s="85"/>
      <c r="G72" s="91"/>
      <c r="H72" s="91"/>
    </row>
    <row r="73" ht="21.75" customHeight="1">
      <c r="A73" s="80"/>
      <c r="B73" s="92"/>
      <c r="C73" s="82"/>
      <c r="D73" s="89">
        <v>0.0</v>
      </c>
      <c r="E73" s="90">
        <v>1.0</v>
      </c>
      <c r="F73" s="85"/>
      <c r="G73" s="91"/>
      <c r="H73" s="91"/>
    </row>
    <row r="74" ht="21.75" customHeight="1">
      <c r="A74" s="80"/>
      <c r="B74" s="98"/>
      <c r="C74" s="82"/>
      <c r="D74" s="89">
        <v>0.0</v>
      </c>
      <c r="E74" s="90">
        <v>1.0</v>
      </c>
      <c r="F74" s="85"/>
      <c r="G74" s="91"/>
      <c r="H74" s="91"/>
    </row>
    <row r="75" ht="21.75" customHeight="1">
      <c r="A75" s="80"/>
      <c r="B75" s="92"/>
      <c r="C75" s="82"/>
      <c r="D75" s="89">
        <v>0.0</v>
      </c>
      <c r="E75" s="90">
        <v>1.0</v>
      </c>
      <c r="F75" s="85"/>
      <c r="G75" s="91"/>
      <c r="H75" s="91"/>
    </row>
    <row r="76" ht="21.75" customHeight="1">
      <c r="A76" s="80"/>
      <c r="B76" s="92"/>
      <c r="C76" s="82"/>
      <c r="D76" s="89">
        <v>0.0</v>
      </c>
      <c r="E76" s="90">
        <v>1.0</v>
      </c>
      <c r="F76" s="85"/>
      <c r="G76" s="91"/>
      <c r="H76" s="91"/>
    </row>
    <row r="77" ht="21.75" customHeight="1">
      <c r="A77" s="80"/>
      <c r="B77" s="92"/>
      <c r="C77" s="82"/>
      <c r="D77" s="89">
        <v>0.0</v>
      </c>
      <c r="E77" s="90">
        <v>1.0</v>
      </c>
      <c r="F77" s="85"/>
      <c r="G77" s="91"/>
      <c r="H77" s="91"/>
    </row>
    <row r="78" ht="21.75" customHeight="1">
      <c r="A78" s="80"/>
      <c r="B78" s="92"/>
      <c r="C78" s="82"/>
      <c r="D78" s="89">
        <v>0.0</v>
      </c>
      <c r="E78" s="90">
        <v>1.0</v>
      </c>
      <c r="F78" s="85"/>
      <c r="G78" s="91"/>
      <c r="H78" s="91"/>
    </row>
    <row r="79" ht="21.75" customHeight="1">
      <c r="A79" s="80"/>
      <c r="B79" s="92"/>
      <c r="C79" s="82"/>
      <c r="D79" s="89">
        <v>0.0</v>
      </c>
      <c r="E79" s="90">
        <v>1.0</v>
      </c>
      <c r="F79" s="85"/>
      <c r="G79" s="91"/>
      <c r="H79" s="91"/>
    </row>
    <row r="80" ht="21.75" customHeight="1">
      <c r="A80" s="102" t="s">
        <v>56</v>
      </c>
      <c r="B80" s="73" t="s">
        <v>57</v>
      </c>
      <c r="C80" s="103"/>
      <c r="D80" s="104">
        <v>0.0</v>
      </c>
      <c r="E80" s="76">
        <v>1.0</v>
      </c>
      <c r="F80" s="77"/>
      <c r="G80" s="78"/>
      <c r="H80" s="78"/>
    </row>
    <row r="81" ht="21.75" customHeight="1">
      <c r="A81" s="80"/>
      <c r="B81" s="81"/>
      <c r="C81" s="82"/>
      <c r="D81" s="89">
        <v>0.0</v>
      </c>
      <c r="E81" s="90">
        <v>1.0</v>
      </c>
      <c r="F81" s="85"/>
      <c r="G81" s="86"/>
      <c r="H81" s="86"/>
    </row>
    <row r="82" ht="21.75" customHeight="1">
      <c r="A82" s="80"/>
      <c r="B82" s="81"/>
      <c r="C82" s="82"/>
      <c r="D82" s="89">
        <v>0.0</v>
      </c>
      <c r="E82" s="90">
        <v>1.0</v>
      </c>
      <c r="F82" s="85"/>
      <c r="G82" s="86"/>
      <c r="H82" s="86"/>
    </row>
    <row r="83" ht="21.75" customHeight="1">
      <c r="A83" s="80"/>
      <c r="B83" s="81"/>
      <c r="C83" s="82"/>
      <c r="D83" s="89">
        <v>0.0</v>
      </c>
      <c r="E83" s="90">
        <v>1.0</v>
      </c>
      <c r="F83" s="85"/>
      <c r="G83" s="86"/>
      <c r="H83" s="86"/>
    </row>
    <row r="84" ht="21.75" customHeight="1">
      <c r="A84" s="80"/>
      <c r="B84" s="81"/>
      <c r="C84" s="82"/>
      <c r="D84" s="89">
        <v>0.0</v>
      </c>
      <c r="E84" s="90">
        <v>1.0</v>
      </c>
      <c r="F84" s="85"/>
      <c r="G84" s="86"/>
      <c r="H84" s="86"/>
    </row>
    <row r="85" ht="21.75" customHeight="1">
      <c r="A85" s="80"/>
      <c r="B85" s="81"/>
      <c r="C85" s="82"/>
      <c r="D85" s="89">
        <v>0.0</v>
      </c>
      <c r="E85" s="90">
        <v>1.0</v>
      </c>
      <c r="F85" s="85"/>
      <c r="G85" s="86"/>
      <c r="H85" s="86"/>
    </row>
    <row r="86" ht="21.75" customHeight="1">
      <c r="A86" s="80"/>
      <c r="B86" s="81"/>
      <c r="C86" s="82"/>
      <c r="D86" s="89">
        <v>0.0</v>
      </c>
      <c r="E86" s="90">
        <v>1.0</v>
      </c>
      <c r="F86" s="85"/>
      <c r="G86" s="86"/>
      <c r="H86" s="86"/>
    </row>
    <row r="87" ht="21.75" customHeight="1">
      <c r="A87" s="80"/>
      <c r="B87" s="81"/>
      <c r="C87" s="82"/>
      <c r="D87" s="89">
        <v>0.0</v>
      </c>
      <c r="E87" s="90">
        <v>1.0</v>
      </c>
      <c r="F87" s="85"/>
      <c r="G87" s="86"/>
      <c r="H87" s="86"/>
    </row>
    <row r="88" ht="21.75" customHeight="1">
      <c r="A88" s="80"/>
      <c r="B88" s="81"/>
      <c r="C88" s="82"/>
      <c r="D88" s="89">
        <v>0.0</v>
      </c>
      <c r="E88" s="90">
        <v>1.0</v>
      </c>
      <c r="F88" s="85"/>
      <c r="G88" s="86"/>
      <c r="H88" s="86"/>
    </row>
    <row r="89" ht="21.75" customHeight="1">
      <c r="A89" s="80"/>
      <c r="B89" s="81"/>
      <c r="C89" s="82"/>
      <c r="D89" s="89">
        <v>0.0</v>
      </c>
      <c r="E89" s="90">
        <v>1.0</v>
      </c>
      <c r="F89" s="85"/>
      <c r="G89" s="86"/>
      <c r="H89" s="86"/>
    </row>
    <row r="90" ht="21.75" customHeight="1">
      <c r="A90" s="102" t="s">
        <v>58</v>
      </c>
      <c r="B90" s="73" t="s">
        <v>59</v>
      </c>
      <c r="C90" s="103"/>
      <c r="D90" s="104">
        <v>0.0</v>
      </c>
      <c r="E90" s="76">
        <v>1.0</v>
      </c>
      <c r="F90" s="77"/>
      <c r="G90" s="78"/>
      <c r="H90" s="78"/>
    </row>
    <row r="91" ht="21.75" customHeight="1">
      <c r="A91" s="80"/>
      <c r="B91" s="81"/>
      <c r="C91" s="82"/>
      <c r="D91" s="89">
        <v>0.0</v>
      </c>
      <c r="E91" s="90">
        <v>1.0</v>
      </c>
      <c r="F91" s="85"/>
      <c r="G91" s="86"/>
      <c r="H91" s="86"/>
    </row>
    <row r="92" ht="21.75" customHeight="1">
      <c r="A92" s="80"/>
      <c r="B92" s="81"/>
      <c r="C92" s="82"/>
      <c r="D92" s="89">
        <v>0.0</v>
      </c>
      <c r="E92" s="90">
        <v>1.0</v>
      </c>
      <c r="F92" s="85"/>
      <c r="G92" s="86"/>
      <c r="H92" s="86"/>
    </row>
    <row r="93" ht="21.75" customHeight="1">
      <c r="A93" s="80"/>
      <c r="B93" s="81"/>
      <c r="C93" s="82"/>
      <c r="D93" s="89">
        <v>0.0</v>
      </c>
      <c r="E93" s="90">
        <v>1.0</v>
      </c>
      <c r="F93" s="85"/>
      <c r="G93" s="86"/>
      <c r="H93" s="86"/>
    </row>
    <row r="94" ht="21.75" customHeight="1">
      <c r="A94" s="80"/>
      <c r="B94" s="81"/>
      <c r="C94" s="82"/>
      <c r="D94" s="89">
        <v>0.0</v>
      </c>
      <c r="E94" s="90">
        <v>1.0</v>
      </c>
      <c r="F94" s="85"/>
      <c r="G94" s="86"/>
      <c r="H94" s="86"/>
    </row>
    <row r="95" ht="21.75" customHeight="1">
      <c r="A95" s="105" t="s">
        <v>60</v>
      </c>
      <c r="B95" s="37"/>
      <c r="C95" s="38"/>
      <c r="D95" s="106">
        <f>AVERAGE(D6:D62)</f>
        <v>0</v>
      </c>
      <c r="E95" s="107">
        <f>SUM(E3:E94)</f>
        <v>92</v>
      </c>
      <c r="F95" s="108"/>
      <c r="G95" s="109" t="s">
        <v>61</v>
      </c>
      <c r="H95" s="109"/>
    </row>
    <row r="96" ht="21.75" customHeight="1">
      <c r="A96" s="110"/>
      <c r="B96" s="111"/>
      <c r="C96" s="112"/>
      <c r="D96" s="111"/>
      <c r="E96" s="111"/>
      <c r="F96" s="111"/>
      <c r="G96" s="113"/>
      <c r="H96" s="113"/>
    </row>
    <row r="97" ht="21.75" customHeight="1">
      <c r="A97" s="110"/>
      <c r="B97" s="111"/>
      <c r="C97" s="112"/>
      <c r="D97" s="111"/>
      <c r="E97" s="111"/>
      <c r="F97" s="111"/>
      <c r="G97" s="113"/>
      <c r="H97" s="113"/>
    </row>
    <row r="98" ht="21.75" customHeight="1">
      <c r="A98" s="110"/>
      <c r="B98" s="111"/>
      <c r="C98" s="112"/>
      <c r="D98" s="111"/>
      <c r="E98" s="111"/>
      <c r="F98" s="111"/>
      <c r="G98" s="113"/>
      <c r="H98" s="113"/>
    </row>
    <row r="99" ht="21.75" customHeight="1">
      <c r="A99" s="110"/>
      <c r="B99" s="111"/>
      <c r="C99" s="114" t="s">
        <v>15</v>
      </c>
      <c r="D99" s="111"/>
      <c r="E99" s="111"/>
      <c r="F99" s="111"/>
      <c r="G99" s="113"/>
      <c r="H99" s="113"/>
    </row>
    <row r="100" ht="21.75" customHeight="1">
      <c r="A100" s="110"/>
      <c r="B100" s="111"/>
      <c r="C100" s="112"/>
      <c r="D100" s="111"/>
      <c r="E100" s="111"/>
      <c r="F100" s="111"/>
      <c r="G100" s="113"/>
      <c r="H100" s="113"/>
    </row>
    <row r="101" ht="21.75" customHeight="1">
      <c r="A101" s="110"/>
      <c r="B101" s="111"/>
      <c r="C101" s="112"/>
      <c r="D101" s="111"/>
      <c r="E101" s="111"/>
      <c r="F101" s="111"/>
      <c r="G101" s="113"/>
      <c r="H101" s="113"/>
    </row>
    <row r="102" ht="21.75" customHeight="1">
      <c r="A102" s="110"/>
      <c r="B102" s="111"/>
      <c r="C102" s="112"/>
      <c r="D102" s="111"/>
      <c r="E102" s="111"/>
      <c r="F102" s="111"/>
      <c r="G102" s="113"/>
      <c r="H102" s="113"/>
    </row>
    <row r="103" ht="21.75" customHeight="1">
      <c r="A103" s="110"/>
      <c r="B103" s="111"/>
      <c r="C103" s="112"/>
      <c r="D103" s="111"/>
      <c r="E103" s="111"/>
      <c r="F103" s="111"/>
      <c r="G103" s="113"/>
      <c r="H103" s="113"/>
    </row>
    <row r="104" ht="21.75" customHeight="1">
      <c r="A104" s="110"/>
      <c r="B104" s="111"/>
      <c r="C104" s="112"/>
      <c r="D104" s="111"/>
      <c r="E104" s="111"/>
      <c r="F104" s="111"/>
      <c r="G104" s="113"/>
      <c r="H104" s="113"/>
    </row>
    <row r="105" ht="21.75" customHeight="1">
      <c r="A105" s="110"/>
      <c r="B105" s="111"/>
      <c r="C105" s="112"/>
      <c r="D105" s="111"/>
      <c r="E105" s="111"/>
      <c r="F105" s="111"/>
      <c r="G105" s="113"/>
      <c r="H105" s="113"/>
    </row>
    <row r="106" ht="21.75" customHeight="1">
      <c r="A106" s="110"/>
      <c r="B106" s="111"/>
      <c r="C106" s="112"/>
      <c r="D106" s="111"/>
      <c r="E106" s="111"/>
      <c r="F106" s="111"/>
      <c r="G106" s="113"/>
      <c r="H106" s="113"/>
    </row>
    <row r="107" ht="21.75" customHeight="1">
      <c r="A107" s="110"/>
      <c r="B107" s="111"/>
      <c r="C107" s="112"/>
      <c r="D107" s="111"/>
      <c r="E107" s="111"/>
      <c r="F107" s="111"/>
      <c r="G107" s="113"/>
      <c r="H107" s="113"/>
    </row>
    <row r="108" ht="21.75" customHeight="1">
      <c r="A108" s="110"/>
      <c r="B108" s="111"/>
      <c r="C108" s="112"/>
      <c r="D108" s="111"/>
      <c r="E108" s="111"/>
      <c r="F108" s="111"/>
      <c r="G108" s="113"/>
      <c r="H108" s="113"/>
    </row>
    <row r="109" ht="21.75" customHeight="1">
      <c r="A109" s="110"/>
      <c r="B109" s="111"/>
      <c r="C109" s="112"/>
      <c r="D109" s="111"/>
      <c r="E109" s="111"/>
      <c r="F109" s="111"/>
      <c r="G109" s="113"/>
      <c r="H109" s="113"/>
    </row>
    <row r="110" ht="21.75" customHeight="1">
      <c r="A110" s="110"/>
      <c r="B110" s="111"/>
      <c r="C110" s="112"/>
      <c r="D110" s="111"/>
      <c r="E110" s="111"/>
      <c r="F110" s="111"/>
      <c r="G110" s="113"/>
      <c r="H110" s="113"/>
    </row>
    <row r="111" ht="21.75" customHeight="1">
      <c r="A111" s="110"/>
      <c r="B111" s="111"/>
      <c r="C111" s="112"/>
      <c r="D111" s="111"/>
      <c r="E111" s="111"/>
      <c r="F111" s="111"/>
      <c r="G111" s="113"/>
      <c r="H111" s="113"/>
    </row>
    <row r="112" ht="21.75" customHeight="1">
      <c r="A112" s="110"/>
      <c r="B112" s="111"/>
      <c r="C112" s="112"/>
      <c r="D112" s="111"/>
      <c r="E112" s="111"/>
      <c r="F112" s="111"/>
      <c r="G112" s="113"/>
      <c r="H112" s="113"/>
    </row>
    <row r="113" ht="21.75" customHeight="1">
      <c r="A113" s="110"/>
      <c r="B113" s="111"/>
      <c r="C113" s="112"/>
      <c r="D113" s="111"/>
      <c r="E113" s="111"/>
      <c r="F113" s="111"/>
      <c r="G113" s="113"/>
      <c r="H113" s="113"/>
    </row>
    <row r="114" ht="21.75" customHeight="1">
      <c r="A114" s="110"/>
      <c r="B114" s="111"/>
      <c r="C114" s="112"/>
      <c r="D114" s="111"/>
      <c r="E114" s="111"/>
      <c r="F114" s="111"/>
      <c r="G114" s="113"/>
      <c r="H114" s="113"/>
    </row>
    <row r="115" ht="21.75" customHeight="1">
      <c r="A115" s="110"/>
      <c r="B115" s="111"/>
      <c r="C115" s="112"/>
      <c r="D115" s="111"/>
      <c r="E115" s="111"/>
      <c r="F115" s="111"/>
      <c r="G115" s="113"/>
      <c r="H115" s="113"/>
    </row>
    <row r="116" ht="21.75" customHeight="1">
      <c r="A116" s="110"/>
      <c r="B116" s="111"/>
      <c r="C116" s="112"/>
      <c r="D116" s="111"/>
      <c r="E116" s="111"/>
      <c r="F116" s="111"/>
      <c r="G116" s="113"/>
      <c r="H116" s="113"/>
    </row>
    <row r="117" ht="21.75" customHeight="1">
      <c r="A117" s="110"/>
      <c r="B117" s="111"/>
      <c r="C117" s="112"/>
      <c r="D117" s="111"/>
      <c r="E117" s="111"/>
      <c r="F117" s="111"/>
      <c r="G117" s="113"/>
      <c r="H117" s="113"/>
    </row>
    <row r="118" ht="21.75" customHeight="1">
      <c r="A118" s="110"/>
      <c r="B118" s="111"/>
      <c r="C118" s="112"/>
      <c r="D118" s="111"/>
      <c r="E118" s="111"/>
      <c r="F118" s="111"/>
      <c r="G118" s="113"/>
      <c r="H118" s="113"/>
    </row>
    <row r="119" ht="21.75" customHeight="1">
      <c r="A119" s="110"/>
      <c r="B119" s="111"/>
      <c r="C119" s="112"/>
      <c r="D119" s="111"/>
      <c r="E119" s="111"/>
      <c r="F119" s="111"/>
      <c r="G119" s="113"/>
      <c r="H119" s="113"/>
    </row>
    <row r="120" ht="21.75" customHeight="1">
      <c r="A120" s="110"/>
      <c r="B120" s="111"/>
      <c r="C120" s="112"/>
      <c r="D120" s="111"/>
      <c r="E120" s="111"/>
      <c r="F120" s="111"/>
      <c r="G120" s="113"/>
      <c r="H120" s="113"/>
    </row>
    <row r="121" ht="21.75" customHeight="1">
      <c r="A121" s="110"/>
      <c r="B121" s="111"/>
      <c r="C121" s="112"/>
      <c r="D121" s="111"/>
      <c r="E121" s="111"/>
      <c r="F121" s="111"/>
      <c r="G121" s="113"/>
      <c r="H121" s="113"/>
    </row>
    <row r="122" ht="21.75" customHeight="1">
      <c r="A122" s="110"/>
      <c r="B122" s="111"/>
      <c r="C122" s="112"/>
      <c r="D122" s="111"/>
      <c r="E122" s="111"/>
      <c r="F122" s="111"/>
      <c r="G122" s="113"/>
      <c r="H122" s="113"/>
    </row>
    <row r="123" ht="21.75" customHeight="1">
      <c r="A123" s="110"/>
      <c r="B123" s="111"/>
      <c r="C123" s="112"/>
      <c r="D123" s="111"/>
      <c r="E123" s="111"/>
      <c r="F123" s="111"/>
      <c r="G123" s="113"/>
      <c r="H123" s="113"/>
    </row>
    <row r="124" ht="21.75" customHeight="1">
      <c r="A124" s="110"/>
      <c r="B124" s="111"/>
      <c r="C124" s="112"/>
      <c r="D124" s="111"/>
      <c r="E124" s="111"/>
      <c r="F124" s="111"/>
      <c r="G124" s="113"/>
      <c r="H124" s="113"/>
    </row>
    <row r="125" ht="21.75" customHeight="1">
      <c r="A125" s="110"/>
      <c r="B125" s="111"/>
      <c r="C125" s="112"/>
      <c r="D125" s="111"/>
      <c r="E125" s="111"/>
      <c r="F125" s="111"/>
      <c r="G125" s="113"/>
      <c r="H125" s="113"/>
    </row>
    <row r="126" ht="21.75" customHeight="1">
      <c r="A126" s="110"/>
      <c r="B126" s="111"/>
      <c r="C126" s="112"/>
      <c r="D126" s="111"/>
      <c r="E126" s="111"/>
      <c r="F126" s="111"/>
      <c r="G126" s="113"/>
      <c r="H126" s="113"/>
    </row>
    <row r="127" ht="21.75" customHeight="1">
      <c r="A127" s="110"/>
      <c r="B127" s="111"/>
      <c r="C127" s="112"/>
      <c r="D127" s="111"/>
      <c r="E127" s="111"/>
      <c r="F127" s="111"/>
      <c r="G127" s="113"/>
      <c r="H127" s="113"/>
    </row>
    <row r="128" ht="21.75" customHeight="1">
      <c r="A128" s="110"/>
      <c r="B128" s="111"/>
      <c r="C128" s="112"/>
      <c r="D128" s="111"/>
      <c r="E128" s="111"/>
      <c r="F128" s="111"/>
      <c r="G128" s="113"/>
      <c r="H128" s="113"/>
    </row>
    <row r="129" ht="21.75" customHeight="1">
      <c r="A129" s="110"/>
      <c r="B129" s="111"/>
      <c r="C129" s="112"/>
      <c r="D129" s="111"/>
      <c r="E129" s="111"/>
      <c r="F129" s="111"/>
      <c r="G129" s="113"/>
      <c r="H129" s="113"/>
    </row>
    <row r="130" ht="21.75" customHeight="1">
      <c r="A130" s="110"/>
      <c r="B130" s="111"/>
      <c r="C130" s="112"/>
      <c r="D130" s="111"/>
      <c r="E130" s="111"/>
      <c r="F130" s="111"/>
      <c r="G130" s="113"/>
      <c r="H130" s="113"/>
    </row>
    <row r="131" ht="21.75" customHeight="1">
      <c r="A131" s="110"/>
      <c r="B131" s="111"/>
      <c r="C131" s="112"/>
      <c r="D131" s="111"/>
      <c r="E131" s="111"/>
      <c r="F131" s="111"/>
      <c r="G131" s="113"/>
      <c r="H131" s="113"/>
    </row>
    <row r="132" ht="21.75" customHeight="1">
      <c r="A132" s="110"/>
      <c r="B132" s="111"/>
      <c r="C132" s="112"/>
      <c r="D132" s="111"/>
      <c r="E132" s="111"/>
      <c r="F132" s="111"/>
      <c r="G132" s="113"/>
      <c r="H132" s="113"/>
    </row>
    <row r="133" ht="21.75" customHeight="1">
      <c r="A133" s="110"/>
      <c r="B133" s="111"/>
      <c r="C133" s="112"/>
      <c r="D133" s="111"/>
      <c r="E133" s="111"/>
      <c r="F133" s="111"/>
      <c r="G133" s="113"/>
      <c r="H133" s="113"/>
    </row>
    <row r="134" ht="21.75" customHeight="1">
      <c r="A134" s="110"/>
      <c r="B134" s="111"/>
      <c r="C134" s="112"/>
      <c r="D134" s="111"/>
      <c r="E134" s="111"/>
      <c r="F134" s="111"/>
      <c r="G134" s="113"/>
      <c r="H134" s="113"/>
    </row>
    <row r="135" ht="21.75" customHeight="1">
      <c r="A135" s="110"/>
      <c r="B135" s="111"/>
      <c r="C135" s="112"/>
      <c r="D135" s="111"/>
      <c r="E135" s="111"/>
      <c r="F135" s="111"/>
      <c r="G135" s="113"/>
      <c r="H135" s="113"/>
    </row>
    <row r="136" ht="21.75" customHeight="1">
      <c r="A136" s="110"/>
      <c r="B136" s="111"/>
      <c r="C136" s="112"/>
      <c r="D136" s="111"/>
      <c r="E136" s="111"/>
      <c r="F136" s="111"/>
      <c r="G136" s="113"/>
      <c r="H136" s="113"/>
    </row>
    <row r="137" ht="21.75" customHeight="1">
      <c r="A137" s="110"/>
      <c r="B137" s="111"/>
      <c r="C137" s="112"/>
      <c r="D137" s="111"/>
      <c r="E137" s="111"/>
      <c r="F137" s="111"/>
      <c r="G137" s="113"/>
      <c r="H137" s="113"/>
    </row>
    <row r="138" ht="21.75" customHeight="1">
      <c r="A138" s="110"/>
      <c r="B138" s="111"/>
      <c r="C138" s="112"/>
      <c r="D138" s="111"/>
      <c r="E138" s="111"/>
      <c r="F138" s="111"/>
      <c r="G138" s="113"/>
      <c r="H138" s="113"/>
    </row>
    <row r="139" ht="21.75" customHeight="1">
      <c r="A139" s="110"/>
      <c r="B139" s="111"/>
      <c r="C139" s="112"/>
      <c r="D139" s="111"/>
      <c r="E139" s="111"/>
      <c r="F139" s="111"/>
      <c r="G139" s="113"/>
      <c r="H139" s="113"/>
    </row>
    <row r="140" ht="21.75" customHeight="1">
      <c r="A140" s="110"/>
      <c r="B140" s="111"/>
      <c r="C140" s="112"/>
      <c r="D140" s="111"/>
      <c r="E140" s="111"/>
      <c r="F140" s="111"/>
      <c r="G140" s="113"/>
      <c r="H140" s="113"/>
    </row>
    <row r="141" ht="21.75" customHeight="1">
      <c r="A141" s="110"/>
      <c r="B141" s="111"/>
      <c r="C141" s="112"/>
      <c r="D141" s="111"/>
      <c r="E141" s="111"/>
      <c r="F141" s="111"/>
      <c r="G141" s="113"/>
      <c r="H141" s="113"/>
    </row>
    <row r="142" ht="21.75" customHeight="1">
      <c r="A142" s="110"/>
      <c r="B142" s="111"/>
      <c r="C142" s="112"/>
      <c r="D142" s="111"/>
      <c r="E142" s="111"/>
      <c r="F142" s="111"/>
      <c r="G142" s="113"/>
      <c r="H142" s="113"/>
    </row>
    <row r="143" ht="21.75" customHeight="1">
      <c r="A143" s="110"/>
      <c r="B143" s="111"/>
      <c r="C143" s="112"/>
      <c r="D143" s="111"/>
      <c r="E143" s="111"/>
      <c r="F143" s="111"/>
      <c r="G143" s="113"/>
      <c r="H143" s="113"/>
    </row>
    <row r="144" ht="21.75" customHeight="1">
      <c r="A144" s="110"/>
      <c r="B144" s="111"/>
      <c r="C144" s="112"/>
      <c r="D144" s="111"/>
      <c r="E144" s="111"/>
      <c r="F144" s="111"/>
      <c r="G144" s="113"/>
      <c r="H144" s="113"/>
    </row>
    <row r="145" ht="21.75" customHeight="1">
      <c r="A145" s="110"/>
      <c r="B145" s="111"/>
      <c r="C145" s="112"/>
      <c r="D145" s="111"/>
      <c r="E145" s="111"/>
      <c r="F145" s="111"/>
      <c r="G145" s="113"/>
      <c r="H145" s="113"/>
    </row>
    <row r="146" ht="21.75" customHeight="1">
      <c r="A146" s="110"/>
      <c r="B146" s="111"/>
      <c r="C146" s="112"/>
      <c r="D146" s="111"/>
      <c r="E146" s="111"/>
      <c r="F146" s="111"/>
      <c r="G146" s="113"/>
      <c r="H146" s="113"/>
    </row>
    <row r="147" ht="21.75" customHeight="1">
      <c r="A147" s="110"/>
      <c r="B147" s="111"/>
      <c r="C147" s="112"/>
      <c r="D147" s="111"/>
      <c r="E147" s="111"/>
      <c r="F147" s="111"/>
      <c r="G147" s="113"/>
      <c r="H147" s="113"/>
    </row>
    <row r="148" ht="21.75" customHeight="1">
      <c r="A148" s="110"/>
      <c r="B148" s="111"/>
      <c r="C148" s="112"/>
      <c r="D148" s="111"/>
      <c r="E148" s="111"/>
      <c r="F148" s="111"/>
      <c r="G148" s="113"/>
      <c r="H148" s="113"/>
    </row>
    <row r="149" ht="21.75" customHeight="1">
      <c r="A149" s="110"/>
      <c r="B149" s="111"/>
      <c r="C149" s="112"/>
      <c r="D149" s="111"/>
      <c r="E149" s="111"/>
      <c r="F149" s="111"/>
      <c r="G149" s="113"/>
      <c r="H149" s="113"/>
    </row>
    <row r="150" ht="21.75" customHeight="1">
      <c r="A150" s="110"/>
      <c r="B150" s="111"/>
      <c r="C150" s="112"/>
      <c r="D150" s="111"/>
      <c r="E150" s="111"/>
      <c r="F150" s="111"/>
      <c r="G150" s="113"/>
      <c r="H150" s="113"/>
    </row>
    <row r="151" ht="21.75" customHeight="1">
      <c r="A151" s="110"/>
      <c r="B151" s="111"/>
      <c r="C151" s="112"/>
      <c r="D151" s="111"/>
      <c r="E151" s="111"/>
      <c r="F151" s="111"/>
      <c r="G151" s="113"/>
      <c r="H151" s="113"/>
    </row>
    <row r="152" ht="21.75" customHeight="1">
      <c r="A152" s="110"/>
      <c r="B152" s="111"/>
      <c r="C152" s="112"/>
      <c r="D152" s="111"/>
      <c r="E152" s="111"/>
      <c r="F152" s="111"/>
      <c r="G152" s="113"/>
      <c r="H152" s="113"/>
    </row>
    <row r="153" ht="21.75" customHeight="1">
      <c r="A153" s="110"/>
      <c r="B153" s="111"/>
      <c r="C153" s="112"/>
      <c r="D153" s="111"/>
      <c r="E153" s="111"/>
      <c r="F153" s="111"/>
      <c r="G153" s="113"/>
      <c r="H153" s="113"/>
    </row>
    <row r="154" ht="21.75" customHeight="1">
      <c r="A154" s="110"/>
      <c r="B154" s="111"/>
      <c r="C154" s="112"/>
      <c r="D154" s="111"/>
      <c r="E154" s="111"/>
      <c r="F154" s="111"/>
      <c r="G154" s="113"/>
      <c r="H154" s="113"/>
    </row>
    <row r="155" ht="21.75" customHeight="1">
      <c r="A155" s="110"/>
      <c r="B155" s="111"/>
      <c r="C155" s="112"/>
      <c r="D155" s="111"/>
      <c r="E155" s="111"/>
      <c r="F155" s="111"/>
      <c r="G155" s="113"/>
      <c r="H155" s="113"/>
    </row>
    <row r="156" ht="21.75" customHeight="1">
      <c r="A156" s="110"/>
      <c r="B156" s="111"/>
      <c r="C156" s="112"/>
      <c r="D156" s="111"/>
      <c r="E156" s="111"/>
      <c r="F156" s="111"/>
      <c r="G156" s="113"/>
      <c r="H156" s="113"/>
    </row>
    <row r="157" ht="21.75" customHeight="1">
      <c r="A157" s="110"/>
      <c r="B157" s="111"/>
      <c r="C157" s="112"/>
      <c r="D157" s="111"/>
      <c r="E157" s="111"/>
      <c r="F157" s="111"/>
      <c r="G157" s="113"/>
      <c r="H157" s="113"/>
    </row>
    <row r="158" ht="21.75" customHeight="1">
      <c r="A158" s="110"/>
      <c r="B158" s="111"/>
      <c r="C158" s="112"/>
      <c r="D158" s="111"/>
      <c r="E158" s="111"/>
      <c r="F158" s="111"/>
      <c r="G158" s="113"/>
      <c r="H158" s="113"/>
    </row>
    <row r="159" ht="21.75" customHeight="1">
      <c r="A159" s="110"/>
      <c r="B159" s="111"/>
      <c r="C159" s="112"/>
      <c r="D159" s="111"/>
      <c r="E159" s="111"/>
      <c r="F159" s="111"/>
      <c r="G159" s="113"/>
      <c r="H159" s="113"/>
    </row>
    <row r="160" ht="21.75" customHeight="1">
      <c r="A160" s="110"/>
      <c r="B160" s="111"/>
      <c r="C160" s="112"/>
      <c r="D160" s="111"/>
      <c r="E160" s="111"/>
      <c r="F160" s="111"/>
      <c r="G160" s="113"/>
      <c r="H160" s="113"/>
    </row>
    <row r="161" ht="21.75" customHeight="1">
      <c r="A161" s="110"/>
      <c r="B161" s="111"/>
      <c r="C161" s="112"/>
      <c r="D161" s="111"/>
      <c r="E161" s="111"/>
      <c r="F161" s="111"/>
      <c r="G161" s="113"/>
      <c r="H161" s="113"/>
    </row>
    <row r="162" ht="21.75" customHeight="1">
      <c r="A162" s="110"/>
      <c r="B162" s="111"/>
      <c r="C162" s="112"/>
      <c r="D162" s="111"/>
      <c r="E162" s="111"/>
      <c r="F162" s="111"/>
      <c r="G162" s="113"/>
      <c r="H162" s="113"/>
    </row>
    <row r="163" ht="21.75" customHeight="1">
      <c r="A163" s="110"/>
      <c r="B163" s="111"/>
      <c r="C163" s="112"/>
      <c r="D163" s="111"/>
      <c r="E163" s="111"/>
      <c r="F163" s="111"/>
      <c r="G163" s="113"/>
      <c r="H163" s="113"/>
    </row>
    <row r="164" ht="21.75" customHeight="1">
      <c r="A164" s="110"/>
      <c r="B164" s="111"/>
      <c r="C164" s="112"/>
      <c r="D164" s="111"/>
      <c r="E164" s="111"/>
      <c r="F164" s="111"/>
      <c r="G164" s="113"/>
      <c r="H164" s="113"/>
    </row>
    <row r="165" ht="21.75" customHeight="1">
      <c r="A165" s="110"/>
      <c r="B165" s="111"/>
      <c r="C165" s="112"/>
      <c r="D165" s="111"/>
      <c r="E165" s="111"/>
      <c r="F165" s="111"/>
      <c r="G165" s="113"/>
      <c r="H165" s="113"/>
    </row>
    <row r="166" ht="21.75" customHeight="1">
      <c r="A166" s="110"/>
      <c r="B166" s="111"/>
      <c r="C166" s="112"/>
      <c r="D166" s="111"/>
      <c r="E166" s="111"/>
      <c r="F166" s="111"/>
      <c r="G166" s="113"/>
      <c r="H166" s="113"/>
    </row>
    <row r="167" ht="21.75" customHeight="1">
      <c r="A167" s="110"/>
      <c r="B167" s="111"/>
      <c r="C167" s="112"/>
      <c r="D167" s="111"/>
      <c r="E167" s="111"/>
      <c r="F167" s="111"/>
      <c r="G167" s="113"/>
      <c r="H167" s="113"/>
    </row>
    <row r="168" ht="21.75" customHeight="1">
      <c r="A168" s="110"/>
      <c r="B168" s="111"/>
      <c r="C168" s="112"/>
      <c r="D168" s="111"/>
      <c r="E168" s="111"/>
      <c r="F168" s="111"/>
      <c r="G168" s="113"/>
      <c r="H168" s="113"/>
    </row>
    <row r="169" ht="21.75" customHeight="1">
      <c r="A169" s="110"/>
      <c r="B169" s="111"/>
      <c r="C169" s="112"/>
      <c r="D169" s="111"/>
      <c r="E169" s="111"/>
      <c r="F169" s="111"/>
      <c r="G169" s="113"/>
      <c r="H169" s="113"/>
    </row>
    <row r="170" ht="21.75" customHeight="1">
      <c r="A170" s="110"/>
      <c r="B170" s="111"/>
      <c r="C170" s="112"/>
      <c r="D170" s="111"/>
      <c r="E170" s="111"/>
      <c r="F170" s="111"/>
      <c r="G170" s="113"/>
      <c r="H170" s="113"/>
    </row>
    <row r="171" ht="21.75" customHeight="1">
      <c r="A171" s="110"/>
      <c r="B171" s="111"/>
      <c r="C171" s="112"/>
      <c r="D171" s="111"/>
      <c r="E171" s="111"/>
      <c r="F171" s="111"/>
      <c r="G171" s="113"/>
      <c r="H171" s="113"/>
    </row>
    <row r="172" ht="21.75" customHeight="1">
      <c r="A172" s="110"/>
      <c r="B172" s="111"/>
      <c r="C172" s="112"/>
      <c r="D172" s="111"/>
      <c r="E172" s="111"/>
      <c r="F172" s="111"/>
      <c r="G172" s="113"/>
      <c r="H172" s="113"/>
    </row>
    <row r="173" ht="21.75" customHeight="1">
      <c r="A173" s="110"/>
      <c r="B173" s="111"/>
      <c r="C173" s="112"/>
      <c r="D173" s="111"/>
      <c r="E173" s="111"/>
      <c r="F173" s="111"/>
      <c r="G173" s="113"/>
      <c r="H173" s="113"/>
    </row>
    <row r="174" ht="21.75" customHeight="1">
      <c r="A174" s="110"/>
      <c r="B174" s="111"/>
      <c r="C174" s="112"/>
      <c r="D174" s="111"/>
      <c r="E174" s="111"/>
      <c r="F174" s="111"/>
      <c r="G174" s="113"/>
      <c r="H174" s="113"/>
    </row>
    <row r="175" ht="21.75" customHeight="1">
      <c r="A175" s="110"/>
      <c r="B175" s="111"/>
      <c r="C175" s="112"/>
      <c r="D175" s="111"/>
      <c r="E175" s="111"/>
      <c r="F175" s="111"/>
      <c r="G175" s="113"/>
      <c r="H175" s="113"/>
    </row>
    <row r="176" ht="21.75" customHeight="1">
      <c r="A176" s="110"/>
      <c r="B176" s="111"/>
      <c r="C176" s="112"/>
      <c r="D176" s="111"/>
      <c r="E176" s="111"/>
      <c r="F176" s="111"/>
      <c r="G176" s="113"/>
      <c r="H176" s="113"/>
    </row>
    <row r="177" ht="21.75" customHeight="1">
      <c r="A177" s="110"/>
      <c r="B177" s="111"/>
      <c r="C177" s="112"/>
      <c r="D177" s="111"/>
      <c r="E177" s="111"/>
      <c r="F177" s="111"/>
      <c r="G177" s="113"/>
      <c r="H177" s="113"/>
    </row>
    <row r="178" ht="21.75" customHeight="1">
      <c r="A178" s="110"/>
      <c r="B178" s="111"/>
      <c r="C178" s="112"/>
      <c r="D178" s="111"/>
      <c r="E178" s="111"/>
      <c r="F178" s="111"/>
      <c r="G178" s="113"/>
      <c r="H178" s="113"/>
    </row>
    <row r="179" ht="21.75" customHeight="1">
      <c r="A179" s="110"/>
      <c r="B179" s="111"/>
      <c r="C179" s="112"/>
      <c r="D179" s="111"/>
      <c r="E179" s="111"/>
      <c r="F179" s="111"/>
      <c r="G179" s="113"/>
      <c r="H179" s="113"/>
    </row>
    <row r="180" ht="21.75" customHeight="1">
      <c r="A180" s="110"/>
      <c r="B180" s="111"/>
      <c r="C180" s="112"/>
      <c r="D180" s="111"/>
      <c r="E180" s="111"/>
      <c r="F180" s="111"/>
      <c r="G180" s="113"/>
      <c r="H180" s="113"/>
    </row>
    <row r="181" ht="21.75" customHeight="1">
      <c r="A181" s="110"/>
      <c r="B181" s="111"/>
      <c r="C181" s="112"/>
      <c r="D181" s="111"/>
      <c r="E181" s="111"/>
      <c r="F181" s="111"/>
      <c r="G181" s="113"/>
      <c r="H181" s="113"/>
    </row>
    <row r="182" ht="21.75" customHeight="1">
      <c r="A182" s="110"/>
      <c r="B182" s="111"/>
      <c r="C182" s="112"/>
      <c r="D182" s="111"/>
      <c r="E182" s="111"/>
      <c r="F182" s="111"/>
      <c r="G182" s="113"/>
      <c r="H182" s="113"/>
    </row>
    <row r="183" ht="21.75" customHeight="1">
      <c r="A183" s="110"/>
      <c r="B183" s="111"/>
      <c r="C183" s="112"/>
      <c r="D183" s="111"/>
      <c r="E183" s="111"/>
      <c r="F183" s="111"/>
      <c r="G183" s="113"/>
      <c r="H183" s="113"/>
    </row>
    <row r="184" ht="21.75" customHeight="1">
      <c r="A184" s="110"/>
      <c r="B184" s="111"/>
      <c r="C184" s="112"/>
      <c r="D184" s="111"/>
      <c r="E184" s="111"/>
      <c r="F184" s="111"/>
      <c r="G184" s="113"/>
      <c r="H184" s="113"/>
    </row>
    <row r="185" ht="21.75" customHeight="1">
      <c r="A185" s="110"/>
      <c r="B185" s="111"/>
      <c r="C185" s="112"/>
      <c r="D185" s="111"/>
      <c r="E185" s="111"/>
      <c r="F185" s="111"/>
      <c r="G185" s="113"/>
      <c r="H185" s="113"/>
    </row>
    <row r="186" ht="21.75" customHeight="1">
      <c r="A186" s="110"/>
      <c r="B186" s="111"/>
      <c r="C186" s="112"/>
      <c r="D186" s="111"/>
      <c r="E186" s="111"/>
      <c r="F186" s="111"/>
      <c r="G186" s="113"/>
      <c r="H186" s="113"/>
    </row>
    <row r="187" ht="21.75" customHeight="1">
      <c r="A187" s="110"/>
      <c r="B187" s="111"/>
      <c r="C187" s="112"/>
      <c r="D187" s="111"/>
      <c r="E187" s="111"/>
      <c r="F187" s="111"/>
      <c r="G187" s="113"/>
      <c r="H187" s="113"/>
    </row>
    <row r="188" ht="21.75" customHeight="1">
      <c r="A188" s="110"/>
      <c r="B188" s="111"/>
      <c r="C188" s="112"/>
      <c r="D188" s="111"/>
      <c r="E188" s="111"/>
      <c r="F188" s="111"/>
      <c r="G188" s="113"/>
      <c r="H188" s="113"/>
    </row>
    <row r="189" ht="21.75" customHeight="1">
      <c r="A189" s="110"/>
      <c r="B189" s="111"/>
      <c r="C189" s="112"/>
      <c r="D189" s="111"/>
      <c r="E189" s="111"/>
      <c r="F189" s="111"/>
      <c r="G189" s="113"/>
      <c r="H189" s="113"/>
    </row>
    <row r="190" ht="21.75" customHeight="1">
      <c r="A190" s="110"/>
      <c r="B190" s="111"/>
      <c r="C190" s="112"/>
      <c r="D190" s="111"/>
      <c r="E190" s="111"/>
      <c r="F190" s="111"/>
      <c r="G190" s="113"/>
      <c r="H190" s="113"/>
    </row>
    <row r="191" ht="21.75" customHeight="1">
      <c r="A191" s="110"/>
      <c r="B191" s="111"/>
      <c r="C191" s="112"/>
      <c r="D191" s="111"/>
      <c r="E191" s="111"/>
      <c r="F191" s="111"/>
      <c r="G191" s="113"/>
      <c r="H191" s="113"/>
    </row>
    <row r="192" ht="21.75" customHeight="1">
      <c r="A192" s="110"/>
      <c r="B192" s="111"/>
      <c r="C192" s="112"/>
      <c r="D192" s="111"/>
      <c r="E192" s="111"/>
      <c r="F192" s="111"/>
      <c r="G192" s="113"/>
      <c r="H192" s="113"/>
    </row>
    <row r="193" ht="21.75" customHeight="1">
      <c r="A193" s="110"/>
      <c r="B193" s="111"/>
      <c r="C193" s="112"/>
      <c r="D193" s="111"/>
      <c r="E193" s="111"/>
      <c r="F193" s="111"/>
      <c r="G193" s="113"/>
      <c r="H193" s="113"/>
    </row>
    <row r="194" ht="21.75" customHeight="1">
      <c r="A194" s="110"/>
      <c r="B194" s="111"/>
      <c r="C194" s="112"/>
      <c r="D194" s="111"/>
      <c r="E194" s="111"/>
      <c r="F194" s="111"/>
      <c r="G194" s="113"/>
      <c r="H194" s="113"/>
    </row>
    <row r="195" ht="21.75" customHeight="1">
      <c r="A195" s="110"/>
      <c r="B195" s="111"/>
      <c r="C195" s="112"/>
      <c r="D195" s="111"/>
      <c r="E195" s="111"/>
      <c r="F195" s="111"/>
      <c r="G195" s="113"/>
      <c r="H195" s="113"/>
    </row>
    <row r="196" ht="21.75" customHeight="1">
      <c r="A196" s="110"/>
      <c r="B196" s="111"/>
      <c r="C196" s="112"/>
      <c r="D196" s="111"/>
      <c r="E196" s="111"/>
      <c r="F196" s="111"/>
      <c r="G196" s="113"/>
      <c r="H196" s="113"/>
    </row>
    <row r="197" ht="21.75" customHeight="1">
      <c r="A197" s="110"/>
      <c r="B197" s="111"/>
      <c r="C197" s="112"/>
      <c r="D197" s="111"/>
      <c r="E197" s="111"/>
      <c r="F197" s="111"/>
      <c r="G197" s="113"/>
      <c r="H197" s="113"/>
    </row>
    <row r="198" ht="21.75" customHeight="1">
      <c r="A198" s="110"/>
      <c r="B198" s="111"/>
      <c r="C198" s="112"/>
      <c r="D198" s="111"/>
      <c r="E198" s="111"/>
      <c r="F198" s="111"/>
      <c r="G198" s="113"/>
      <c r="H198" s="113"/>
    </row>
    <row r="199" ht="21.75" customHeight="1">
      <c r="A199" s="110"/>
      <c r="B199" s="111"/>
      <c r="C199" s="112"/>
      <c r="D199" s="111"/>
      <c r="E199" s="111"/>
      <c r="F199" s="111"/>
      <c r="G199" s="113"/>
      <c r="H199" s="113"/>
    </row>
    <row r="200" ht="21.75" customHeight="1">
      <c r="A200" s="110"/>
      <c r="B200" s="111"/>
      <c r="C200" s="112"/>
      <c r="D200" s="111"/>
      <c r="E200" s="111"/>
      <c r="F200" s="111"/>
      <c r="G200" s="113"/>
      <c r="H200" s="113"/>
    </row>
    <row r="201" ht="21.75" customHeight="1">
      <c r="A201" s="110"/>
      <c r="B201" s="111"/>
      <c r="C201" s="112"/>
      <c r="D201" s="111"/>
      <c r="E201" s="111"/>
      <c r="F201" s="111"/>
      <c r="G201" s="113"/>
      <c r="H201" s="113"/>
    </row>
    <row r="202" ht="21.75" customHeight="1">
      <c r="A202" s="110"/>
      <c r="B202" s="111"/>
      <c r="C202" s="112"/>
      <c r="D202" s="111"/>
      <c r="E202" s="111"/>
      <c r="F202" s="111"/>
      <c r="G202" s="113"/>
      <c r="H202" s="113"/>
    </row>
    <row r="203" ht="21.75" customHeight="1">
      <c r="A203" s="110"/>
      <c r="B203" s="111"/>
      <c r="C203" s="112"/>
      <c r="D203" s="111"/>
      <c r="E203" s="111"/>
      <c r="F203" s="111"/>
      <c r="G203" s="113"/>
      <c r="H203" s="113"/>
    </row>
    <row r="204" ht="21.75" customHeight="1">
      <c r="A204" s="110"/>
      <c r="B204" s="111"/>
      <c r="C204" s="112"/>
      <c r="D204" s="111"/>
      <c r="E204" s="111"/>
      <c r="F204" s="111"/>
      <c r="G204" s="113"/>
      <c r="H204" s="113"/>
    </row>
    <row r="205" ht="21.75" customHeight="1">
      <c r="A205" s="110"/>
      <c r="B205" s="111"/>
      <c r="C205" s="112"/>
      <c r="D205" s="111"/>
      <c r="E205" s="111"/>
      <c r="F205" s="111"/>
      <c r="G205" s="113"/>
      <c r="H205" s="113"/>
    </row>
    <row r="206" ht="21.75" customHeight="1">
      <c r="A206" s="110"/>
      <c r="B206" s="111"/>
      <c r="C206" s="112"/>
      <c r="D206" s="111"/>
      <c r="E206" s="111"/>
      <c r="F206" s="111"/>
      <c r="G206" s="113"/>
      <c r="H206" s="113"/>
    </row>
    <row r="207" ht="21.75" customHeight="1">
      <c r="A207" s="110"/>
      <c r="B207" s="111"/>
      <c r="C207" s="112"/>
      <c r="D207" s="111"/>
      <c r="E207" s="111"/>
      <c r="F207" s="111"/>
      <c r="G207" s="113"/>
      <c r="H207" s="113"/>
    </row>
    <row r="208" ht="21.75" customHeight="1">
      <c r="A208" s="110"/>
      <c r="B208" s="111"/>
      <c r="C208" s="112"/>
      <c r="D208" s="111"/>
      <c r="E208" s="111"/>
      <c r="F208" s="111"/>
      <c r="G208" s="113"/>
      <c r="H208" s="113"/>
    </row>
    <row r="209" ht="21.75" customHeight="1">
      <c r="A209" s="110"/>
      <c r="B209" s="111"/>
      <c r="C209" s="112"/>
      <c r="D209" s="111"/>
      <c r="E209" s="111"/>
      <c r="F209" s="111"/>
      <c r="G209" s="113"/>
      <c r="H209" s="113"/>
    </row>
    <row r="210" ht="21.75" customHeight="1">
      <c r="A210" s="110"/>
      <c r="B210" s="111"/>
      <c r="C210" s="112"/>
      <c r="D210" s="111"/>
      <c r="E210" s="111"/>
      <c r="F210" s="111"/>
      <c r="G210" s="113"/>
      <c r="H210" s="113"/>
    </row>
    <row r="211" ht="21.75" customHeight="1">
      <c r="A211" s="110"/>
      <c r="B211" s="111"/>
      <c r="C211" s="112"/>
      <c r="D211" s="111"/>
      <c r="E211" s="111"/>
      <c r="F211" s="111"/>
      <c r="G211" s="113"/>
      <c r="H211" s="113"/>
    </row>
    <row r="212" ht="21.75" customHeight="1">
      <c r="A212" s="110"/>
      <c r="B212" s="111"/>
      <c r="C212" s="112"/>
      <c r="D212" s="111"/>
      <c r="E212" s="111"/>
      <c r="F212" s="111"/>
      <c r="G212" s="113"/>
      <c r="H212" s="113"/>
    </row>
    <row r="213" ht="21.75" customHeight="1">
      <c r="A213" s="110"/>
      <c r="B213" s="111"/>
      <c r="C213" s="112"/>
      <c r="D213" s="111"/>
      <c r="E213" s="111"/>
      <c r="F213" s="111"/>
      <c r="G213" s="113"/>
      <c r="H213" s="113"/>
    </row>
    <row r="214" ht="21.75" customHeight="1">
      <c r="A214" s="110"/>
      <c r="B214" s="111"/>
      <c r="C214" s="112"/>
      <c r="D214" s="111"/>
      <c r="E214" s="111"/>
      <c r="F214" s="111"/>
      <c r="G214" s="113"/>
      <c r="H214" s="113"/>
    </row>
    <row r="215" ht="21.75" customHeight="1">
      <c r="A215" s="110"/>
      <c r="B215" s="111"/>
      <c r="C215" s="112"/>
      <c r="D215" s="111"/>
      <c r="E215" s="111"/>
      <c r="F215" s="111"/>
      <c r="G215" s="113"/>
      <c r="H215" s="113"/>
    </row>
    <row r="216" ht="21.75" customHeight="1">
      <c r="A216" s="110"/>
      <c r="B216" s="111"/>
      <c r="C216" s="112"/>
      <c r="D216" s="111"/>
      <c r="E216" s="111"/>
      <c r="F216" s="111"/>
      <c r="G216" s="113"/>
      <c r="H216" s="113"/>
    </row>
    <row r="217" ht="21.75" customHeight="1">
      <c r="A217" s="110"/>
      <c r="B217" s="111"/>
      <c r="C217" s="112"/>
      <c r="D217" s="111"/>
      <c r="E217" s="111"/>
      <c r="F217" s="111"/>
      <c r="G217" s="113"/>
      <c r="H217" s="113"/>
    </row>
    <row r="218" ht="21.75" customHeight="1">
      <c r="A218" s="110"/>
      <c r="B218" s="111"/>
      <c r="C218" s="112"/>
      <c r="D218" s="111"/>
      <c r="E218" s="111"/>
      <c r="F218" s="111"/>
      <c r="G218" s="113"/>
      <c r="H218" s="113"/>
    </row>
    <row r="219" ht="21.75" customHeight="1">
      <c r="A219" s="110"/>
      <c r="B219" s="111"/>
      <c r="C219" s="112"/>
      <c r="D219" s="111"/>
      <c r="E219" s="111"/>
      <c r="F219" s="111"/>
      <c r="G219" s="113"/>
      <c r="H219" s="113"/>
    </row>
    <row r="220" ht="21.75" customHeight="1">
      <c r="A220" s="110"/>
      <c r="B220" s="111"/>
      <c r="C220" s="112"/>
      <c r="D220" s="111"/>
      <c r="E220" s="111"/>
      <c r="F220" s="111"/>
      <c r="G220" s="113"/>
      <c r="H220" s="113"/>
    </row>
    <row r="221" ht="21.75" customHeight="1">
      <c r="A221" s="110"/>
      <c r="B221" s="111"/>
      <c r="C221" s="112"/>
      <c r="D221" s="111"/>
      <c r="E221" s="111"/>
      <c r="F221" s="111"/>
      <c r="G221" s="113"/>
      <c r="H221" s="113"/>
    </row>
    <row r="222" ht="21.75" customHeight="1">
      <c r="A222" s="110"/>
      <c r="B222" s="111"/>
      <c r="C222" s="112"/>
      <c r="D222" s="111"/>
      <c r="E222" s="111"/>
      <c r="F222" s="111"/>
      <c r="G222" s="113"/>
      <c r="H222" s="113"/>
    </row>
    <row r="223" ht="21.75" customHeight="1">
      <c r="A223" s="110"/>
      <c r="B223" s="111"/>
      <c r="C223" s="112"/>
      <c r="D223" s="111"/>
      <c r="E223" s="111"/>
      <c r="F223" s="111"/>
      <c r="G223" s="113"/>
      <c r="H223" s="113"/>
    </row>
    <row r="224" ht="21.75" customHeight="1">
      <c r="A224" s="110"/>
      <c r="B224" s="111"/>
      <c r="C224" s="112"/>
      <c r="D224" s="111"/>
      <c r="E224" s="111"/>
      <c r="F224" s="111"/>
      <c r="G224" s="113"/>
      <c r="H224" s="113"/>
    </row>
    <row r="225" ht="21.75" customHeight="1">
      <c r="A225" s="110"/>
      <c r="B225" s="111"/>
      <c r="C225" s="112"/>
      <c r="D225" s="111"/>
      <c r="E225" s="111"/>
      <c r="F225" s="111"/>
      <c r="G225" s="113"/>
      <c r="H225" s="113"/>
    </row>
    <row r="226" ht="21.75" customHeight="1">
      <c r="A226" s="110"/>
      <c r="B226" s="111"/>
      <c r="C226" s="112"/>
      <c r="D226" s="111"/>
      <c r="E226" s="111"/>
      <c r="F226" s="111"/>
      <c r="G226" s="113"/>
      <c r="H226" s="113"/>
    </row>
    <row r="227" ht="21.75" customHeight="1">
      <c r="A227" s="110"/>
      <c r="B227" s="111"/>
      <c r="C227" s="112"/>
      <c r="D227" s="111"/>
      <c r="E227" s="111"/>
      <c r="F227" s="111"/>
      <c r="G227" s="113"/>
      <c r="H227" s="113"/>
    </row>
    <row r="228" ht="21.75" customHeight="1">
      <c r="A228" s="110"/>
      <c r="B228" s="111"/>
      <c r="C228" s="112"/>
      <c r="D228" s="111"/>
      <c r="E228" s="111"/>
      <c r="F228" s="111"/>
      <c r="G228" s="113"/>
      <c r="H228" s="113"/>
    </row>
    <row r="229" ht="21.75" customHeight="1">
      <c r="A229" s="110"/>
      <c r="B229" s="111"/>
      <c r="C229" s="112"/>
      <c r="D229" s="111"/>
      <c r="E229" s="111"/>
      <c r="F229" s="111"/>
      <c r="G229" s="113"/>
      <c r="H229" s="113"/>
    </row>
    <row r="230" ht="21.75" customHeight="1">
      <c r="A230" s="110"/>
      <c r="B230" s="111"/>
      <c r="C230" s="112"/>
      <c r="D230" s="111"/>
      <c r="E230" s="111"/>
      <c r="F230" s="111"/>
      <c r="G230" s="113"/>
      <c r="H230" s="113"/>
    </row>
    <row r="231" ht="21.75" customHeight="1">
      <c r="A231" s="110"/>
      <c r="B231" s="111"/>
      <c r="C231" s="112"/>
      <c r="D231" s="111"/>
      <c r="E231" s="111"/>
      <c r="F231" s="111"/>
      <c r="G231" s="113"/>
      <c r="H231" s="113"/>
    </row>
    <row r="232" ht="21.75" customHeight="1">
      <c r="A232" s="110"/>
      <c r="B232" s="111"/>
      <c r="C232" s="112"/>
      <c r="D232" s="111"/>
      <c r="E232" s="111"/>
      <c r="F232" s="111"/>
      <c r="G232" s="113"/>
      <c r="H232" s="113"/>
    </row>
    <row r="233" ht="21.75" customHeight="1">
      <c r="A233" s="110"/>
      <c r="B233" s="111"/>
      <c r="C233" s="112"/>
      <c r="D233" s="111"/>
      <c r="E233" s="111"/>
      <c r="F233" s="111"/>
      <c r="G233" s="113"/>
      <c r="H233" s="113"/>
    </row>
    <row r="234" ht="21.75" customHeight="1">
      <c r="A234" s="110"/>
      <c r="B234" s="111"/>
      <c r="C234" s="112"/>
      <c r="D234" s="111"/>
      <c r="E234" s="111"/>
      <c r="F234" s="111"/>
      <c r="G234" s="113"/>
      <c r="H234" s="113"/>
    </row>
    <row r="235" ht="21.75" customHeight="1">
      <c r="A235" s="110"/>
      <c r="B235" s="111"/>
      <c r="C235" s="112"/>
      <c r="D235" s="111"/>
      <c r="E235" s="111"/>
      <c r="F235" s="111"/>
      <c r="G235" s="113"/>
      <c r="H235" s="113"/>
    </row>
    <row r="236" ht="21.75" customHeight="1">
      <c r="A236" s="110"/>
      <c r="B236" s="111"/>
      <c r="C236" s="112"/>
      <c r="D236" s="111"/>
      <c r="E236" s="111"/>
      <c r="F236" s="111"/>
      <c r="G236" s="113"/>
      <c r="H236" s="113"/>
    </row>
    <row r="237" ht="21.75" customHeight="1">
      <c r="A237" s="110"/>
      <c r="B237" s="111"/>
      <c r="C237" s="112"/>
      <c r="D237" s="111"/>
      <c r="E237" s="111"/>
      <c r="F237" s="111"/>
      <c r="G237" s="113"/>
      <c r="H237" s="113"/>
    </row>
    <row r="238" ht="21.75" customHeight="1">
      <c r="A238" s="110"/>
      <c r="B238" s="111"/>
      <c r="C238" s="112"/>
      <c r="D238" s="111"/>
      <c r="E238" s="111"/>
      <c r="F238" s="111"/>
      <c r="G238" s="113"/>
      <c r="H238" s="113"/>
    </row>
    <row r="239" ht="21.75" customHeight="1">
      <c r="A239" s="110"/>
      <c r="B239" s="111"/>
      <c r="C239" s="112"/>
      <c r="D239" s="111"/>
      <c r="E239" s="111"/>
      <c r="F239" s="111"/>
      <c r="G239" s="113"/>
      <c r="H239" s="113"/>
    </row>
    <row r="240" ht="21.75" customHeight="1">
      <c r="A240" s="110"/>
      <c r="B240" s="111"/>
      <c r="C240" s="112"/>
      <c r="D240" s="111"/>
      <c r="E240" s="111"/>
      <c r="F240" s="111"/>
      <c r="G240" s="113"/>
      <c r="H240" s="113"/>
    </row>
    <row r="241" ht="21.75" customHeight="1">
      <c r="A241" s="110"/>
      <c r="B241" s="111"/>
      <c r="C241" s="112"/>
      <c r="D241" s="111"/>
      <c r="E241" s="111"/>
      <c r="F241" s="111"/>
      <c r="G241" s="113"/>
      <c r="H241" s="113"/>
    </row>
    <row r="242" ht="21.75" customHeight="1">
      <c r="A242" s="110"/>
      <c r="B242" s="111"/>
      <c r="C242" s="112"/>
      <c r="D242" s="111"/>
      <c r="E242" s="111"/>
      <c r="F242" s="111"/>
      <c r="G242" s="113"/>
      <c r="H242" s="113"/>
    </row>
    <row r="243" ht="21.75" customHeight="1">
      <c r="A243" s="110"/>
      <c r="B243" s="111"/>
      <c r="C243" s="112"/>
      <c r="D243" s="111"/>
      <c r="E243" s="111"/>
      <c r="F243" s="111"/>
      <c r="G243" s="113"/>
      <c r="H243" s="113"/>
    </row>
    <row r="244" ht="21.75" customHeight="1">
      <c r="A244" s="110"/>
      <c r="B244" s="111"/>
      <c r="C244" s="112"/>
      <c r="D244" s="111"/>
      <c r="E244" s="111"/>
      <c r="F244" s="111"/>
      <c r="G244" s="113"/>
      <c r="H244" s="113"/>
    </row>
    <row r="245" ht="21.75" customHeight="1">
      <c r="A245" s="110"/>
      <c r="B245" s="111"/>
      <c r="C245" s="112"/>
      <c r="D245" s="111"/>
      <c r="E245" s="111"/>
      <c r="F245" s="111"/>
      <c r="G245" s="113"/>
      <c r="H245" s="113"/>
    </row>
    <row r="246" ht="21.75" customHeight="1">
      <c r="A246" s="110"/>
      <c r="B246" s="111"/>
      <c r="C246" s="112"/>
      <c r="D246" s="111"/>
      <c r="E246" s="111"/>
      <c r="F246" s="111"/>
      <c r="G246" s="113"/>
      <c r="H246" s="113"/>
    </row>
    <row r="247" ht="21.75" customHeight="1">
      <c r="A247" s="110"/>
      <c r="B247" s="111"/>
      <c r="C247" s="112"/>
      <c r="D247" s="111"/>
      <c r="E247" s="111"/>
      <c r="F247" s="111"/>
      <c r="G247" s="113"/>
      <c r="H247" s="113"/>
    </row>
    <row r="248" ht="21.75" customHeight="1">
      <c r="A248" s="110"/>
      <c r="B248" s="111"/>
      <c r="C248" s="112"/>
      <c r="D248" s="111"/>
      <c r="E248" s="111"/>
      <c r="F248" s="111"/>
      <c r="G248" s="113"/>
      <c r="H248" s="113"/>
    </row>
    <row r="249" ht="21.75" customHeight="1">
      <c r="A249" s="110"/>
      <c r="B249" s="111"/>
      <c r="C249" s="112"/>
      <c r="D249" s="111"/>
      <c r="E249" s="111"/>
      <c r="F249" s="111"/>
      <c r="G249" s="113"/>
      <c r="H249" s="113"/>
    </row>
    <row r="250" ht="21.75" customHeight="1">
      <c r="A250" s="110"/>
      <c r="B250" s="111"/>
      <c r="C250" s="112"/>
      <c r="D250" s="111"/>
      <c r="E250" s="111"/>
      <c r="F250" s="111"/>
      <c r="G250" s="113"/>
      <c r="H250" s="113"/>
    </row>
    <row r="251" ht="21.75" customHeight="1">
      <c r="A251" s="110"/>
      <c r="B251" s="111"/>
      <c r="C251" s="112"/>
      <c r="D251" s="111"/>
      <c r="E251" s="111"/>
      <c r="F251" s="111"/>
      <c r="G251" s="113"/>
      <c r="H251" s="113"/>
    </row>
    <row r="252" ht="21.75" customHeight="1">
      <c r="A252" s="110"/>
      <c r="B252" s="111"/>
      <c r="C252" s="112"/>
      <c r="D252" s="111"/>
      <c r="E252" s="111"/>
      <c r="F252" s="111"/>
      <c r="G252" s="113"/>
      <c r="H252" s="113"/>
    </row>
    <row r="253" ht="21.75" customHeight="1">
      <c r="A253" s="110"/>
      <c r="B253" s="111"/>
      <c r="C253" s="112"/>
      <c r="D253" s="111"/>
      <c r="E253" s="111"/>
      <c r="F253" s="111"/>
      <c r="G253" s="113"/>
      <c r="H253" s="113"/>
    </row>
    <row r="254" ht="21.75" customHeight="1">
      <c r="A254" s="110"/>
      <c r="B254" s="111"/>
      <c r="C254" s="112"/>
      <c r="D254" s="111"/>
      <c r="E254" s="111"/>
      <c r="F254" s="111"/>
      <c r="G254" s="113"/>
      <c r="H254" s="113"/>
    </row>
    <row r="255" ht="21.75" customHeight="1">
      <c r="A255" s="110"/>
      <c r="B255" s="111"/>
      <c r="C255" s="112"/>
      <c r="D255" s="111"/>
      <c r="E255" s="111"/>
      <c r="F255" s="111"/>
      <c r="G255" s="113"/>
      <c r="H255" s="113"/>
    </row>
    <row r="256" ht="21.75" customHeight="1">
      <c r="A256" s="110"/>
      <c r="B256" s="111"/>
      <c r="C256" s="112"/>
      <c r="D256" s="111"/>
      <c r="E256" s="111"/>
      <c r="F256" s="111"/>
      <c r="G256" s="113"/>
      <c r="H256" s="113"/>
    </row>
    <row r="257" ht="21.75" customHeight="1">
      <c r="A257" s="110"/>
      <c r="B257" s="111"/>
      <c r="C257" s="112"/>
      <c r="D257" s="111"/>
      <c r="E257" s="111"/>
      <c r="F257" s="111"/>
      <c r="G257" s="113"/>
      <c r="H257" s="113"/>
    </row>
    <row r="258" ht="21.75" customHeight="1">
      <c r="A258" s="110"/>
      <c r="B258" s="111"/>
      <c r="C258" s="112"/>
      <c r="D258" s="111"/>
      <c r="E258" s="111"/>
      <c r="F258" s="111"/>
      <c r="G258" s="113"/>
      <c r="H258" s="113"/>
    </row>
    <row r="259" ht="21.75" customHeight="1">
      <c r="A259" s="110"/>
      <c r="B259" s="111"/>
      <c r="C259" s="112"/>
      <c r="D259" s="111"/>
      <c r="E259" s="111"/>
      <c r="F259" s="111"/>
      <c r="G259" s="113"/>
      <c r="H259" s="113"/>
    </row>
    <row r="260" ht="21.75" customHeight="1">
      <c r="A260" s="110"/>
      <c r="B260" s="111"/>
      <c r="C260" s="112"/>
      <c r="D260" s="111"/>
      <c r="E260" s="111"/>
      <c r="F260" s="111"/>
      <c r="G260" s="113"/>
      <c r="H260" s="113"/>
    </row>
    <row r="261" ht="21.75" customHeight="1">
      <c r="A261" s="110"/>
      <c r="B261" s="111"/>
      <c r="C261" s="112"/>
      <c r="D261" s="111"/>
      <c r="E261" s="111"/>
      <c r="F261" s="111"/>
      <c r="G261" s="113"/>
      <c r="H261" s="113"/>
    </row>
    <row r="262" ht="21.75" customHeight="1">
      <c r="A262" s="110"/>
      <c r="B262" s="111"/>
      <c r="C262" s="112"/>
      <c r="D262" s="111"/>
      <c r="E262" s="111"/>
      <c r="F262" s="111"/>
      <c r="G262" s="113"/>
      <c r="H262" s="113"/>
    </row>
    <row r="263" ht="21.75" customHeight="1">
      <c r="A263" s="110"/>
      <c r="B263" s="111"/>
      <c r="C263" s="112"/>
      <c r="D263" s="111"/>
      <c r="E263" s="111"/>
      <c r="F263" s="111"/>
      <c r="G263" s="113"/>
      <c r="H263" s="113"/>
    </row>
    <row r="264" ht="21.75" customHeight="1">
      <c r="A264" s="110"/>
      <c r="B264" s="111"/>
      <c r="C264" s="112"/>
      <c r="D264" s="111"/>
      <c r="E264" s="111"/>
      <c r="F264" s="111"/>
      <c r="G264" s="113"/>
      <c r="H264" s="113"/>
    </row>
    <row r="265" ht="21.75" customHeight="1">
      <c r="A265" s="110"/>
      <c r="B265" s="111"/>
      <c r="C265" s="112"/>
      <c r="D265" s="111"/>
      <c r="E265" s="111"/>
      <c r="F265" s="111"/>
      <c r="G265" s="113"/>
      <c r="H265" s="113"/>
    </row>
    <row r="266" ht="21.75" customHeight="1">
      <c r="A266" s="110"/>
      <c r="B266" s="111"/>
      <c r="C266" s="112"/>
      <c r="D266" s="111"/>
      <c r="E266" s="111"/>
      <c r="F266" s="111"/>
      <c r="G266" s="113"/>
      <c r="H266" s="113"/>
    </row>
    <row r="267" ht="21.75" customHeight="1">
      <c r="A267" s="110"/>
      <c r="B267" s="111"/>
      <c r="C267" s="112"/>
      <c r="D267" s="111"/>
      <c r="E267" s="111"/>
      <c r="F267" s="111"/>
      <c r="G267" s="113"/>
      <c r="H267" s="113"/>
    </row>
    <row r="268" ht="21.75" customHeight="1">
      <c r="A268" s="110"/>
      <c r="B268" s="111"/>
      <c r="C268" s="112"/>
      <c r="D268" s="111"/>
      <c r="E268" s="111"/>
      <c r="F268" s="111"/>
      <c r="G268" s="113"/>
      <c r="H268" s="113"/>
    </row>
    <row r="269" ht="21.75" customHeight="1">
      <c r="A269" s="110"/>
      <c r="B269" s="111"/>
      <c r="C269" s="112"/>
      <c r="D269" s="111"/>
      <c r="E269" s="111"/>
      <c r="F269" s="111"/>
      <c r="G269" s="113"/>
      <c r="H269" s="113"/>
    </row>
    <row r="270" ht="21.75" customHeight="1">
      <c r="A270" s="110"/>
      <c r="B270" s="111"/>
      <c r="C270" s="112"/>
      <c r="D270" s="111"/>
      <c r="E270" s="111"/>
      <c r="F270" s="111"/>
      <c r="G270" s="113"/>
      <c r="H270" s="113"/>
    </row>
    <row r="271" ht="21.75" customHeight="1">
      <c r="A271" s="110"/>
      <c r="B271" s="111"/>
      <c r="C271" s="112"/>
      <c r="D271" s="111"/>
      <c r="E271" s="111"/>
      <c r="F271" s="111"/>
      <c r="G271" s="113"/>
      <c r="H271" s="113"/>
    </row>
    <row r="272" ht="21.75" customHeight="1">
      <c r="A272" s="110"/>
      <c r="B272" s="111"/>
      <c r="C272" s="112"/>
      <c r="D272" s="111"/>
      <c r="E272" s="111"/>
      <c r="F272" s="111"/>
      <c r="G272" s="113"/>
      <c r="H272" s="113"/>
    </row>
    <row r="273" ht="21.75" customHeight="1">
      <c r="A273" s="110"/>
      <c r="B273" s="111"/>
      <c r="C273" s="112"/>
      <c r="D273" s="111"/>
      <c r="E273" s="111"/>
      <c r="F273" s="111"/>
      <c r="G273" s="113"/>
      <c r="H273" s="113"/>
    </row>
    <row r="274" ht="21.75" customHeight="1">
      <c r="A274" s="110"/>
      <c r="B274" s="111"/>
      <c r="C274" s="112"/>
      <c r="D274" s="111"/>
      <c r="E274" s="111"/>
      <c r="F274" s="111"/>
      <c r="G274" s="113"/>
      <c r="H274" s="113"/>
    </row>
    <row r="275" ht="21.75" customHeight="1">
      <c r="A275" s="110"/>
      <c r="B275" s="111"/>
      <c r="C275" s="112"/>
      <c r="D275" s="111"/>
      <c r="E275" s="111"/>
      <c r="F275" s="111"/>
      <c r="G275" s="113"/>
      <c r="H275" s="113"/>
    </row>
    <row r="276" ht="21.75" customHeight="1">
      <c r="A276" s="110"/>
      <c r="B276" s="111"/>
      <c r="C276" s="112"/>
      <c r="D276" s="111"/>
      <c r="E276" s="111"/>
      <c r="F276" s="111"/>
      <c r="G276" s="113"/>
      <c r="H276" s="113"/>
    </row>
    <row r="277" ht="21.75" customHeight="1">
      <c r="A277" s="110"/>
      <c r="B277" s="111"/>
      <c r="C277" s="112"/>
      <c r="D277" s="111"/>
      <c r="E277" s="111"/>
      <c r="F277" s="111"/>
      <c r="G277" s="113"/>
      <c r="H277" s="113"/>
    </row>
    <row r="278" ht="21.75" customHeight="1">
      <c r="A278" s="110"/>
      <c r="B278" s="111"/>
      <c r="C278" s="112"/>
      <c r="D278" s="111"/>
      <c r="E278" s="111"/>
      <c r="F278" s="111"/>
      <c r="G278" s="113"/>
      <c r="H278" s="113"/>
    </row>
    <row r="279" ht="21.75" customHeight="1">
      <c r="A279" s="110"/>
      <c r="B279" s="111"/>
      <c r="C279" s="112"/>
      <c r="D279" s="111"/>
      <c r="E279" s="111"/>
      <c r="F279" s="111"/>
      <c r="G279" s="113"/>
      <c r="H279" s="113"/>
    </row>
    <row r="280" ht="21.75" customHeight="1">
      <c r="A280" s="110"/>
      <c r="B280" s="111"/>
      <c r="C280" s="112"/>
      <c r="D280" s="111"/>
      <c r="E280" s="111"/>
      <c r="F280" s="111"/>
      <c r="G280" s="113"/>
      <c r="H280" s="113"/>
    </row>
    <row r="281" ht="21.75" customHeight="1">
      <c r="A281" s="110"/>
      <c r="B281" s="111"/>
      <c r="C281" s="112"/>
      <c r="D281" s="111"/>
      <c r="E281" s="111"/>
      <c r="F281" s="111"/>
      <c r="G281" s="113"/>
      <c r="H281" s="113"/>
    </row>
    <row r="282" ht="21.75" customHeight="1">
      <c r="A282" s="110"/>
      <c r="B282" s="111"/>
      <c r="C282" s="112"/>
      <c r="D282" s="111"/>
      <c r="E282" s="111"/>
      <c r="F282" s="111"/>
      <c r="G282" s="113"/>
      <c r="H282" s="113"/>
    </row>
    <row r="283" ht="21.75" customHeight="1">
      <c r="A283" s="110"/>
      <c r="B283" s="111"/>
      <c r="C283" s="112"/>
      <c r="D283" s="111"/>
      <c r="E283" s="111"/>
      <c r="F283" s="111"/>
      <c r="G283" s="113"/>
      <c r="H283" s="113"/>
    </row>
    <row r="284" ht="21.75" customHeight="1">
      <c r="A284" s="110"/>
      <c r="B284" s="111"/>
      <c r="C284" s="112"/>
      <c r="D284" s="111"/>
      <c r="E284" s="111"/>
      <c r="F284" s="111"/>
      <c r="G284" s="113"/>
      <c r="H284" s="113"/>
    </row>
    <row r="285" ht="21.75" customHeight="1">
      <c r="A285" s="110"/>
      <c r="B285" s="111"/>
      <c r="C285" s="112"/>
      <c r="D285" s="111"/>
      <c r="E285" s="111"/>
      <c r="F285" s="111"/>
      <c r="G285" s="113"/>
      <c r="H285" s="113"/>
    </row>
    <row r="286" ht="21.75" customHeight="1">
      <c r="A286" s="110"/>
      <c r="B286" s="111"/>
      <c r="C286" s="112"/>
      <c r="D286" s="111"/>
      <c r="E286" s="111"/>
      <c r="F286" s="111"/>
      <c r="G286" s="113"/>
      <c r="H286" s="113"/>
    </row>
    <row r="287" ht="21.75" customHeight="1">
      <c r="A287" s="110"/>
      <c r="B287" s="111"/>
      <c r="C287" s="112"/>
      <c r="D287" s="111"/>
      <c r="E287" s="111"/>
      <c r="F287" s="111"/>
      <c r="G287" s="113"/>
      <c r="H287" s="113"/>
    </row>
    <row r="288" ht="21.75" customHeight="1">
      <c r="A288" s="110"/>
      <c r="B288" s="111"/>
      <c r="C288" s="112"/>
      <c r="D288" s="111"/>
      <c r="E288" s="111"/>
      <c r="F288" s="111"/>
      <c r="G288" s="113"/>
      <c r="H288" s="113"/>
    </row>
    <row r="289" ht="21.75" customHeight="1">
      <c r="A289" s="110"/>
      <c r="B289" s="111"/>
      <c r="C289" s="112"/>
      <c r="D289" s="111"/>
      <c r="E289" s="111"/>
      <c r="F289" s="111"/>
      <c r="G289" s="113"/>
      <c r="H289" s="113"/>
    </row>
    <row r="290" ht="21.75" customHeight="1">
      <c r="A290" s="110"/>
      <c r="B290" s="111"/>
      <c r="C290" s="112"/>
      <c r="D290" s="111"/>
      <c r="E290" s="111"/>
      <c r="F290" s="111"/>
      <c r="G290" s="113"/>
      <c r="H290" s="113"/>
    </row>
    <row r="291" ht="21.75" customHeight="1">
      <c r="A291" s="110"/>
      <c r="B291" s="111"/>
      <c r="C291" s="112"/>
      <c r="D291" s="111"/>
      <c r="E291" s="111"/>
      <c r="F291" s="111"/>
      <c r="G291" s="113"/>
      <c r="H291" s="113"/>
    </row>
    <row r="292" ht="21.75" customHeight="1">
      <c r="A292" s="110"/>
      <c r="B292" s="111"/>
      <c r="C292" s="112"/>
      <c r="D292" s="111"/>
      <c r="E292" s="111"/>
      <c r="F292" s="111"/>
      <c r="G292" s="113"/>
      <c r="H292" s="113"/>
    </row>
    <row r="293" ht="21.75" customHeight="1">
      <c r="A293" s="110"/>
      <c r="B293" s="111"/>
      <c r="C293" s="112"/>
      <c r="D293" s="111"/>
      <c r="E293" s="111"/>
      <c r="F293" s="111"/>
      <c r="G293" s="113"/>
      <c r="H293" s="113"/>
    </row>
    <row r="294" ht="21.75" customHeight="1">
      <c r="A294" s="110"/>
      <c r="B294" s="111"/>
      <c r="C294" s="112"/>
      <c r="D294" s="111"/>
      <c r="E294" s="111"/>
      <c r="F294" s="111"/>
      <c r="G294" s="113"/>
      <c r="H294" s="113"/>
    </row>
    <row r="295" ht="21.75" customHeight="1">
      <c r="A295" s="110"/>
      <c r="B295" s="111"/>
      <c r="C295" s="112"/>
      <c r="D295" s="111"/>
      <c r="E295" s="111"/>
      <c r="F295" s="111"/>
      <c r="G295" s="113"/>
      <c r="H295" s="113"/>
    </row>
    <row r="296" ht="21.75" customHeight="1">
      <c r="A296" s="110"/>
      <c r="B296" s="111"/>
      <c r="C296" s="112"/>
      <c r="D296" s="111"/>
      <c r="E296" s="111"/>
      <c r="F296" s="111"/>
      <c r="G296" s="113"/>
      <c r="H296" s="113"/>
    </row>
    <row r="297" ht="21.75" customHeight="1">
      <c r="A297" s="110"/>
      <c r="B297" s="111"/>
      <c r="C297" s="112"/>
      <c r="D297" s="111"/>
      <c r="E297" s="111"/>
      <c r="F297" s="111"/>
      <c r="G297" s="113"/>
      <c r="H297" s="113"/>
    </row>
    <row r="298" ht="21.75" customHeight="1">
      <c r="A298" s="110"/>
      <c r="B298" s="111"/>
      <c r="C298" s="112"/>
      <c r="D298" s="111"/>
      <c r="E298" s="111"/>
      <c r="F298" s="111"/>
      <c r="G298" s="113"/>
      <c r="H298" s="113"/>
    </row>
    <row r="299" ht="21.75" customHeight="1">
      <c r="A299" s="110"/>
      <c r="B299" s="111"/>
      <c r="C299" s="112"/>
      <c r="D299" s="111"/>
      <c r="E299" s="111"/>
      <c r="F299" s="111"/>
      <c r="G299" s="113"/>
      <c r="H299" s="113"/>
    </row>
    <row r="300" ht="21.75" customHeight="1">
      <c r="A300" s="110"/>
      <c r="B300" s="111"/>
      <c r="C300" s="112"/>
      <c r="D300" s="111"/>
      <c r="E300" s="111"/>
      <c r="F300" s="111"/>
      <c r="G300" s="113"/>
      <c r="H300" s="113"/>
    </row>
    <row r="301" ht="21.75" customHeight="1">
      <c r="A301" s="110"/>
      <c r="B301" s="111"/>
      <c r="C301" s="112"/>
      <c r="D301" s="111"/>
      <c r="E301" s="111"/>
      <c r="F301" s="111"/>
      <c r="G301" s="113"/>
      <c r="H301" s="113"/>
    </row>
    <row r="302" ht="21.75" customHeight="1">
      <c r="A302" s="110"/>
      <c r="B302" s="111"/>
      <c r="C302" s="112"/>
      <c r="D302" s="111"/>
      <c r="E302" s="111"/>
      <c r="F302" s="111"/>
      <c r="G302" s="113"/>
      <c r="H302" s="113"/>
    </row>
    <row r="303" ht="21.75" customHeight="1">
      <c r="A303" s="110"/>
      <c r="B303" s="111"/>
      <c r="C303" s="112"/>
      <c r="D303" s="111"/>
      <c r="E303" s="111"/>
      <c r="F303" s="111"/>
      <c r="G303" s="113"/>
      <c r="H303" s="113"/>
    </row>
    <row r="304" ht="21.75" customHeight="1">
      <c r="A304" s="110"/>
      <c r="B304" s="111"/>
      <c r="C304" s="112"/>
      <c r="D304" s="111"/>
      <c r="E304" s="111"/>
      <c r="F304" s="111"/>
      <c r="G304" s="113"/>
      <c r="H304" s="113"/>
    </row>
    <row r="305" ht="21.75" customHeight="1">
      <c r="A305" s="110"/>
      <c r="B305" s="111"/>
      <c r="C305" s="112"/>
      <c r="D305" s="111"/>
      <c r="E305" s="111"/>
      <c r="F305" s="111"/>
      <c r="G305" s="113"/>
      <c r="H305" s="113"/>
    </row>
    <row r="306" ht="21.75" customHeight="1">
      <c r="A306" s="110"/>
      <c r="B306" s="111"/>
      <c r="C306" s="112"/>
      <c r="D306" s="111"/>
      <c r="E306" s="111"/>
      <c r="F306" s="111"/>
      <c r="G306" s="113"/>
      <c r="H306" s="113"/>
    </row>
    <row r="307" ht="21.75" customHeight="1">
      <c r="A307" s="110"/>
      <c r="B307" s="111"/>
      <c r="C307" s="112"/>
      <c r="D307" s="111"/>
      <c r="E307" s="111"/>
      <c r="F307" s="111"/>
      <c r="G307" s="113"/>
      <c r="H307" s="113"/>
    </row>
    <row r="308" ht="21.75" customHeight="1">
      <c r="A308" s="110"/>
      <c r="B308" s="111"/>
      <c r="C308" s="112"/>
      <c r="D308" s="111"/>
      <c r="E308" s="111"/>
      <c r="F308" s="111"/>
      <c r="G308" s="113"/>
      <c r="H308" s="113"/>
    </row>
    <row r="309" ht="21.75" customHeight="1">
      <c r="A309" s="110"/>
      <c r="B309" s="111"/>
      <c r="C309" s="112"/>
      <c r="D309" s="111"/>
      <c r="E309" s="111"/>
      <c r="F309" s="111"/>
      <c r="G309" s="113"/>
      <c r="H309" s="113"/>
    </row>
    <row r="310" ht="21.75" customHeight="1">
      <c r="A310" s="110"/>
      <c r="B310" s="111"/>
      <c r="C310" s="112"/>
      <c r="D310" s="111"/>
      <c r="E310" s="111"/>
      <c r="F310" s="111"/>
      <c r="G310" s="113"/>
      <c r="H310" s="113"/>
    </row>
    <row r="311" ht="21.75" customHeight="1">
      <c r="A311" s="110"/>
      <c r="B311" s="111"/>
      <c r="C311" s="112"/>
      <c r="D311" s="111"/>
      <c r="E311" s="111"/>
      <c r="F311" s="111"/>
      <c r="G311" s="113"/>
      <c r="H311" s="113"/>
    </row>
    <row r="312" ht="21.75" customHeight="1">
      <c r="A312" s="110"/>
      <c r="B312" s="111"/>
      <c r="C312" s="112"/>
      <c r="D312" s="111"/>
      <c r="E312" s="111"/>
      <c r="F312" s="111"/>
      <c r="G312" s="113"/>
      <c r="H312" s="113"/>
    </row>
    <row r="313" ht="21.75" customHeight="1">
      <c r="A313" s="110"/>
      <c r="B313" s="111"/>
      <c r="C313" s="112"/>
      <c r="D313" s="111"/>
      <c r="E313" s="111"/>
      <c r="F313" s="111"/>
      <c r="G313" s="113"/>
      <c r="H313" s="113"/>
    </row>
    <row r="314" ht="21.75" customHeight="1">
      <c r="A314" s="110"/>
      <c r="B314" s="111"/>
      <c r="C314" s="112"/>
      <c r="D314" s="111"/>
      <c r="E314" s="111"/>
      <c r="F314" s="111"/>
      <c r="G314" s="113"/>
      <c r="H314" s="113"/>
    </row>
    <row r="315" ht="21.75" customHeight="1">
      <c r="A315" s="110"/>
      <c r="B315" s="111"/>
      <c r="C315" s="112"/>
      <c r="D315" s="111"/>
      <c r="E315" s="111"/>
      <c r="F315" s="111"/>
      <c r="G315" s="113"/>
      <c r="H315" s="113"/>
    </row>
    <row r="316" ht="21.75" customHeight="1">
      <c r="A316" s="110"/>
      <c r="B316" s="111"/>
      <c r="C316" s="112"/>
      <c r="D316" s="111"/>
      <c r="E316" s="111"/>
      <c r="F316" s="111"/>
      <c r="G316" s="113"/>
      <c r="H316" s="113"/>
    </row>
    <row r="317" ht="21.75" customHeight="1">
      <c r="A317" s="110"/>
      <c r="B317" s="111"/>
      <c r="C317" s="112"/>
      <c r="D317" s="111"/>
      <c r="E317" s="111"/>
      <c r="F317" s="111"/>
      <c r="G317" s="113"/>
      <c r="H317" s="113"/>
    </row>
    <row r="318" ht="21.75" customHeight="1">
      <c r="A318" s="110"/>
      <c r="B318" s="111"/>
      <c r="C318" s="112"/>
      <c r="D318" s="111"/>
      <c r="E318" s="111"/>
      <c r="F318" s="111"/>
      <c r="G318" s="113"/>
      <c r="H318" s="113"/>
    </row>
    <row r="319" ht="21.75" customHeight="1">
      <c r="A319" s="110"/>
      <c r="B319" s="111"/>
      <c r="C319" s="112"/>
      <c r="D319" s="111"/>
      <c r="E319" s="111"/>
      <c r="F319" s="111"/>
      <c r="G319" s="113"/>
      <c r="H319" s="113"/>
    </row>
    <row r="320" ht="21.75" customHeight="1">
      <c r="A320" s="110"/>
      <c r="B320" s="111"/>
      <c r="C320" s="112"/>
      <c r="D320" s="111"/>
      <c r="E320" s="111"/>
      <c r="F320" s="111"/>
      <c r="G320" s="113"/>
      <c r="H320" s="113"/>
    </row>
    <row r="321" ht="21.75" customHeight="1">
      <c r="A321" s="110"/>
      <c r="B321" s="111"/>
      <c r="C321" s="112"/>
      <c r="D321" s="111"/>
      <c r="E321" s="111"/>
      <c r="F321" s="111"/>
      <c r="G321" s="113"/>
      <c r="H321" s="113"/>
    </row>
    <row r="322" ht="21.75" customHeight="1">
      <c r="A322" s="110"/>
      <c r="B322" s="111"/>
      <c r="C322" s="112"/>
      <c r="D322" s="111"/>
      <c r="E322" s="111"/>
      <c r="F322" s="111"/>
      <c r="G322" s="113"/>
      <c r="H322" s="113"/>
    </row>
    <row r="323" ht="21.75" customHeight="1">
      <c r="A323" s="110"/>
      <c r="B323" s="111"/>
      <c r="C323" s="112"/>
      <c r="D323" s="111"/>
      <c r="E323" s="111"/>
      <c r="F323" s="111"/>
      <c r="G323" s="113"/>
      <c r="H323" s="113"/>
    </row>
    <row r="324" ht="21.75" customHeight="1">
      <c r="A324" s="110"/>
      <c r="B324" s="111"/>
      <c r="C324" s="112"/>
      <c r="D324" s="111"/>
      <c r="E324" s="111"/>
      <c r="F324" s="111"/>
      <c r="G324" s="113"/>
      <c r="H324" s="113"/>
    </row>
    <row r="325" ht="21.75" customHeight="1">
      <c r="A325" s="110"/>
      <c r="B325" s="111"/>
      <c r="C325" s="112"/>
      <c r="D325" s="111"/>
      <c r="E325" s="111"/>
      <c r="F325" s="111"/>
      <c r="G325" s="113"/>
      <c r="H325" s="113"/>
    </row>
    <row r="326" ht="21.75" customHeight="1">
      <c r="A326" s="110"/>
      <c r="B326" s="111"/>
      <c r="C326" s="112"/>
      <c r="D326" s="111"/>
      <c r="E326" s="111"/>
      <c r="F326" s="111"/>
      <c r="G326" s="113"/>
      <c r="H326" s="113"/>
    </row>
    <row r="327" ht="21.75" customHeight="1">
      <c r="A327" s="110"/>
      <c r="B327" s="111"/>
      <c r="C327" s="112"/>
      <c r="D327" s="111"/>
      <c r="E327" s="111"/>
      <c r="F327" s="111"/>
      <c r="G327" s="113"/>
      <c r="H327" s="113"/>
    </row>
    <row r="328" ht="21.75" customHeight="1">
      <c r="A328" s="110"/>
      <c r="B328" s="111"/>
      <c r="C328" s="112"/>
      <c r="D328" s="111"/>
      <c r="E328" s="111"/>
      <c r="F328" s="111"/>
      <c r="G328" s="113"/>
      <c r="H328" s="113"/>
    </row>
    <row r="329" ht="21.75" customHeight="1">
      <c r="A329" s="110"/>
      <c r="B329" s="111"/>
      <c r="C329" s="112"/>
      <c r="D329" s="111"/>
      <c r="E329" s="111"/>
      <c r="F329" s="111"/>
      <c r="G329" s="113"/>
      <c r="H329" s="113"/>
    </row>
    <row r="330" ht="21.75" customHeight="1">
      <c r="A330" s="110"/>
      <c r="B330" s="111"/>
      <c r="C330" s="112"/>
      <c r="D330" s="111"/>
      <c r="E330" s="111"/>
      <c r="F330" s="111"/>
      <c r="G330" s="113"/>
      <c r="H330" s="113"/>
    </row>
    <row r="331" ht="21.75" customHeight="1">
      <c r="A331" s="110"/>
      <c r="B331" s="111"/>
      <c r="C331" s="112"/>
      <c r="D331" s="111"/>
      <c r="E331" s="111"/>
      <c r="F331" s="111"/>
      <c r="G331" s="113"/>
      <c r="H331" s="113"/>
    </row>
    <row r="332" ht="21.75" customHeight="1">
      <c r="A332" s="110"/>
      <c r="B332" s="111"/>
      <c r="C332" s="112"/>
      <c r="D332" s="111"/>
      <c r="E332" s="111"/>
      <c r="F332" s="111"/>
      <c r="G332" s="113"/>
      <c r="H332" s="113"/>
    </row>
    <row r="333" ht="21.75" customHeight="1">
      <c r="A333" s="110"/>
      <c r="B333" s="111"/>
      <c r="C333" s="112"/>
      <c r="D333" s="111"/>
      <c r="E333" s="111"/>
      <c r="F333" s="111"/>
      <c r="G333" s="113"/>
      <c r="H333" s="113"/>
    </row>
    <row r="334" ht="21.75" customHeight="1">
      <c r="A334" s="110"/>
      <c r="B334" s="111"/>
      <c r="C334" s="112"/>
      <c r="D334" s="111"/>
      <c r="E334" s="111"/>
      <c r="F334" s="111"/>
      <c r="G334" s="113"/>
      <c r="H334" s="113"/>
    </row>
    <row r="335" ht="21.75" customHeight="1">
      <c r="A335" s="110"/>
      <c r="B335" s="111"/>
      <c r="C335" s="112"/>
      <c r="D335" s="111"/>
      <c r="E335" s="111"/>
      <c r="F335" s="111"/>
      <c r="G335" s="113"/>
      <c r="H335" s="113"/>
    </row>
    <row r="336" ht="21.75" customHeight="1">
      <c r="A336" s="110"/>
      <c r="B336" s="111"/>
      <c r="C336" s="112"/>
      <c r="D336" s="111"/>
      <c r="E336" s="111"/>
      <c r="F336" s="111"/>
      <c r="G336" s="113"/>
      <c r="H336" s="113"/>
    </row>
    <row r="337" ht="21.75" customHeight="1">
      <c r="A337" s="110"/>
      <c r="B337" s="111"/>
      <c r="C337" s="112"/>
      <c r="D337" s="111"/>
      <c r="E337" s="111"/>
      <c r="F337" s="111"/>
      <c r="G337" s="113"/>
      <c r="H337" s="113"/>
    </row>
    <row r="338" ht="21.75" customHeight="1">
      <c r="A338" s="110"/>
      <c r="B338" s="111"/>
      <c r="C338" s="112"/>
      <c r="D338" s="111"/>
      <c r="E338" s="111"/>
      <c r="F338" s="111"/>
      <c r="G338" s="113"/>
      <c r="H338" s="113"/>
    </row>
    <row r="339" ht="21.75" customHeight="1">
      <c r="A339" s="110"/>
      <c r="B339" s="111"/>
      <c r="C339" s="112"/>
      <c r="D339" s="111"/>
      <c r="E339" s="111"/>
      <c r="F339" s="111"/>
      <c r="G339" s="113"/>
      <c r="H339" s="113"/>
    </row>
    <row r="340" ht="21.75" customHeight="1">
      <c r="A340" s="110"/>
      <c r="B340" s="111"/>
      <c r="C340" s="112"/>
      <c r="D340" s="111"/>
      <c r="E340" s="111"/>
      <c r="F340" s="111"/>
      <c r="G340" s="113"/>
      <c r="H340" s="113"/>
    </row>
    <row r="341" ht="21.75" customHeight="1">
      <c r="A341" s="110"/>
      <c r="B341" s="111"/>
      <c r="C341" s="112"/>
      <c r="D341" s="111"/>
      <c r="E341" s="111"/>
      <c r="F341" s="111"/>
      <c r="G341" s="113"/>
      <c r="H341" s="113"/>
    </row>
    <row r="342" ht="21.75" customHeight="1">
      <c r="A342" s="110"/>
      <c r="B342" s="111"/>
      <c r="C342" s="112"/>
      <c r="D342" s="111"/>
      <c r="E342" s="111"/>
      <c r="F342" s="111"/>
      <c r="G342" s="113"/>
      <c r="H342" s="113"/>
    </row>
    <row r="343" ht="21.75" customHeight="1">
      <c r="A343" s="110"/>
      <c r="B343" s="111"/>
      <c r="C343" s="112"/>
      <c r="D343" s="111"/>
      <c r="E343" s="111"/>
      <c r="F343" s="111"/>
      <c r="G343" s="113"/>
      <c r="H343" s="113"/>
    </row>
    <row r="344" ht="21.75" customHeight="1">
      <c r="A344" s="110"/>
      <c r="B344" s="111"/>
      <c r="C344" s="112"/>
      <c r="D344" s="111"/>
      <c r="E344" s="111"/>
      <c r="F344" s="111"/>
      <c r="G344" s="113"/>
      <c r="H344" s="113"/>
    </row>
    <row r="345" ht="21.75" customHeight="1">
      <c r="A345" s="110"/>
      <c r="B345" s="111"/>
      <c r="C345" s="112"/>
      <c r="D345" s="111"/>
      <c r="E345" s="111"/>
      <c r="F345" s="111"/>
      <c r="G345" s="113"/>
      <c r="H345" s="113"/>
    </row>
    <row r="346" ht="21.75" customHeight="1">
      <c r="A346" s="110"/>
      <c r="B346" s="111"/>
      <c r="C346" s="112"/>
      <c r="D346" s="111"/>
      <c r="E346" s="111"/>
      <c r="F346" s="111"/>
      <c r="G346" s="113"/>
      <c r="H346" s="113"/>
    </row>
    <row r="347" ht="21.75" customHeight="1">
      <c r="A347" s="110"/>
      <c r="B347" s="111"/>
      <c r="C347" s="112"/>
      <c r="D347" s="111"/>
      <c r="E347" s="111"/>
      <c r="F347" s="111"/>
      <c r="G347" s="113"/>
      <c r="H347" s="113"/>
    </row>
    <row r="348" ht="21.75" customHeight="1">
      <c r="A348" s="110"/>
      <c r="B348" s="111"/>
      <c r="C348" s="112"/>
      <c r="D348" s="111"/>
      <c r="E348" s="111"/>
      <c r="F348" s="111"/>
      <c r="G348" s="113"/>
      <c r="H348" s="113"/>
    </row>
    <row r="349" ht="21.75" customHeight="1">
      <c r="A349" s="110"/>
      <c r="B349" s="111"/>
      <c r="C349" s="112"/>
      <c r="D349" s="111"/>
      <c r="E349" s="111"/>
      <c r="F349" s="111"/>
      <c r="G349" s="113"/>
      <c r="H349" s="113"/>
    </row>
    <row r="350" ht="21.75" customHeight="1">
      <c r="A350" s="110"/>
      <c r="B350" s="111"/>
      <c r="C350" s="112"/>
      <c r="D350" s="111"/>
      <c r="E350" s="111"/>
      <c r="F350" s="111"/>
      <c r="G350" s="113"/>
      <c r="H350" s="113"/>
    </row>
    <row r="351" ht="21.75" customHeight="1">
      <c r="A351" s="110"/>
      <c r="B351" s="111"/>
      <c r="C351" s="112"/>
      <c r="D351" s="111"/>
      <c r="E351" s="111"/>
      <c r="F351" s="111"/>
      <c r="G351" s="113"/>
      <c r="H351" s="113"/>
    </row>
    <row r="352" ht="21.75" customHeight="1">
      <c r="A352" s="110"/>
      <c r="B352" s="111"/>
      <c r="C352" s="112"/>
      <c r="D352" s="111"/>
      <c r="E352" s="111"/>
      <c r="F352" s="111"/>
      <c r="G352" s="113"/>
      <c r="H352" s="113"/>
    </row>
    <row r="353" ht="21.75" customHeight="1">
      <c r="A353" s="110"/>
      <c r="B353" s="111"/>
      <c r="C353" s="112"/>
      <c r="D353" s="111"/>
      <c r="E353" s="111"/>
      <c r="F353" s="111"/>
      <c r="G353" s="113"/>
      <c r="H353" s="113"/>
    </row>
    <row r="354" ht="21.75" customHeight="1">
      <c r="A354" s="110"/>
      <c r="B354" s="111"/>
      <c r="C354" s="112"/>
      <c r="D354" s="111"/>
      <c r="E354" s="111"/>
      <c r="F354" s="111"/>
      <c r="G354" s="113"/>
      <c r="H354" s="113"/>
    </row>
    <row r="355" ht="21.75" customHeight="1">
      <c r="A355" s="110"/>
      <c r="B355" s="111"/>
      <c r="C355" s="112"/>
      <c r="D355" s="111"/>
      <c r="E355" s="111"/>
      <c r="F355" s="111"/>
      <c r="G355" s="113"/>
      <c r="H355" s="113"/>
    </row>
    <row r="356" ht="21.75" customHeight="1">
      <c r="A356" s="110"/>
      <c r="B356" s="111"/>
      <c r="C356" s="112"/>
      <c r="D356" s="111"/>
      <c r="E356" s="111"/>
      <c r="F356" s="111"/>
      <c r="G356" s="113"/>
      <c r="H356" s="113"/>
    </row>
    <row r="357" ht="21.75" customHeight="1">
      <c r="A357" s="110"/>
      <c r="B357" s="111"/>
      <c r="C357" s="112"/>
      <c r="D357" s="111"/>
      <c r="E357" s="111"/>
      <c r="F357" s="111"/>
      <c r="G357" s="113"/>
      <c r="H357" s="113"/>
    </row>
    <row r="358" ht="21.75" customHeight="1">
      <c r="A358" s="110"/>
      <c r="B358" s="111"/>
      <c r="C358" s="112"/>
      <c r="D358" s="111"/>
      <c r="E358" s="111"/>
      <c r="F358" s="111"/>
      <c r="G358" s="113"/>
      <c r="H358" s="113"/>
    </row>
    <row r="359" ht="21.75" customHeight="1">
      <c r="A359" s="110"/>
      <c r="B359" s="111"/>
      <c r="C359" s="112"/>
      <c r="D359" s="111"/>
      <c r="E359" s="111"/>
      <c r="F359" s="111"/>
      <c r="G359" s="113"/>
      <c r="H359" s="113"/>
    </row>
    <row r="360" ht="21.75" customHeight="1">
      <c r="A360" s="110"/>
      <c r="B360" s="111"/>
      <c r="C360" s="112"/>
      <c r="D360" s="111"/>
      <c r="E360" s="111"/>
      <c r="F360" s="111"/>
      <c r="G360" s="113"/>
      <c r="H360" s="113"/>
    </row>
    <row r="361" ht="21.75" customHeight="1">
      <c r="A361" s="110"/>
      <c r="B361" s="111"/>
      <c r="C361" s="112"/>
      <c r="D361" s="111"/>
      <c r="E361" s="111"/>
      <c r="F361" s="111"/>
      <c r="G361" s="113"/>
      <c r="H361" s="113"/>
    </row>
    <row r="362" ht="21.75" customHeight="1">
      <c r="A362" s="110"/>
      <c r="B362" s="111"/>
      <c r="C362" s="112"/>
      <c r="D362" s="111"/>
      <c r="E362" s="111"/>
      <c r="F362" s="111"/>
      <c r="G362" s="113"/>
      <c r="H362" s="113"/>
    </row>
    <row r="363" ht="21.75" customHeight="1">
      <c r="A363" s="110"/>
      <c r="B363" s="111"/>
      <c r="C363" s="112"/>
      <c r="D363" s="111"/>
      <c r="E363" s="111"/>
      <c r="F363" s="111"/>
      <c r="G363" s="113"/>
      <c r="H363" s="113"/>
    </row>
    <row r="364" ht="21.75" customHeight="1">
      <c r="A364" s="110"/>
      <c r="B364" s="111"/>
      <c r="C364" s="112"/>
      <c r="D364" s="111"/>
      <c r="E364" s="111"/>
      <c r="F364" s="111"/>
      <c r="G364" s="113"/>
      <c r="H364" s="113"/>
    </row>
    <row r="365" ht="21.75" customHeight="1">
      <c r="A365" s="110"/>
      <c r="B365" s="111"/>
      <c r="C365" s="112"/>
      <c r="D365" s="111"/>
      <c r="E365" s="111"/>
      <c r="F365" s="111"/>
      <c r="G365" s="113"/>
      <c r="H365" s="113"/>
    </row>
    <row r="366" ht="21.75" customHeight="1">
      <c r="A366" s="110"/>
      <c r="B366" s="111"/>
      <c r="C366" s="112"/>
      <c r="D366" s="111"/>
      <c r="E366" s="111"/>
      <c r="F366" s="111"/>
      <c r="G366" s="113"/>
      <c r="H366" s="113"/>
    </row>
    <row r="367" ht="21.75" customHeight="1">
      <c r="A367" s="110"/>
      <c r="B367" s="111"/>
      <c r="C367" s="112"/>
      <c r="D367" s="111"/>
      <c r="E367" s="111"/>
      <c r="F367" s="111"/>
      <c r="G367" s="113"/>
      <c r="H367" s="113"/>
    </row>
    <row r="368" ht="21.75" customHeight="1">
      <c r="A368" s="110"/>
      <c r="B368" s="111"/>
      <c r="C368" s="112"/>
      <c r="D368" s="111"/>
      <c r="E368" s="111"/>
      <c r="F368" s="111"/>
      <c r="G368" s="113"/>
      <c r="H368" s="113"/>
    </row>
    <row r="369" ht="21.75" customHeight="1">
      <c r="A369" s="110"/>
      <c r="B369" s="111"/>
      <c r="C369" s="112"/>
      <c r="D369" s="111"/>
      <c r="E369" s="111"/>
      <c r="F369" s="111"/>
      <c r="G369" s="113"/>
      <c r="H369" s="113"/>
    </row>
    <row r="370" ht="21.75" customHeight="1">
      <c r="A370" s="110"/>
      <c r="B370" s="111"/>
      <c r="C370" s="112"/>
      <c r="D370" s="111"/>
      <c r="E370" s="111"/>
      <c r="F370" s="111"/>
      <c r="G370" s="113"/>
      <c r="H370" s="113"/>
    </row>
    <row r="371" ht="21.75" customHeight="1">
      <c r="A371" s="110"/>
      <c r="B371" s="111"/>
      <c r="C371" s="112"/>
      <c r="D371" s="111"/>
      <c r="E371" s="111"/>
      <c r="F371" s="111"/>
      <c r="G371" s="113"/>
      <c r="H371" s="113"/>
    </row>
    <row r="372" ht="21.75" customHeight="1">
      <c r="A372" s="110"/>
      <c r="B372" s="111"/>
      <c r="C372" s="112"/>
      <c r="D372" s="111"/>
      <c r="E372" s="111"/>
      <c r="F372" s="111"/>
      <c r="G372" s="113"/>
      <c r="H372" s="113"/>
    </row>
    <row r="373" ht="21.75" customHeight="1">
      <c r="A373" s="110"/>
      <c r="B373" s="111"/>
      <c r="C373" s="112"/>
      <c r="D373" s="111"/>
      <c r="E373" s="111"/>
      <c r="F373" s="111"/>
      <c r="G373" s="113"/>
      <c r="H373" s="113"/>
    </row>
    <row r="374" ht="21.75" customHeight="1">
      <c r="A374" s="110"/>
      <c r="B374" s="111"/>
      <c r="C374" s="112"/>
      <c r="D374" s="111"/>
      <c r="E374" s="111"/>
      <c r="F374" s="111"/>
      <c r="G374" s="113"/>
      <c r="H374" s="113"/>
    </row>
    <row r="375" ht="21.75" customHeight="1">
      <c r="A375" s="110"/>
      <c r="B375" s="111"/>
      <c r="C375" s="112"/>
      <c r="D375" s="111"/>
      <c r="E375" s="111"/>
      <c r="F375" s="111"/>
      <c r="G375" s="113"/>
      <c r="H375" s="113"/>
    </row>
    <row r="376" ht="21.75" customHeight="1">
      <c r="A376" s="110"/>
      <c r="B376" s="111"/>
      <c r="C376" s="112"/>
      <c r="D376" s="111"/>
      <c r="E376" s="111"/>
      <c r="F376" s="111"/>
      <c r="G376" s="113"/>
      <c r="H376" s="113"/>
    </row>
    <row r="377" ht="21.75" customHeight="1">
      <c r="A377" s="110"/>
      <c r="B377" s="111"/>
      <c r="C377" s="112"/>
      <c r="D377" s="111"/>
      <c r="E377" s="111"/>
      <c r="F377" s="111"/>
      <c r="G377" s="113"/>
      <c r="H377" s="113"/>
    </row>
    <row r="378" ht="21.75" customHeight="1">
      <c r="A378" s="110"/>
      <c r="B378" s="111"/>
      <c r="C378" s="112"/>
      <c r="D378" s="111"/>
      <c r="E378" s="111"/>
      <c r="F378" s="111"/>
      <c r="G378" s="113"/>
      <c r="H378" s="113"/>
    </row>
    <row r="379" ht="21.75" customHeight="1">
      <c r="A379" s="110"/>
      <c r="B379" s="111"/>
      <c r="C379" s="112"/>
      <c r="D379" s="111"/>
      <c r="E379" s="111"/>
      <c r="F379" s="111"/>
      <c r="G379" s="113"/>
      <c r="H379" s="113"/>
    </row>
    <row r="380" ht="21.75" customHeight="1">
      <c r="A380" s="110"/>
      <c r="B380" s="111"/>
      <c r="C380" s="112"/>
      <c r="D380" s="111"/>
      <c r="E380" s="111"/>
      <c r="F380" s="111"/>
      <c r="G380" s="113"/>
      <c r="H380" s="113"/>
    </row>
    <row r="381" ht="21.75" customHeight="1">
      <c r="A381" s="110"/>
      <c r="B381" s="111"/>
      <c r="C381" s="112"/>
      <c r="D381" s="111"/>
      <c r="E381" s="111"/>
      <c r="F381" s="111"/>
      <c r="G381" s="113"/>
      <c r="H381" s="113"/>
    </row>
    <row r="382" ht="21.75" customHeight="1">
      <c r="A382" s="110"/>
      <c r="B382" s="111"/>
      <c r="C382" s="112"/>
      <c r="D382" s="111"/>
      <c r="E382" s="111"/>
      <c r="F382" s="111"/>
      <c r="G382" s="113"/>
      <c r="H382" s="113"/>
    </row>
    <row r="383" ht="21.75" customHeight="1">
      <c r="A383" s="110"/>
      <c r="B383" s="111"/>
      <c r="C383" s="112"/>
      <c r="D383" s="111"/>
      <c r="E383" s="111"/>
      <c r="F383" s="111"/>
      <c r="G383" s="113"/>
      <c r="H383" s="113"/>
    </row>
    <row r="384" ht="21.75" customHeight="1">
      <c r="A384" s="110"/>
      <c r="B384" s="111"/>
      <c r="C384" s="112"/>
      <c r="D384" s="111"/>
      <c r="E384" s="111"/>
      <c r="F384" s="111"/>
      <c r="G384" s="113"/>
      <c r="H384" s="113"/>
    </row>
    <row r="385" ht="21.75" customHeight="1">
      <c r="A385" s="110"/>
      <c r="B385" s="111"/>
      <c r="C385" s="112"/>
      <c r="D385" s="111"/>
      <c r="E385" s="111"/>
      <c r="F385" s="111"/>
      <c r="G385" s="113"/>
      <c r="H385" s="113"/>
    </row>
    <row r="386" ht="21.75" customHeight="1">
      <c r="A386" s="110"/>
      <c r="B386" s="111"/>
      <c r="C386" s="112"/>
      <c r="D386" s="111"/>
      <c r="E386" s="111"/>
      <c r="F386" s="111"/>
      <c r="G386" s="113"/>
      <c r="H386" s="113"/>
    </row>
    <row r="387" ht="21.75" customHeight="1">
      <c r="A387" s="110"/>
      <c r="B387" s="111"/>
      <c r="C387" s="112"/>
      <c r="D387" s="111"/>
      <c r="E387" s="111"/>
      <c r="F387" s="111"/>
      <c r="G387" s="113"/>
      <c r="H387" s="113"/>
    </row>
    <row r="388" ht="21.75" customHeight="1">
      <c r="A388" s="110"/>
      <c r="B388" s="111"/>
      <c r="C388" s="112"/>
      <c r="D388" s="111"/>
      <c r="E388" s="111"/>
      <c r="F388" s="111"/>
      <c r="G388" s="113"/>
      <c r="H388" s="113"/>
    </row>
    <row r="389" ht="21.75" customHeight="1">
      <c r="A389" s="110"/>
      <c r="B389" s="111"/>
      <c r="C389" s="112"/>
      <c r="D389" s="111"/>
      <c r="E389" s="111"/>
      <c r="F389" s="111"/>
      <c r="G389" s="113"/>
      <c r="H389" s="113"/>
    </row>
    <row r="390" ht="21.75" customHeight="1">
      <c r="A390" s="110"/>
      <c r="B390" s="111"/>
      <c r="C390" s="112"/>
      <c r="D390" s="111"/>
      <c r="E390" s="111"/>
      <c r="F390" s="111"/>
      <c r="G390" s="113"/>
      <c r="H390" s="113"/>
    </row>
    <row r="391" ht="21.75" customHeight="1">
      <c r="A391" s="110"/>
      <c r="B391" s="111"/>
      <c r="C391" s="112"/>
      <c r="D391" s="111"/>
      <c r="E391" s="111"/>
      <c r="F391" s="111"/>
      <c r="G391" s="113"/>
      <c r="H391" s="113"/>
    </row>
    <row r="392" ht="21.75" customHeight="1">
      <c r="A392" s="110"/>
      <c r="B392" s="111"/>
      <c r="C392" s="112"/>
      <c r="D392" s="111"/>
      <c r="E392" s="111"/>
      <c r="F392" s="111"/>
      <c r="G392" s="113"/>
      <c r="H392" s="113"/>
    </row>
    <row r="393" ht="21.75" customHeight="1">
      <c r="A393" s="110"/>
      <c r="B393" s="111"/>
      <c r="C393" s="112"/>
      <c r="D393" s="111"/>
      <c r="E393" s="111"/>
      <c r="F393" s="111"/>
      <c r="G393" s="113"/>
      <c r="H393" s="113"/>
    </row>
    <row r="394" ht="21.75" customHeight="1">
      <c r="A394" s="110"/>
      <c r="B394" s="111"/>
      <c r="C394" s="112"/>
      <c r="D394" s="111"/>
      <c r="E394" s="111"/>
      <c r="F394" s="111"/>
      <c r="G394" s="113"/>
      <c r="H394" s="113"/>
    </row>
    <row r="395" ht="21.75" customHeight="1">
      <c r="A395" s="110"/>
      <c r="B395" s="111"/>
      <c r="C395" s="112"/>
      <c r="D395" s="111"/>
      <c r="E395" s="111"/>
      <c r="F395" s="111"/>
      <c r="G395" s="113"/>
      <c r="H395" s="113"/>
    </row>
    <row r="396" ht="21.75" customHeight="1">
      <c r="A396" s="110"/>
      <c r="B396" s="111"/>
      <c r="C396" s="112"/>
      <c r="D396" s="111"/>
      <c r="E396" s="111"/>
      <c r="F396" s="111"/>
      <c r="G396" s="113"/>
      <c r="H396" s="113"/>
    </row>
    <row r="397" ht="21.75" customHeight="1">
      <c r="A397" s="110"/>
      <c r="B397" s="111"/>
      <c r="C397" s="112"/>
      <c r="D397" s="111"/>
      <c r="E397" s="111"/>
      <c r="F397" s="111"/>
      <c r="G397" s="113"/>
      <c r="H397" s="113"/>
    </row>
    <row r="398" ht="21.75" customHeight="1">
      <c r="A398" s="110"/>
      <c r="B398" s="111"/>
      <c r="C398" s="112"/>
      <c r="D398" s="111"/>
      <c r="E398" s="111"/>
      <c r="F398" s="111"/>
      <c r="G398" s="113"/>
      <c r="H398" s="113"/>
    </row>
    <row r="399" ht="21.75" customHeight="1">
      <c r="A399" s="110"/>
      <c r="B399" s="111"/>
      <c r="C399" s="112"/>
      <c r="D399" s="111"/>
      <c r="E399" s="111"/>
      <c r="F399" s="111"/>
      <c r="G399" s="113"/>
      <c r="H399" s="113"/>
    </row>
    <row r="400" ht="21.75" customHeight="1">
      <c r="A400" s="110"/>
      <c r="B400" s="111"/>
      <c r="C400" s="112"/>
      <c r="D400" s="111"/>
      <c r="E400" s="111"/>
      <c r="F400" s="111"/>
      <c r="G400" s="113"/>
      <c r="H400" s="113"/>
    </row>
    <row r="401" ht="21.75" customHeight="1">
      <c r="A401" s="110"/>
      <c r="B401" s="111"/>
      <c r="C401" s="112"/>
      <c r="D401" s="111"/>
      <c r="E401" s="111"/>
      <c r="F401" s="111"/>
      <c r="G401" s="113"/>
      <c r="H401" s="113"/>
    </row>
    <row r="402" ht="21.75" customHeight="1">
      <c r="A402" s="110"/>
      <c r="B402" s="111"/>
      <c r="C402" s="112"/>
      <c r="D402" s="111"/>
      <c r="E402" s="111"/>
      <c r="F402" s="111"/>
      <c r="G402" s="113"/>
      <c r="H402" s="113"/>
    </row>
    <row r="403" ht="21.75" customHeight="1">
      <c r="A403" s="110"/>
      <c r="B403" s="111"/>
      <c r="C403" s="112"/>
      <c r="D403" s="111"/>
      <c r="E403" s="111"/>
      <c r="F403" s="111"/>
      <c r="G403" s="113"/>
      <c r="H403" s="113"/>
    </row>
    <row r="404" ht="21.75" customHeight="1">
      <c r="A404" s="110"/>
      <c r="B404" s="111"/>
      <c r="C404" s="112"/>
      <c r="D404" s="111"/>
      <c r="E404" s="111"/>
      <c r="F404" s="111"/>
      <c r="G404" s="113"/>
      <c r="H404" s="113"/>
    </row>
    <row r="405" ht="21.75" customHeight="1">
      <c r="A405" s="110"/>
      <c r="B405" s="111"/>
      <c r="C405" s="112"/>
      <c r="D405" s="111"/>
      <c r="E405" s="111"/>
      <c r="F405" s="111"/>
      <c r="G405" s="113"/>
      <c r="H405" s="113"/>
    </row>
    <row r="406" ht="21.75" customHeight="1">
      <c r="A406" s="110"/>
      <c r="B406" s="111"/>
      <c r="C406" s="112"/>
      <c r="D406" s="111"/>
      <c r="E406" s="111"/>
      <c r="F406" s="111"/>
      <c r="G406" s="113"/>
      <c r="H406" s="113"/>
    </row>
    <row r="407" ht="21.75" customHeight="1">
      <c r="A407" s="110"/>
      <c r="B407" s="111"/>
      <c r="C407" s="112"/>
      <c r="D407" s="111"/>
      <c r="E407" s="111"/>
      <c r="F407" s="111"/>
      <c r="G407" s="113"/>
      <c r="H407" s="113"/>
    </row>
    <row r="408" ht="21.75" customHeight="1">
      <c r="A408" s="110"/>
      <c r="B408" s="111"/>
      <c r="C408" s="112"/>
      <c r="D408" s="111"/>
      <c r="E408" s="111"/>
      <c r="F408" s="111"/>
      <c r="G408" s="113"/>
      <c r="H408" s="113"/>
    </row>
    <row r="409" ht="21.75" customHeight="1">
      <c r="A409" s="110"/>
      <c r="B409" s="111"/>
      <c r="C409" s="112"/>
      <c r="D409" s="111"/>
      <c r="E409" s="111"/>
      <c r="F409" s="111"/>
      <c r="G409" s="113"/>
      <c r="H409" s="113"/>
    </row>
    <row r="410" ht="21.75" customHeight="1">
      <c r="A410" s="110"/>
      <c r="B410" s="111"/>
      <c r="C410" s="112"/>
      <c r="D410" s="111"/>
      <c r="E410" s="111"/>
      <c r="F410" s="111"/>
      <c r="G410" s="113"/>
      <c r="H410" s="113"/>
    </row>
    <row r="411" ht="21.75" customHeight="1">
      <c r="A411" s="110"/>
      <c r="B411" s="111"/>
      <c r="C411" s="112"/>
      <c r="D411" s="111"/>
      <c r="E411" s="111"/>
      <c r="F411" s="111"/>
      <c r="G411" s="113"/>
      <c r="H411" s="113"/>
    </row>
    <row r="412" ht="21.75" customHeight="1">
      <c r="A412" s="110"/>
      <c r="B412" s="111"/>
      <c r="C412" s="112"/>
      <c r="D412" s="111"/>
      <c r="E412" s="111"/>
      <c r="F412" s="111"/>
      <c r="G412" s="113"/>
      <c r="H412" s="113"/>
    </row>
    <row r="413" ht="21.75" customHeight="1">
      <c r="A413" s="110"/>
      <c r="B413" s="111"/>
      <c r="C413" s="112"/>
      <c r="D413" s="111"/>
      <c r="E413" s="111"/>
      <c r="F413" s="111"/>
      <c r="G413" s="113"/>
      <c r="H413" s="113"/>
    </row>
    <row r="414" ht="21.75" customHeight="1">
      <c r="A414" s="110"/>
      <c r="B414" s="111"/>
      <c r="C414" s="112"/>
      <c r="D414" s="111"/>
      <c r="E414" s="111"/>
      <c r="F414" s="111"/>
      <c r="G414" s="113"/>
      <c r="H414" s="113"/>
    </row>
    <row r="415" ht="21.75" customHeight="1">
      <c r="A415" s="110"/>
      <c r="B415" s="111"/>
      <c r="C415" s="112"/>
      <c r="D415" s="111"/>
      <c r="E415" s="111"/>
      <c r="F415" s="111"/>
      <c r="G415" s="113"/>
      <c r="H415" s="113"/>
    </row>
    <row r="416" ht="21.75" customHeight="1">
      <c r="A416" s="110"/>
      <c r="B416" s="111"/>
      <c r="C416" s="112"/>
      <c r="D416" s="111"/>
      <c r="E416" s="111"/>
      <c r="F416" s="111"/>
      <c r="G416" s="113"/>
      <c r="H416" s="113"/>
    </row>
    <row r="417" ht="21.75" customHeight="1">
      <c r="A417" s="110"/>
      <c r="B417" s="111"/>
      <c r="C417" s="112"/>
      <c r="D417" s="111"/>
      <c r="E417" s="111"/>
      <c r="F417" s="111"/>
      <c r="G417" s="113"/>
      <c r="H417" s="113"/>
    </row>
    <row r="418" ht="21.75" customHeight="1">
      <c r="A418" s="110"/>
      <c r="B418" s="111"/>
      <c r="C418" s="112"/>
      <c r="D418" s="111"/>
      <c r="E418" s="111"/>
      <c r="F418" s="111"/>
      <c r="G418" s="113"/>
      <c r="H418" s="113"/>
    </row>
    <row r="419" ht="21.75" customHeight="1">
      <c r="A419" s="110"/>
      <c r="B419" s="111"/>
      <c r="C419" s="112"/>
      <c r="D419" s="111"/>
      <c r="E419" s="111"/>
      <c r="F419" s="111"/>
      <c r="G419" s="113"/>
      <c r="H419" s="113"/>
    </row>
    <row r="420" ht="21.75" customHeight="1">
      <c r="A420" s="110"/>
      <c r="B420" s="111"/>
      <c r="C420" s="112"/>
      <c r="D420" s="111"/>
      <c r="E420" s="111"/>
      <c r="F420" s="111"/>
      <c r="G420" s="113"/>
      <c r="H420" s="113"/>
    </row>
    <row r="421" ht="21.75" customHeight="1">
      <c r="A421" s="110"/>
      <c r="B421" s="111"/>
      <c r="C421" s="112"/>
      <c r="D421" s="111"/>
      <c r="E421" s="111"/>
      <c r="F421" s="111"/>
      <c r="G421" s="113"/>
      <c r="H421" s="113"/>
    </row>
    <row r="422" ht="21.75" customHeight="1">
      <c r="A422" s="110"/>
      <c r="B422" s="111"/>
      <c r="C422" s="112"/>
      <c r="D422" s="111"/>
      <c r="E422" s="111"/>
      <c r="F422" s="111"/>
      <c r="G422" s="113"/>
      <c r="H422" s="113"/>
    </row>
    <row r="423" ht="21.75" customHeight="1">
      <c r="A423" s="110"/>
      <c r="B423" s="111"/>
      <c r="C423" s="112"/>
      <c r="D423" s="111"/>
      <c r="E423" s="111"/>
      <c r="F423" s="111"/>
      <c r="G423" s="113"/>
      <c r="H423" s="113"/>
    </row>
    <row r="424" ht="21.75" customHeight="1">
      <c r="A424" s="110"/>
      <c r="B424" s="111"/>
      <c r="C424" s="112"/>
      <c r="D424" s="111"/>
      <c r="E424" s="111"/>
      <c r="F424" s="111"/>
      <c r="G424" s="113"/>
      <c r="H424" s="113"/>
    </row>
    <row r="425" ht="21.75" customHeight="1">
      <c r="A425" s="110"/>
      <c r="B425" s="111"/>
      <c r="C425" s="112"/>
      <c r="D425" s="111"/>
      <c r="E425" s="111"/>
      <c r="F425" s="111"/>
      <c r="G425" s="113"/>
      <c r="H425" s="113"/>
    </row>
    <row r="426" ht="21.75" customHeight="1">
      <c r="A426" s="110"/>
      <c r="B426" s="111"/>
      <c r="C426" s="112"/>
      <c r="D426" s="111"/>
      <c r="E426" s="111"/>
      <c r="F426" s="111"/>
      <c r="G426" s="113"/>
      <c r="H426" s="113"/>
    </row>
    <row r="427" ht="21.75" customHeight="1">
      <c r="A427" s="110"/>
      <c r="B427" s="111"/>
      <c r="C427" s="112"/>
      <c r="D427" s="111"/>
      <c r="E427" s="111"/>
      <c r="F427" s="111"/>
      <c r="G427" s="113"/>
      <c r="H427" s="113"/>
    </row>
    <row r="428" ht="21.75" customHeight="1">
      <c r="A428" s="110"/>
      <c r="B428" s="111"/>
      <c r="C428" s="112"/>
      <c r="D428" s="111"/>
      <c r="E428" s="111"/>
      <c r="F428" s="111"/>
      <c r="G428" s="113"/>
      <c r="H428" s="113"/>
    </row>
    <row r="429" ht="21.75" customHeight="1">
      <c r="A429" s="110"/>
      <c r="B429" s="111"/>
      <c r="C429" s="112"/>
      <c r="D429" s="111"/>
      <c r="E429" s="111"/>
      <c r="F429" s="111"/>
      <c r="G429" s="113"/>
      <c r="H429" s="113"/>
    </row>
    <row r="430" ht="21.75" customHeight="1">
      <c r="A430" s="110"/>
      <c r="B430" s="111"/>
      <c r="C430" s="112"/>
      <c r="D430" s="111"/>
      <c r="E430" s="111"/>
      <c r="F430" s="111"/>
      <c r="G430" s="113"/>
      <c r="H430" s="113"/>
    </row>
    <row r="431" ht="21.75" customHeight="1">
      <c r="A431" s="110"/>
      <c r="B431" s="111"/>
      <c r="C431" s="112"/>
      <c r="D431" s="111"/>
      <c r="E431" s="111"/>
      <c r="F431" s="111"/>
      <c r="G431" s="113"/>
      <c r="H431" s="113"/>
    </row>
    <row r="432" ht="21.75" customHeight="1">
      <c r="A432" s="110"/>
      <c r="B432" s="111"/>
      <c r="C432" s="112"/>
      <c r="D432" s="111"/>
      <c r="E432" s="111"/>
      <c r="F432" s="111"/>
      <c r="G432" s="113"/>
      <c r="H432" s="113"/>
    </row>
    <row r="433" ht="21.75" customHeight="1">
      <c r="A433" s="110"/>
      <c r="B433" s="111"/>
      <c r="C433" s="112"/>
      <c r="D433" s="111"/>
      <c r="E433" s="111"/>
      <c r="F433" s="111"/>
      <c r="G433" s="113"/>
      <c r="H433" s="113"/>
    </row>
    <row r="434" ht="21.75" customHeight="1">
      <c r="A434" s="110"/>
      <c r="B434" s="111"/>
      <c r="C434" s="112"/>
      <c r="D434" s="111"/>
      <c r="E434" s="111"/>
      <c r="F434" s="111"/>
      <c r="G434" s="113"/>
      <c r="H434" s="113"/>
    </row>
    <row r="435" ht="21.75" customHeight="1">
      <c r="A435" s="110"/>
      <c r="B435" s="111"/>
      <c r="C435" s="112"/>
      <c r="D435" s="111"/>
      <c r="E435" s="111"/>
      <c r="F435" s="111"/>
      <c r="G435" s="113"/>
      <c r="H435" s="113"/>
    </row>
    <row r="436" ht="21.75" customHeight="1">
      <c r="A436" s="110"/>
      <c r="B436" s="111"/>
      <c r="C436" s="112"/>
      <c r="D436" s="111"/>
      <c r="E436" s="111"/>
      <c r="F436" s="111"/>
      <c r="G436" s="113"/>
      <c r="H436" s="113"/>
    </row>
    <row r="437" ht="21.75" customHeight="1">
      <c r="A437" s="110"/>
      <c r="B437" s="111"/>
      <c r="C437" s="112"/>
      <c r="D437" s="111"/>
      <c r="E437" s="111"/>
      <c r="F437" s="111"/>
      <c r="G437" s="113"/>
      <c r="H437" s="113"/>
    </row>
    <row r="438" ht="21.75" customHeight="1">
      <c r="A438" s="110"/>
      <c r="B438" s="111"/>
      <c r="C438" s="112"/>
      <c r="D438" s="111"/>
      <c r="E438" s="111"/>
      <c r="F438" s="111"/>
      <c r="G438" s="113"/>
      <c r="H438" s="113"/>
    </row>
    <row r="439" ht="21.75" customHeight="1">
      <c r="A439" s="110"/>
      <c r="B439" s="111"/>
      <c r="C439" s="112"/>
      <c r="D439" s="111"/>
      <c r="E439" s="111"/>
      <c r="F439" s="111"/>
      <c r="G439" s="113"/>
      <c r="H439" s="113"/>
    </row>
    <row r="440" ht="21.75" customHeight="1">
      <c r="A440" s="110"/>
      <c r="B440" s="111"/>
      <c r="C440" s="112"/>
      <c r="D440" s="111"/>
      <c r="E440" s="111"/>
      <c r="F440" s="111"/>
      <c r="G440" s="113"/>
      <c r="H440" s="113"/>
    </row>
    <row r="441" ht="21.75" customHeight="1">
      <c r="A441" s="110"/>
      <c r="B441" s="111"/>
      <c r="C441" s="112"/>
      <c r="D441" s="111"/>
      <c r="E441" s="111"/>
      <c r="F441" s="111"/>
      <c r="G441" s="113"/>
      <c r="H441" s="113"/>
    </row>
    <row r="442" ht="21.75" customHeight="1">
      <c r="A442" s="110"/>
      <c r="B442" s="111"/>
      <c r="C442" s="112"/>
      <c r="D442" s="111"/>
      <c r="E442" s="111"/>
      <c r="F442" s="111"/>
      <c r="G442" s="113"/>
      <c r="H442" s="113"/>
    </row>
    <row r="443" ht="21.75" customHeight="1">
      <c r="A443" s="110"/>
      <c r="B443" s="111"/>
      <c r="C443" s="112"/>
      <c r="D443" s="111"/>
      <c r="E443" s="111"/>
      <c r="F443" s="111"/>
      <c r="G443" s="113"/>
      <c r="H443" s="113"/>
    </row>
    <row r="444" ht="21.75" customHeight="1">
      <c r="A444" s="110"/>
      <c r="B444" s="111"/>
      <c r="C444" s="112"/>
      <c r="D444" s="111"/>
      <c r="E444" s="111"/>
      <c r="F444" s="111"/>
      <c r="G444" s="113"/>
      <c r="H444" s="113"/>
    </row>
    <row r="445" ht="21.75" customHeight="1">
      <c r="A445" s="110"/>
      <c r="B445" s="111"/>
      <c r="C445" s="112"/>
      <c r="D445" s="111"/>
      <c r="E445" s="111"/>
      <c r="F445" s="111"/>
      <c r="G445" s="113"/>
      <c r="H445" s="113"/>
    </row>
    <row r="446" ht="21.75" customHeight="1">
      <c r="A446" s="110"/>
      <c r="B446" s="111"/>
      <c r="C446" s="112"/>
      <c r="D446" s="111"/>
      <c r="E446" s="111"/>
      <c r="F446" s="111"/>
      <c r="G446" s="113"/>
      <c r="H446" s="113"/>
    </row>
    <row r="447" ht="21.75" customHeight="1">
      <c r="A447" s="110"/>
      <c r="B447" s="111"/>
      <c r="C447" s="112"/>
      <c r="D447" s="111"/>
      <c r="E447" s="111"/>
      <c r="F447" s="111"/>
      <c r="G447" s="113"/>
      <c r="H447" s="113"/>
    </row>
    <row r="448" ht="21.75" customHeight="1">
      <c r="A448" s="110"/>
      <c r="B448" s="111"/>
      <c r="C448" s="112"/>
      <c r="D448" s="111"/>
      <c r="E448" s="111"/>
      <c r="F448" s="111"/>
      <c r="G448" s="113"/>
      <c r="H448" s="113"/>
    </row>
    <row r="449" ht="21.75" customHeight="1">
      <c r="A449" s="110"/>
      <c r="B449" s="111"/>
      <c r="C449" s="112"/>
      <c r="D449" s="111"/>
      <c r="E449" s="111"/>
      <c r="F449" s="111"/>
      <c r="G449" s="113"/>
      <c r="H449" s="113"/>
    </row>
    <row r="450" ht="21.75" customHeight="1">
      <c r="A450" s="110"/>
      <c r="B450" s="111"/>
      <c r="C450" s="112"/>
      <c r="D450" s="111"/>
      <c r="E450" s="111"/>
      <c r="F450" s="111"/>
      <c r="G450" s="113"/>
      <c r="H450" s="113"/>
    </row>
    <row r="451" ht="21.75" customHeight="1">
      <c r="A451" s="110"/>
      <c r="B451" s="111"/>
      <c r="C451" s="112"/>
      <c r="D451" s="111"/>
      <c r="E451" s="111"/>
      <c r="F451" s="111"/>
      <c r="G451" s="113"/>
      <c r="H451" s="113"/>
    </row>
    <row r="452" ht="21.75" customHeight="1">
      <c r="A452" s="110"/>
      <c r="B452" s="111"/>
      <c r="C452" s="112"/>
      <c r="D452" s="111"/>
      <c r="E452" s="111"/>
      <c r="F452" s="111"/>
      <c r="G452" s="113"/>
      <c r="H452" s="113"/>
    </row>
    <row r="453" ht="21.75" customHeight="1">
      <c r="A453" s="110"/>
      <c r="B453" s="111"/>
      <c r="C453" s="112"/>
      <c r="D453" s="111"/>
      <c r="E453" s="111"/>
      <c r="F453" s="111"/>
      <c r="G453" s="113"/>
      <c r="H453" s="113"/>
    </row>
    <row r="454" ht="21.75" customHeight="1">
      <c r="A454" s="110"/>
      <c r="B454" s="111"/>
      <c r="C454" s="112"/>
      <c r="D454" s="111"/>
      <c r="E454" s="111"/>
      <c r="F454" s="111"/>
      <c r="G454" s="113"/>
      <c r="H454" s="113"/>
    </row>
    <row r="455" ht="21.75" customHeight="1">
      <c r="A455" s="110"/>
      <c r="B455" s="111"/>
      <c r="C455" s="112"/>
      <c r="D455" s="111"/>
      <c r="E455" s="111"/>
      <c r="F455" s="111"/>
      <c r="G455" s="113"/>
      <c r="H455" s="113"/>
    </row>
    <row r="456" ht="21.75" customHeight="1">
      <c r="A456" s="110"/>
      <c r="B456" s="111"/>
      <c r="C456" s="112"/>
      <c r="D456" s="111"/>
      <c r="E456" s="111"/>
      <c r="F456" s="111"/>
      <c r="G456" s="113"/>
      <c r="H456" s="113"/>
    </row>
    <row r="457" ht="21.75" customHeight="1">
      <c r="A457" s="110"/>
      <c r="B457" s="111"/>
      <c r="C457" s="112"/>
      <c r="D457" s="111"/>
      <c r="E457" s="111"/>
      <c r="F457" s="111"/>
      <c r="G457" s="113"/>
      <c r="H457" s="113"/>
    </row>
    <row r="458" ht="21.75" customHeight="1">
      <c r="A458" s="110"/>
      <c r="B458" s="111"/>
      <c r="C458" s="112"/>
      <c r="D458" s="111"/>
      <c r="E458" s="111"/>
      <c r="F458" s="111"/>
      <c r="G458" s="113"/>
      <c r="H458" s="113"/>
    </row>
    <row r="459" ht="21.75" customHeight="1">
      <c r="A459" s="110"/>
      <c r="B459" s="111"/>
      <c r="C459" s="112"/>
      <c r="D459" s="111"/>
      <c r="E459" s="111"/>
      <c r="F459" s="111"/>
      <c r="G459" s="113"/>
      <c r="H459" s="113"/>
    </row>
    <row r="460" ht="21.75" customHeight="1">
      <c r="A460" s="110"/>
      <c r="B460" s="111"/>
      <c r="C460" s="112"/>
      <c r="D460" s="111"/>
      <c r="E460" s="111"/>
      <c r="F460" s="111"/>
      <c r="G460" s="113"/>
      <c r="H460" s="113"/>
    </row>
    <row r="461" ht="21.75" customHeight="1">
      <c r="A461" s="110"/>
      <c r="B461" s="111"/>
      <c r="C461" s="112"/>
      <c r="D461" s="111"/>
      <c r="E461" s="111"/>
      <c r="F461" s="111"/>
      <c r="G461" s="113"/>
      <c r="H461" s="113"/>
    </row>
    <row r="462" ht="21.75" customHeight="1">
      <c r="A462" s="110"/>
      <c r="B462" s="111"/>
      <c r="C462" s="112"/>
      <c r="D462" s="111"/>
      <c r="E462" s="111"/>
      <c r="F462" s="111"/>
      <c r="G462" s="113"/>
      <c r="H462" s="113"/>
    </row>
    <row r="463" ht="21.75" customHeight="1">
      <c r="A463" s="110"/>
      <c r="B463" s="111"/>
      <c r="C463" s="112"/>
      <c r="D463" s="111"/>
      <c r="E463" s="111"/>
      <c r="F463" s="111"/>
      <c r="G463" s="113"/>
      <c r="H463" s="113"/>
    </row>
    <row r="464" ht="21.75" customHeight="1">
      <c r="A464" s="110"/>
      <c r="B464" s="111"/>
      <c r="C464" s="112"/>
      <c r="D464" s="111"/>
      <c r="E464" s="111"/>
      <c r="F464" s="111"/>
      <c r="G464" s="113"/>
      <c r="H464" s="113"/>
    </row>
    <row r="465" ht="21.75" customHeight="1">
      <c r="A465" s="110"/>
      <c r="B465" s="111"/>
      <c r="C465" s="112"/>
      <c r="D465" s="111"/>
      <c r="E465" s="111"/>
      <c r="F465" s="111"/>
      <c r="G465" s="113"/>
      <c r="H465" s="113"/>
    </row>
    <row r="466" ht="21.75" customHeight="1">
      <c r="A466" s="110"/>
      <c r="B466" s="111"/>
      <c r="C466" s="112"/>
      <c r="D466" s="111"/>
      <c r="E466" s="111"/>
      <c r="F466" s="111"/>
      <c r="G466" s="113"/>
      <c r="H466" s="113"/>
    </row>
    <row r="467" ht="21.75" customHeight="1">
      <c r="A467" s="110"/>
      <c r="B467" s="111"/>
      <c r="C467" s="112"/>
      <c r="D467" s="111"/>
      <c r="E467" s="111"/>
      <c r="F467" s="111"/>
      <c r="G467" s="113"/>
      <c r="H467" s="113"/>
    </row>
    <row r="468" ht="21.75" customHeight="1">
      <c r="A468" s="110"/>
      <c r="B468" s="111"/>
      <c r="C468" s="112"/>
      <c r="D468" s="111"/>
      <c r="E468" s="111"/>
      <c r="F468" s="111"/>
      <c r="G468" s="113"/>
      <c r="H468" s="113"/>
    </row>
    <row r="469" ht="21.75" customHeight="1">
      <c r="A469" s="110"/>
      <c r="B469" s="111"/>
      <c r="C469" s="112"/>
      <c r="D469" s="111"/>
      <c r="E469" s="111"/>
      <c r="F469" s="111"/>
      <c r="G469" s="113"/>
      <c r="H469" s="113"/>
    </row>
    <row r="470" ht="21.75" customHeight="1">
      <c r="A470" s="110"/>
      <c r="B470" s="111"/>
      <c r="C470" s="112"/>
      <c r="D470" s="111"/>
      <c r="E470" s="111"/>
      <c r="F470" s="111"/>
      <c r="G470" s="113"/>
      <c r="H470" s="113"/>
    </row>
    <row r="471" ht="21.75" customHeight="1">
      <c r="A471" s="110"/>
      <c r="B471" s="111"/>
      <c r="C471" s="112"/>
      <c r="D471" s="111"/>
      <c r="E471" s="111"/>
      <c r="F471" s="111"/>
      <c r="G471" s="113"/>
      <c r="H471" s="113"/>
    </row>
    <row r="472" ht="21.75" customHeight="1">
      <c r="A472" s="110"/>
      <c r="B472" s="111"/>
      <c r="C472" s="112"/>
      <c r="D472" s="111"/>
      <c r="E472" s="111"/>
      <c r="F472" s="111"/>
      <c r="G472" s="113"/>
      <c r="H472" s="113"/>
    </row>
    <row r="473" ht="21.75" customHeight="1">
      <c r="A473" s="110"/>
      <c r="B473" s="111"/>
      <c r="C473" s="112"/>
      <c r="D473" s="111"/>
      <c r="E473" s="111"/>
      <c r="F473" s="111"/>
      <c r="G473" s="113"/>
      <c r="H473" s="113"/>
    </row>
    <row r="474" ht="21.75" customHeight="1">
      <c r="A474" s="110"/>
      <c r="B474" s="111"/>
      <c r="C474" s="112"/>
      <c r="D474" s="111"/>
      <c r="E474" s="111"/>
      <c r="F474" s="111"/>
      <c r="G474" s="113"/>
      <c r="H474" s="113"/>
    </row>
    <row r="475" ht="21.75" customHeight="1">
      <c r="A475" s="110"/>
      <c r="B475" s="111"/>
      <c r="C475" s="112"/>
      <c r="D475" s="111"/>
      <c r="E475" s="111"/>
      <c r="F475" s="111"/>
      <c r="G475" s="113"/>
      <c r="H475" s="113"/>
    </row>
    <row r="476" ht="21.75" customHeight="1">
      <c r="A476" s="110"/>
      <c r="B476" s="111"/>
      <c r="C476" s="112"/>
      <c r="D476" s="111"/>
      <c r="E476" s="111"/>
      <c r="F476" s="111"/>
      <c r="G476" s="113"/>
      <c r="H476" s="113"/>
    </row>
    <row r="477" ht="21.75" customHeight="1">
      <c r="A477" s="110"/>
      <c r="B477" s="111"/>
      <c r="C477" s="112"/>
      <c r="D477" s="111"/>
      <c r="E477" s="111"/>
      <c r="F477" s="111"/>
      <c r="G477" s="113"/>
      <c r="H477" s="113"/>
    </row>
    <row r="478" ht="21.75" customHeight="1">
      <c r="A478" s="110"/>
      <c r="B478" s="111"/>
      <c r="C478" s="112"/>
      <c r="D478" s="111"/>
      <c r="E478" s="111"/>
      <c r="F478" s="111"/>
      <c r="G478" s="113"/>
      <c r="H478" s="113"/>
    </row>
    <row r="479" ht="21.75" customHeight="1">
      <c r="A479" s="110"/>
      <c r="B479" s="111"/>
      <c r="C479" s="112"/>
      <c r="D479" s="111"/>
      <c r="E479" s="111"/>
      <c r="F479" s="111"/>
      <c r="G479" s="113"/>
      <c r="H479" s="113"/>
    </row>
    <row r="480" ht="21.75" customHeight="1">
      <c r="A480" s="110"/>
      <c r="B480" s="111"/>
      <c r="C480" s="112"/>
      <c r="D480" s="111"/>
      <c r="E480" s="111"/>
      <c r="F480" s="111"/>
      <c r="G480" s="113"/>
      <c r="H480" s="113"/>
    </row>
    <row r="481" ht="21.75" customHeight="1">
      <c r="A481" s="110"/>
      <c r="B481" s="111"/>
      <c r="C481" s="112"/>
      <c r="D481" s="111"/>
      <c r="E481" s="111"/>
      <c r="F481" s="111"/>
      <c r="G481" s="113"/>
      <c r="H481" s="113"/>
    </row>
    <row r="482" ht="21.75" customHeight="1">
      <c r="A482" s="110"/>
      <c r="B482" s="111"/>
      <c r="C482" s="112"/>
      <c r="D482" s="111"/>
      <c r="E482" s="111"/>
      <c r="F482" s="111"/>
      <c r="G482" s="113"/>
      <c r="H482" s="113"/>
    </row>
    <row r="483" ht="21.75" customHeight="1">
      <c r="A483" s="110"/>
      <c r="B483" s="111"/>
      <c r="C483" s="112"/>
      <c r="D483" s="111"/>
      <c r="E483" s="111"/>
      <c r="F483" s="111"/>
      <c r="G483" s="113"/>
      <c r="H483" s="113"/>
    </row>
    <row r="484" ht="21.75" customHeight="1">
      <c r="A484" s="110"/>
      <c r="B484" s="111"/>
      <c r="C484" s="112"/>
      <c r="D484" s="111"/>
      <c r="E484" s="111"/>
      <c r="F484" s="111"/>
      <c r="G484" s="113"/>
      <c r="H484" s="113"/>
    </row>
    <row r="485" ht="21.75" customHeight="1">
      <c r="A485" s="110"/>
      <c r="B485" s="111"/>
      <c r="C485" s="112"/>
      <c r="D485" s="111"/>
      <c r="E485" s="111"/>
      <c r="F485" s="111"/>
      <c r="G485" s="113"/>
      <c r="H485" s="113"/>
    </row>
    <row r="486" ht="21.75" customHeight="1">
      <c r="A486" s="110"/>
      <c r="B486" s="111"/>
      <c r="C486" s="112"/>
      <c r="D486" s="111"/>
      <c r="E486" s="111"/>
      <c r="F486" s="111"/>
      <c r="G486" s="113"/>
      <c r="H486" s="113"/>
    </row>
    <row r="487" ht="21.75" customHeight="1">
      <c r="A487" s="110"/>
      <c r="B487" s="111"/>
      <c r="C487" s="112"/>
      <c r="D487" s="111"/>
      <c r="E487" s="111"/>
      <c r="F487" s="111"/>
      <c r="G487" s="113"/>
      <c r="H487" s="113"/>
    </row>
    <row r="488" ht="21.75" customHeight="1">
      <c r="A488" s="110"/>
      <c r="B488" s="111"/>
      <c r="C488" s="112"/>
      <c r="D488" s="111"/>
      <c r="E488" s="111"/>
      <c r="F488" s="111"/>
      <c r="G488" s="113"/>
      <c r="H488" s="113"/>
    </row>
    <row r="489" ht="21.75" customHeight="1">
      <c r="A489" s="110"/>
      <c r="B489" s="111"/>
      <c r="C489" s="112"/>
      <c r="D489" s="111"/>
      <c r="E489" s="111"/>
      <c r="F489" s="111"/>
      <c r="G489" s="113"/>
      <c r="H489" s="113"/>
    </row>
    <row r="490" ht="21.75" customHeight="1">
      <c r="A490" s="110"/>
      <c r="B490" s="111"/>
      <c r="C490" s="112"/>
      <c r="D490" s="111"/>
      <c r="E490" s="111"/>
      <c r="F490" s="111"/>
      <c r="G490" s="113"/>
      <c r="H490" s="113"/>
    </row>
    <row r="491" ht="21.75" customHeight="1">
      <c r="A491" s="110"/>
      <c r="B491" s="111"/>
      <c r="C491" s="112"/>
      <c r="D491" s="111"/>
      <c r="E491" s="111"/>
      <c r="F491" s="111"/>
      <c r="G491" s="113"/>
      <c r="H491" s="113"/>
    </row>
    <row r="492" ht="21.75" customHeight="1">
      <c r="A492" s="110"/>
      <c r="B492" s="111"/>
      <c r="C492" s="112"/>
      <c r="D492" s="111"/>
      <c r="E492" s="111"/>
      <c r="F492" s="111"/>
      <c r="G492" s="113"/>
      <c r="H492" s="113"/>
    </row>
    <row r="493" ht="21.75" customHeight="1">
      <c r="A493" s="110"/>
      <c r="B493" s="111"/>
      <c r="C493" s="112"/>
      <c r="D493" s="111"/>
      <c r="E493" s="111"/>
      <c r="F493" s="111"/>
      <c r="G493" s="113"/>
      <c r="H493" s="113"/>
    </row>
    <row r="494" ht="21.75" customHeight="1">
      <c r="A494" s="110"/>
      <c r="B494" s="111"/>
      <c r="C494" s="112"/>
      <c r="D494" s="111"/>
      <c r="E494" s="111"/>
      <c r="F494" s="111"/>
      <c r="G494" s="113"/>
      <c r="H494" s="113"/>
    </row>
    <row r="495" ht="21.75" customHeight="1">
      <c r="A495" s="110"/>
      <c r="B495" s="111"/>
      <c r="C495" s="112"/>
      <c r="D495" s="111"/>
      <c r="E495" s="111"/>
      <c r="F495" s="111"/>
      <c r="G495" s="113"/>
      <c r="H495" s="113"/>
    </row>
    <row r="496" ht="21.75" customHeight="1">
      <c r="A496" s="110"/>
      <c r="B496" s="111"/>
      <c r="C496" s="112"/>
      <c r="D496" s="111"/>
      <c r="E496" s="111"/>
      <c r="F496" s="111"/>
      <c r="G496" s="113"/>
      <c r="H496" s="113"/>
    </row>
    <row r="497" ht="21.75" customHeight="1">
      <c r="A497" s="110"/>
      <c r="B497" s="111"/>
      <c r="C497" s="112"/>
      <c r="D497" s="111"/>
      <c r="E497" s="111"/>
      <c r="F497" s="111"/>
      <c r="G497" s="113"/>
      <c r="H497" s="113"/>
    </row>
    <row r="498" ht="21.75" customHeight="1">
      <c r="A498" s="110"/>
      <c r="B498" s="111"/>
      <c r="C498" s="112"/>
      <c r="D498" s="111"/>
      <c r="E498" s="111"/>
      <c r="F498" s="111"/>
      <c r="G498" s="113"/>
      <c r="H498" s="113"/>
    </row>
    <row r="499" ht="21.75" customHeight="1">
      <c r="A499" s="110"/>
      <c r="B499" s="111"/>
      <c r="C499" s="112"/>
      <c r="D499" s="111"/>
      <c r="E499" s="111"/>
      <c r="F499" s="111"/>
      <c r="G499" s="113"/>
      <c r="H499" s="113"/>
    </row>
    <row r="500" ht="21.75" customHeight="1">
      <c r="A500" s="110"/>
      <c r="B500" s="111"/>
      <c r="C500" s="112"/>
      <c r="D500" s="111"/>
      <c r="E500" s="111"/>
      <c r="F500" s="111"/>
      <c r="G500" s="113"/>
      <c r="H500" s="113"/>
    </row>
    <row r="501" ht="21.75" customHeight="1">
      <c r="A501" s="110"/>
      <c r="B501" s="111"/>
      <c r="C501" s="112"/>
      <c r="D501" s="111"/>
      <c r="E501" s="111"/>
      <c r="F501" s="111"/>
      <c r="G501" s="113"/>
      <c r="H501" s="113"/>
    </row>
    <row r="502" ht="21.75" customHeight="1">
      <c r="A502" s="110"/>
      <c r="B502" s="111"/>
      <c r="C502" s="112"/>
      <c r="D502" s="111"/>
      <c r="E502" s="111"/>
      <c r="F502" s="111"/>
      <c r="G502" s="113"/>
      <c r="H502" s="113"/>
    </row>
    <row r="503" ht="21.75" customHeight="1">
      <c r="A503" s="110"/>
      <c r="B503" s="111"/>
      <c r="C503" s="112"/>
      <c r="D503" s="111"/>
      <c r="E503" s="111"/>
      <c r="F503" s="111"/>
      <c r="G503" s="113"/>
      <c r="H503" s="113"/>
    </row>
    <row r="504" ht="21.75" customHeight="1">
      <c r="A504" s="110"/>
      <c r="B504" s="111"/>
      <c r="C504" s="112"/>
      <c r="D504" s="111"/>
      <c r="E504" s="111"/>
      <c r="F504" s="111"/>
      <c r="G504" s="113"/>
      <c r="H504" s="113"/>
    </row>
    <row r="505" ht="21.75" customHeight="1">
      <c r="A505" s="110"/>
      <c r="B505" s="111"/>
      <c r="C505" s="112"/>
      <c r="D505" s="111"/>
      <c r="E505" s="111"/>
      <c r="F505" s="111"/>
      <c r="G505" s="113"/>
      <c r="H505" s="113"/>
    </row>
    <row r="506" ht="21.75" customHeight="1">
      <c r="A506" s="110"/>
      <c r="B506" s="111"/>
      <c r="C506" s="112"/>
      <c r="D506" s="111"/>
      <c r="E506" s="111"/>
      <c r="F506" s="111"/>
      <c r="G506" s="113"/>
      <c r="H506" s="113"/>
    </row>
    <row r="507" ht="21.75" customHeight="1">
      <c r="A507" s="110"/>
      <c r="B507" s="111"/>
      <c r="C507" s="112"/>
      <c r="D507" s="111"/>
      <c r="E507" s="111"/>
      <c r="F507" s="111"/>
      <c r="G507" s="113"/>
      <c r="H507" s="113"/>
    </row>
    <row r="508" ht="21.75" customHeight="1">
      <c r="A508" s="110"/>
      <c r="B508" s="111"/>
      <c r="C508" s="112"/>
      <c r="D508" s="111"/>
      <c r="E508" s="111"/>
      <c r="F508" s="111"/>
      <c r="G508" s="113"/>
      <c r="H508" s="113"/>
    </row>
    <row r="509" ht="21.75" customHeight="1">
      <c r="A509" s="110"/>
      <c r="B509" s="111"/>
      <c r="C509" s="112"/>
      <c r="D509" s="111"/>
      <c r="E509" s="111"/>
      <c r="F509" s="111"/>
      <c r="G509" s="113"/>
      <c r="H509" s="113"/>
    </row>
    <row r="510" ht="21.75" customHeight="1">
      <c r="A510" s="110"/>
      <c r="B510" s="111"/>
      <c r="C510" s="112"/>
      <c r="D510" s="111"/>
      <c r="E510" s="111"/>
      <c r="F510" s="111"/>
      <c r="G510" s="113"/>
      <c r="H510" s="113"/>
    </row>
    <row r="511" ht="21.75" customHeight="1">
      <c r="A511" s="110"/>
      <c r="B511" s="111"/>
      <c r="C511" s="112"/>
      <c r="D511" s="111"/>
      <c r="E511" s="111"/>
      <c r="F511" s="111"/>
      <c r="G511" s="113"/>
      <c r="H511" s="113"/>
    </row>
    <row r="512" ht="21.75" customHeight="1">
      <c r="A512" s="110"/>
      <c r="B512" s="111"/>
      <c r="C512" s="112"/>
      <c r="D512" s="111"/>
      <c r="E512" s="111"/>
      <c r="F512" s="111"/>
      <c r="G512" s="113"/>
      <c r="H512" s="113"/>
    </row>
    <row r="513" ht="21.75" customHeight="1">
      <c r="A513" s="110"/>
      <c r="B513" s="111"/>
      <c r="C513" s="112"/>
      <c r="D513" s="111"/>
      <c r="E513" s="111"/>
      <c r="F513" s="111"/>
      <c r="G513" s="113"/>
      <c r="H513" s="113"/>
    </row>
    <row r="514" ht="21.75" customHeight="1">
      <c r="A514" s="110"/>
      <c r="B514" s="111"/>
      <c r="C514" s="112"/>
      <c r="D514" s="111"/>
      <c r="E514" s="111"/>
      <c r="F514" s="111"/>
      <c r="G514" s="113"/>
      <c r="H514" s="113"/>
    </row>
    <row r="515" ht="21.75" customHeight="1">
      <c r="A515" s="110"/>
      <c r="B515" s="111"/>
      <c r="C515" s="112"/>
      <c r="D515" s="111"/>
      <c r="E515" s="111"/>
      <c r="F515" s="111"/>
      <c r="G515" s="113"/>
      <c r="H515" s="113"/>
    </row>
    <row r="516" ht="21.75" customHeight="1">
      <c r="A516" s="110"/>
      <c r="B516" s="111"/>
      <c r="C516" s="112"/>
      <c r="D516" s="111"/>
      <c r="E516" s="111"/>
      <c r="F516" s="111"/>
      <c r="G516" s="113"/>
      <c r="H516" s="113"/>
    </row>
    <row r="517" ht="21.75" customHeight="1">
      <c r="A517" s="110"/>
      <c r="B517" s="111"/>
      <c r="C517" s="112"/>
      <c r="D517" s="111"/>
      <c r="E517" s="111"/>
      <c r="F517" s="111"/>
      <c r="G517" s="113"/>
      <c r="H517" s="113"/>
    </row>
    <row r="518" ht="21.75" customHeight="1">
      <c r="A518" s="110"/>
      <c r="B518" s="111"/>
      <c r="C518" s="112"/>
      <c r="D518" s="111"/>
      <c r="E518" s="111"/>
      <c r="F518" s="111"/>
      <c r="G518" s="113"/>
      <c r="H518" s="113"/>
    </row>
    <row r="519" ht="21.75" customHeight="1">
      <c r="A519" s="110"/>
      <c r="B519" s="111"/>
      <c r="C519" s="112"/>
      <c r="D519" s="111"/>
      <c r="E519" s="111"/>
      <c r="F519" s="111"/>
      <c r="G519" s="113"/>
      <c r="H519" s="113"/>
    </row>
    <row r="520" ht="21.75" customHeight="1">
      <c r="A520" s="110"/>
      <c r="B520" s="111"/>
      <c r="C520" s="112"/>
      <c r="D520" s="111"/>
      <c r="E520" s="111"/>
      <c r="F520" s="111"/>
      <c r="G520" s="113"/>
      <c r="H520" s="113"/>
    </row>
    <row r="521" ht="21.75" customHeight="1">
      <c r="A521" s="110"/>
      <c r="B521" s="111"/>
      <c r="C521" s="112"/>
      <c r="D521" s="111"/>
      <c r="E521" s="111"/>
      <c r="F521" s="111"/>
      <c r="G521" s="113"/>
      <c r="H521" s="113"/>
    </row>
    <row r="522" ht="21.75" customHeight="1">
      <c r="A522" s="110"/>
      <c r="B522" s="111"/>
      <c r="C522" s="112"/>
      <c r="D522" s="111"/>
      <c r="E522" s="111"/>
      <c r="F522" s="111"/>
      <c r="G522" s="113"/>
      <c r="H522" s="113"/>
    </row>
    <row r="523" ht="21.75" customHeight="1">
      <c r="A523" s="110"/>
      <c r="B523" s="111"/>
      <c r="C523" s="112"/>
      <c r="D523" s="111"/>
      <c r="E523" s="111"/>
      <c r="F523" s="111"/>
      <c r="G523" s="113"/>
      <c r="H523" s="113"/>
    </row>
    <row r="524" ht="21.75" customHeight="1">
      <c r="A524" s="110"/>
      <c r="B524" s="111"/>
      <c r="C524" s="112"/>
      <c r="D524" s="111"/>
      <c r="E524" s="111"/>
      <c r="F524" s="111"/>
      <c r="G524" s="113"/>
      <c r="H524" s="113"/>
    </row>
    <row r="525" ht="21.75" customHeight="1">
      <c r="A525" s="110"/>
      <c r="B525" s="111"/>
      <c r="C525" s="112"/>
      <c r="D525" s="111"/>
      <c r="E525" s="111"/>
      <c r="F525" s="111"/>
      <c r="G525" s="113"/>
      <c r="H525" s="113"/>
    </row>
    <row r="526" ht="21.75" customHeight="1">
      <c r="A526" s="110"/>
      <c r="B526" s="111"/>
      <c r="C526" s="112"/>
      <c r="D526" s="111"/>
      <c r="E526" s="111"/>
      <c r="F526" s="111"/>
      <c r="G526" s="113"/>
      <c r="H526" s="113"/>
    </row>
    <row r="527" ht="21.75" customHeight="1">
      <c r="A527" s="110"/>
      <c r="B527" s="111"/>
      <c r="C527" s="112"/>
      <c r="D527" s="111"/>
      <c r="E527" s="111"/>
      <c r="F527" s="111"/>
      <c r="G527" s="113"/>
      <c r="H527" s="113"/>
    </row>
    <row r="528" ht="21.75" customHeight="1">
      <c r="A528" s="110"/>
      <c r="B528" s="111"/>
      <c r="C528" s="112"/>
      <c r="D528" s="111"/>
      <c r="E528" s="111"/>
      <c r="F528" s="111"/>
      <c r="G528" s="113"/>
      <c r="H528" s="113"/>
    </row>
    <row r="529" ht="21.75" customHeight="1">
      <c r="A529" s="110"/>
      <c r="B529" s="111"/>
      <c r="C529" s="112"/>
      <c r="D529" s="111"/>
      <c r="E529" s="111"/>
      <c r="F529" s="111"/>
      <c r="G529" s="113"/>
      <c r="H529" s="113"/>
    </row>
    <row r="530" ht="21.75" customHeight="1">
      <c r="A530" s="110"/>
      <c r="B530" s="111"/>
      <c r="C530" s="112"/>
      <c r="D530" s="111"/>
      <c r="E530" s="111"/>
      <c r="F530" s="111"/>
      <c r="G530" s="113"/>
      <c r="H530" s="113"/>
    </row>
    <row r="531" ht="21.75" customHeight="1">
      <c r="A531" s="110"/>
      <c r="B531" s="111"/>
      <c r="C531" s="112"/>
      <c r="D531" s="111"/>
      <c r="E531" s="111"/>
      <c r="F531" s="111"/>
      <c r="G531" s="113"/>
      <c r="H531" s="113"/>
    </row>
    <row r="532" ht="21.75" customHeight="1">
      <c r="A532" s="110"/>
      <c r="B532" s="111"/>
      <c r="C532" s="112"/>
      <c r="D532" s="111"/>
      <c r="E532" s="111"/>
      <c r="F532" s="111"/>
      <c r="G532" s="113"/>
      <c r="H532" s="113"/>
    </row>
    <row r="533" ht="21.75" customHeight="1">
      <c r="A533" s="110"/>
      <c r="B533" s="111"/>
      <c r="C533" s="112"/>
      <c r="D533" s="111"/>
      <c r="E533" s="111"/>
      <c r="F533" s="111"/>
      <c r="G533" s="113"/>
      <c r="H533" s="113"/>
    </row>
    <row r="534" ht="21.75" customHeight="1">
      <c r="A534" s="110"/>
      <c r="B534" s="111"/>
      <c r="C534" s="112"/>
      <c r="D534" s="111"/>
      <c r="E534" s="111"/>
      <c r="F534" s="111"/>
      <c r="G534" s="113"/>
      <c r="H534" s="113"/>
    </row>
    <row r="535" ht="21.75" customHeight="1">
      <c r="A535" s="110"/>
      <c r="B535" s="111"/>
      <c r="C535" s="112"/>
      <c r="D535" s="111"/>
      <c r="E535" s="111"/>
      <c r="F535" s="111"/>
      <c r="G535" s="113"/>
      <c r="H535" s="113"/>
    </row>
    <row r="536" ht="21.75" customHeight="1">
      <c r="A536" s="110"/>
      <c r="B536" s="111"/>
      <c r="C536" s="112"/>
      <c r="D536" s="111"/>
      <c r="E536" s="111"/>
      <c r="F536" s="111"/>
      <c r="G536" s="113"/>
      <c r="H536" s="113"/>
    </row>
    <row r="537" ht="21.75" customHeight="1">
      <c r="A537" s="110"/>
      <c r="B537" s="111"/>
      <c r="C537" s="112"/>
      <c r="D537" s="111"/>
      <c r="E537" s="111"/>
      <c r="F537" s="111"/>
      <c r="G537" s="113"/>
      <c r="H537" s="113"/>
    </row>
    <row r="538" ht="21.75" customHeight="1">
      <c r="A538" s="110"/>
      <c r="B538" s="111"/>
      <c r="C538" s="112"/>
      <c r="D538" s="111"/>
      <c r="E538" s="111"/>
      <c r="F538" s="111"/>
      <c r="G538" s="113"/>
      <c r="H538" s="113"/>
    </row>
    <row r="539" ht="21.75" customHeight="1">
      <c r="A539" s="110"/>
      <c r="B539" s="111"/>
      <c r="C539" s="112"/>
      <c r="D539" s="111"/>
      <c r="E539" s="111"/>
      <c r="F539" s="111"/>
      <c r="G539" s="113"/>
      <c r="H539" s="113"/>
    </row>
    <row r="540" ht="21.75" customHeight="1">
      <c r="A540" s="110"/>
      <c r="B540" s="111"/>
      <c r="C540" s="112"/>
      <c r="D540" s="111"/>
      <c r="E540" s="111"/>
      <c r="F540" s="111"/>
      <c r="G540" s="113"/>
      <c r="H540" s="113"/>
    </row>
    <row r="541" ht="21.75" customHeight="1">
      <c r="A541" s="110"/>
      <c r="B541" s="111"/>
      <c r="C541" s="112"/>
      <c r="D541" s="111"/>
      <c r="E541" s="111"/>
      <c r="F541" s="111"/>
      <c r="G541" s="113"/>
      <c r="H541" s="113"/>
    </row>
    <row r="542" ht="21.75" customHeight="1">
      <c r="A542" s="110"/>
      <c r="B542" s="111"/>
      <c r="C542" s="112"/>
      <c r="D542" s="111"/>
      <c r="E542" s="111"/>
      <c r="F542" s="111"/>
      <c r="G542" s="113"/>
      <c r="H542" s="113"/>
    </row>
    <row r="543" ht="21.75" customHeight="1">
      <c r="A543" s="110"/>
      <c r="B543" s="111"/>
      <c r="C543" s="112"/>
      <c r="D543" s="111"/>
      <c r="E543" s="111"/>
      <c r="F543" s="111"/>
      <c r="G543" s="113"/>
      <c r="H543" s="113"/>
    </row>
    <row r="544" ht="21.75" customHeight="1">
      <c r="A544" s="110"/>
      <c r="B544" s="111"/>
      <c r="C544" s="112"/>
      <c r="D544" s="111"/>
      <c r="E544" s="111"/>
      <c r="F544" s="111"/>
      <c r="G544" s="113"/>
      <c r="H544" s="113"/>
    </row>
    <row r="545" ht="21.75" customHeight="1">
      <c r="A545" s="110"/>
      <c r="B545" s="111"/>
      <c r="C545" s="112"/>
      <c r="D545" s="111"/>
      <c r="E545" s="111"/>
      <c r="F545" s="111"/>
      <c r="G545" s="113"/>
      <c r="H545" s="113"/>
    </row>
    <row r="546" ht="21.75" customHeight="1">
      <c r="A546" s="110"/>
      <c r="B546" s="111"/>
      <c r="C546" s="112"/>
      <c r="D546" s="111"/>
      <c r="E546" s="111"/>
      <c r="F546" s="111"/>
      <c r="G546" s="113"/>
      <c r="H546" s="113"/>
    </row>
    <row r="547" ht="21.75" customHeight="1">
      <c r="A547" s="110"/>
      <c r="B547" s="111"/>
      <c r="C547" s="112"/>
      <c r="D547" s="111"/>
      <c r="E547" s="111"/>
      <c r="F547" s="111"/>
      <c r="G547" s="113"/>
      <c r="H547" s="113"/>
    </row>
    <row r="548" ht="21.75" customHeight="1">
      <c r="A548" s="110"/>
      <c r="B548" s="111"/>
      <c r="C548" s="112"/>
      <c r="D548" s="111"/>
      <c r="E548" s="111"/>
      <c r="F548" s="111"/>
      <c r="G548" s="113"/>
      <c r="H548" s="113"/>
    </row>
    <row r="549" ht="21.75" customHeight="1">
      <c r="A549" s="110"/>
      <c r="B549" s="111"/>
      <c r="C549" s="112"/>
      <c r="D549" s="111"/>
      <c r="E549" s="111"/>
      <c r="F549" s="111"/>
      <c r="G549" s="113"/>
      <c r="H549" s="113"/>
    </row>
    <row r="550" ht="21.75" customHeight="1">
      <c r="A550" s="110"/>
      <c r="B550" s="111"/>
      <c r="C550" s="112"/>
      <c r="D550" s="111"/>
      <c r="E550" s="111"/>
      <c r="F550" s="111"/>
      <c r="G550" s="113"/>
      <c r="H550" s="113"/>
    </row>
    <row r="551" ht="21.75" customHeight="1">
      <c r="A551" s="110"/>
      <c r="B551" s="111"/>
      <c r="C551" s="112"/>
      <c r="D551" s="111"/>
      <c r="E551" s="111"/>
      <c r="F551" s="111"/>
      <c r="G551" s="113"/>
      <c r="H551" s="113"/>
    </row>
    <row r="552" ht="21.75" customHeight="1">
      <c r="A552" s="110"/>
      <c r="B552" s="111"/>
      <c r="C552" s="112"/>
      <c r="D552" s="111"/>
      <c r="E552" s="111"/>
      <c r="F552" s="111"/>
      <c r="G552" s="113"/>
      <c r="H552" s="113"/>
    </row>
    <row r="553" ht="21.75" customHeight="1">
      <c r="A553" s="110"/>
      <c r="B553" s="111"/>
      <c r="C553" s="112"/>
      <c r="D553" s="111"/>
      <c r="E553" s="111"/>
      <c r="F553" s="111"/>
      <c r="G553" s="113"/>
      <c r="H553" s="113"/>
    </row>
    <row r="554" ht="21.75" customHeight="1">
      <c r="A554" s="110"/>
      <c r="B554" s="111"/>
      <c r="C554" s="112"/>
      <c r="D554" s="111"/>
      <c r="E554" s="111"/>
      <c r="F554" s="111"/>
      <c r="G554" s="113"/>
      <c r="H554" s="113"/>
    </row>
    <row r="555" ht="21.75" customHeight="1">
      <c r="A555" s="110"/>
      <c r="B555" s="111"/>
      <c r="C555" s="112"/>
      <c r="D555" s="111"/>
      <c r="E555" s="111"/>
      <c r="F555" s="111"/>
      <c r="G555" s="113"/>
      <c r="H555" s="113"/>
    </row>
    <row r="556" ht="21.75" customHeight="1">
      <c r="A556" s="110"/>
      <c r="B556" s="111"/>
      <c r="C556" s="112"/>
      <c r="D556" s="111"/>
      <c r="E556" s="111"/>
      <c r="F556" s="111"/>
      <c r="G556" s="113"/>
      <c r="H556" s="113"/>
    </row>
    <row r="557" ht="21.75" customHeight="1">
      <c r="A557" s="110"/>
      <c r="B557" s="111"/>
      <c r="C557" s="112"/>
      <c r="D557" s="111"/>
      <c r="E557" s="111"/>
      <c r="F557" s="111"/>
      <c r="G557" s="113"/>
      <c r="H557" s="113"/>
    </row>
    <row r="558" ht="21.75" customHeight="1">
      <c r="A558" s="110"/>
      <c r="B558" s="111"/>
      <c r="C558" s="112"/>
      <c r="D558" s="111"/>
      <c r="E558" s="111"/>
      <c r="F558" s="111"/>
      <c r="G558" s="113"/>
      <c r="H558" s="113"/>
    </row>
    <row r="559" ht="21.75" customHeight="1">
      <c r="A559" s="110"/>
      <c r="B559" s="111"/>
      <c r="C559" s="112"/>
      <c r="D559" s="111"/>
      <c r="E559" s="111"/>
      <c r="F559" s="111"/>
      <c r="G559" s="113"/>
      <c r="H559" s="113"/>
    </row>
    <row r="560" ht="21.75" customHeight="1">
      <c r="A560" s="110"/>
      <c r="B560" s="111"/>
      <c r="C560" s="112"/>
      <c r="D560" s="111"/>
      <c r="E560" s="111"/>
      <c r="F560" s="111"/>
      <c r="G560" s="113"/>
      <c r="H560" s="113"/>
    </row>
    <row r="561" ht="21.75" customHeight="1">
      <c r="A561" s="110"/>
      <c r="B561" s="111"/>
      <c r="C561" s="112"/>
      <c r="D561" s="111"/>
      <c r="E561" s="111"/>
      <c r="F561" s="111"/>
      <c r="G561" s="113"/>
      <c r="H561" s="113"/>
    </row>
    <row r="562" ht="21.75" customHeight="1">
      <c r="A562" s="110"/>
      <c r="B562" s="111"/>
      <c r="C562" s="112"/>
      <c r="D562" s="111"/>
      <c r="E562" s="111"/>
      <c r="F562" s="111"/>
      <c r="G562" s="113"/>
      <c r="H562" s="113"/>
    </row>
    <row r="563" ht="21.75" customHeight="1">
      <c r="A563" s="110"/>
      <c r="B563" s="111"/>
      <c r="C563" s="112"/>
      <c r="D563" s="111"/>
      <c r="E563" s="111"/>
      <c r="F563" s="111"/>
      <c r="G563" s="113"/>
      <c r="H563" s="113"/>
    </row>
    <row r="564" ht="21.75" customHeight="1">
      <c r="A564" s="110"/>
      <c r="B564" s="111"/>
      <c r="C564" s="112"/>
      <c r="D564" s="111"/>
      <c r="E564" s="111"/>
      <c r="F564" s="111"/>
      <c r="G564" s="113"/>
      <c r="H564" s="113"/>
    </row>
    <row r="565" ht="21.75" customHeight="1">
      <c r="A565" s="110"/>
      <c r="B565" s="111"/>
      <c r="C565" s="112"/>
      <c r="D565" s="111"/>
      <c r="E565" s="111"/>
      <c r="F565" s="111"/>
      <c r="G565" s="113"/>
      <c r="H565" s="113"/>
    </row>
    <row r="566" ht="21.75" customHeight="1">
      <c r="A566" s="110"/>
      <c r="B566" s="111"/>
      <c r="C566" s="112"/>
      <c r="D566" s="111"/>
      <c r="E566" s="111"/>
      <c r="F566" s="111"/>
      <c r="G566" s="113"/>
      <c r="H566" s="113"/>
    </row>
    <row r="567" ht="21.75" customHeight="1">
      <c r="A567" s="110"/>
      <c r="B567" s="111"/>
      <c r="C567" s="112"/>
      <c r="D567" s="111"/>
      <c r="E567" s="111"/>
      <c r="F567" s="111"/>
      <c r="G567" s="113"/>
      <c r="H567" s="113"/>
    </row>
    <row r="568" ht="21.75" customHeight="1">
      <c r="A568" s="110"/>
      <c r="B568" s="111"/>
      <c r="C568" s="112"/>
      <c r="D568" s="111"/>
      <c r="E568" s="111"/>
      <c r="F568" s="111"/>
      <c r="G568" s="113"/>
      <c r="H568" s="113"/>
    </row>
    <row r="569" ht="21.75" customHeight="1">
      <c r="A569" s="110"/>
      <c r="B569" s="111"/>
      <c r="C569" s="112"/>
      <c r="D569" s="111"/>
      <c r="E569" s="111"/>
      <c r="F569" s="111"/>
      <c r="G569" s="113"/>
      <c r="H569" s="113"/>
    </row>
    <row r="570" ht="21.75" customHeight="1">
      <c r="A570" s="110"/>
      <c r="B570" s="111"/>
      <c r="C570" s="112"/>
      <c r="D570" s="111"/>
      <c r="E570" s="111"/>
      <c r="F570" s="111"/>
      <c r="G570" s="113"/>
      <c r="H570" s="113"/>
    </row>
    <row r="571" ht="21.75" customHeight="1">
      <c r="A571" s="110"/>
      <c r="B571" s="111"/>
      <c r="C571" s="112"/>
      <c r="D571" s="111"/>
      <c r="E571" s="111"/>
      <c r="F571" s="111"/>
      <c r="G571" s="113"/>
      <c r="H571" s="113"/>
    </row>
    <row r="572" ht="21.75" customHeight="1">
      <c r="A572" s="110"/>
      <c r="B572" s="111"/>
      <c r="C572" s="112"/>
      <c r="D572" s="111"/>
      <c r="E572" s="111"/>
      <c r="F572" s="111"/>
      <c r="G572" s="113"/>
      <c r="H572" s="113"/>
    </row>
    <row r="573" ht="21.75" customHeight="1">
      <c r="A573" s="110"/>
      <c r="B573" s="111"/>
      <c r="C573" s="112"/>
      <c r="D573" s="111"/>
      <c r="E573" s="111"/>
      <c r="F573" s="111"/>
      <c r="G573" s="113"/>
      <c r="H573" s="113"/>
    </row>
    <row r="574" ht="21.75" customHeight="1">
      <c r="A574" s="110"/>
      <c r="B574" s="111"/>
      <c r="C574" s="112"/>
      <c r="D574" s="111"/>
      <c r="E574" s="111"/>
      <c r="F574" s="111"/>
      <c r="G574" s="113"/>
      <c r="H574" s="113"/>
    </row>
    <row r="575" ht="21.75" customHeight="1">
      <c r="A575" s="110"/>
      <c r="B575" s="111"/>
      <c r="C575" s="112"/>
      <c r="D575" s="111"/>
      <c r="E575" s="111"/>
      <c r="F575" s="111"/>
      <c r="G575" s="113"/>
      <c r="H575" s="113"/>
    </row>
    <row r="576" ht="21.75" customHeight="1">
      <c r="A576" s="110"/>
      <c r="B576" s="111"/>
      <c r="C576" s="112"/>
      <c r="D576" s="111"/>
      <c r="E576" s="111"/>
      <c r="F576" s="111"/>
      <c r="G576" s="113"/>
      <c r="H576" s="113"/>
    </row>
    <row r="577" ht="21.75" customHeight="1">
      <c r="A577" s="110"/>
      <c r="B577" s="111"/>
      <c r="C577" s="112"/>
      <c r="D577" s="111"/>
      <c r="E577" s="111"/>
      <c r="F577" s="111"/>
      <c r="G577" s="113"/>
      <c r="H577" s="113"/>
    </row>
    <row r="578" ht="21.75" customHeight="1">
      <c r="A578" s="110"/>
      <c r="B578" s="111"/>
      <c r="C578" s="112"/>
      <c r="D578" s="111"/>
      <c r="E578" s="111"/>
      <c r="F578" s="111"/>
      <c r="G578" s="113"/>
      <c r="H578" s="113"/>
    </row>
    <row r="579" ht="21.75" customHeight="1">
      <c r="A579" s="110"/>
      <c r="B579" s="111"/>
      <c r="C579" s="112"/>
      <c r="D579" s="111"/>
      <c r="E579" s="111"/>
      <c r="F579" s="111"/>
      <c r="G579" s="113"/>
      <c r="H579" s="113"/>
    </row>
    <row r="580" ht="21.75" customHeight="1">
      <c r="A580" s="110"/>
      <c r="B580" s="111"/>
      <c r="C580" s="112"/>
      <c r="D580" s="111"/>
      <c r="E580" s="111"/>
      <c r="F580" s="111"/>
      <c r="G580" s="113"/>
      <c r="H580" s="113"/>
    </row>
    <row r="581" ht="21.75" customHeight="1">
      <c r="A581" s="110"/>
      <c r="B581" s="111"/>
      <c r="C581" s="112"/>
      <c r="D581" s="111"/>
      <c r="E581" s="111"/>
      <c r="F581" s="111"/>
      <c r="G581" s="113"/>
      <c r="H581" s="113"/>
    </row>
    <row r="582" ht="21.75" customHeight="1">
      <c r="A582" s="110"/>
      <c r="B582" s="111"/>
      <c r="C582" s="112"/>
      <c r="D582" s="111"/>
      <c r="E582" s="111"/>
      <c r="F582" s="111"/>
      <c r="G582" s="113"/>
      <c r="H582" s="113"/>
    </row>
    <row r="583" ht="21.75" customHeight="1">
      <c r="A583" s="110"/>
      <c r="B583" s="111"/>
      <c r="C583" s="112"/>
      <c r="D583" s="111"/>
      <c r="E583" s="111"/>
      <c r="F583" s="111"/>
      <c r="G583" s="113"/>
      <c r="H583" s="113"/>
    </row>
    <row r="584" ht="21.75" customHeight="1">
      <c r="A584" s="110"/>
      <c r="B584" s="111"/>
      <c r="C584" s="112"/>
      <c r="D584" s="111"/>
      <c r="E584" s="111"/>
      <c r="F584" s="111"/>
      <c r="G584" s="113"/>
      <c r="H584" s="113"/>
    </row>
    <row r="585" ht="21.75" customHeight="1">
      <c r="A585" s="110"/>
      <c r="B585" s="111"/>
      <c r="C585" s="112"/>
      <c r="D585" s="111"/>
      <c r="E585" s="111"/>
      <c r="F585" s="111"/>
      <c r="G585" s="113"/>
      <c r="H585" s="113"/>
    </row>
    <row r="586" ht="21.75" customHeight="1">
      <c r="A586" s="110"/>
      <c r="B586" s="111"/>
      <c r="C586" s="112"/>
      <c r="D586" s="111"/>
      <c r="E586" s="111"/>
      <c r="F586" s="111"/>
      <c r="G586" s="113"/>
      <c r="H586" s="113"/>
    </row>
    <row r="587" ht="21.75" customHeight="1">
      <c r="A587" s="110"/>
      <c r="B587" s="111"/>
      <c r="C587" s="112"/>
      <c r="D587" s="111"/>
      <c r="E587" s="111"/>
      <c r="F587" s="111"/>
      <c r="G587" s="113"/>
      <c r="H587" s="113"/>
    </row>
    <row r="588" ht="21.75" customHeight="1">
      <c r="A588" s="110"/>
      <c r="B588" s="111"/>
      <c r="C588" s="112"/>
      <c r="D588" s="111"/>
      <c r="E588" s="111"/>
      <c r="F588" s="111"/>
      <c r="G588" s="113"/>
      <c r="H588" s="113"/>
    </row>
    <row r="589" ht="21.75" customHeight="1">
      <c r="A589" s="110"/>
      <c r="B589" s="111"/>
      <c r="C589" s="112"/>
      <c r="D589" s="111"/>
      <c r="E589" s="111"/>
      <c r="F589" s="111"/>
      <c r="G589" s="113"/>
      <c r="H589" s="113"/>
    </row>
    <row r="590" ht="21.75" customHeight="1">
      <c r="A590" s="110"/>
      <c r="B590" s="111"/>
      <c r="C590" s="112"/>
      <c r="D590" s="111"/>
      <c r="E590" s="111"/>
      <c r="F590" s="111"/>
      <c r="G590" s="113"/>
      <c r="H590" s="113"/>
    </row>
    <row r="591" ht="21.75" customHeight="1">
      <c r="A591" s="110"/>
      <c r="B591" s="111"/>
      <c r="C591" s="112"/>
      <c r="D591" s="111"/>
      <c r="E591" s="111"/>
      <c r="F591" s="111"/>
      <c r="G591" s="113"/>
      <c r="H591" s="113"/>
    </row>
    <row r="592" ht="21.75" customHeight="1">
      <c r="A592" s="110"/>
      <c r="B592" s="111"/>
      <c r="C592" s="112"/>
      <c r="D592" s="111"/>
      <c r="E592" s="111"/>
      <c r="F592" s="111"/>
      <c r="G592" s="113"/>
      <c r="H592" s="113"/>
    </row>
    <row r="593" ht="21.75" customHeight="1">
      <c r="A593" s="110"/>
      <c r="B593" s="111"/>
      <c r="C593" s="112"/>
      <c r="D593" s="111"/>
      <c r="E593" s="111"/>
      <c r="F593" s="111"/>
      <c r="G593" s="113"/>
      <c r="H593" s="113"/>
    </row>
    <row r="594" ht="21.75" customHeight="1">
      <c r="A594" s="110"/>
      <c r="B594" s="111"/>
      <c r="C594" s="112"/>
      <c r="D594" s="111"/>
      <c r="E594" s="111"/>
      <c r="F594" s="111"/>
      <c r="G594" s="113"/>
      <c r="H594" s="113"/>
    </row>
    <row r="595" ht="21.75" customHeight="1">
      <c r="A595" s="110"/>
      <c r="B595" s="111"/>
      <c r="C595" s="112"/>
      <c r="D595" s="111"/>
      <c r="E595" s="111"/>
      <c r="F595" s="111"/>
      <c r="G595" s="113"/>
      <c r="H595" s="113"/>
    </row>
    <row r="596" ht="21.75" customHeight="1">
      <c r="A596" s="110"/>
      <c r="B596" s="111"/>
      <c r="C596" s="112"/>
      <c r="D596" s="111"/>
      <c r="E596" s="111"/>
      <c r="F596" s="111"/>
      <c r="G596" s="113"/>
      <c r="H596" s="113"/>
    </row>
    <row r="597" ht="21.75" customHeight="1">
      <c r="A597" s="110"/>
      <c r="B597" s="111"/>
      <c r="C597" s="112"/>
      <c r="D597" s="111"/>
      <c r="E597" s="111"/>
      <c r="F597" s="111"/>
      <c r="G597" s="113"/>
      <c r="H597" s="113"/>
    </row>
    <row r="598" ht="21.75" customHeight="1">
      <c r="A598" s="110"/>
      <c r="B598" s="111"/>
      <c r="C598" s="112"/>
      <c r="D598" s="111"/>
      <c r="E598" s="111"/>
      <c r="F598" s="111"/>
      <c r="G598" s="113"/>
      <c r="H598" s="113"/>
    </row>
    <row r="599" ht="21.75" customHeight="1">
      <c r="A599" s="110"/>
      <c r="B599" s="111"/>
      <c r="C599" s="112"/>
      <c r="D599" s="111"/>
      <c r="E599" s="111"/>
      <c r="F599" s="111"/>
      <c r="G599" s="113"/>
      <c r="H599" s="113"/>
    </row>
    <row r="600" ht="21.75" customHeight="1">
      <c r="A600" s="110"/>
      <c r="B600" s="111"/>
      <c r="C600" s="112"/>
      <c r="D600" s="111"/>
      <c r="E600" s="111"/>
      <c r="F600" s="111"/>
      <c r="G600" s="113"/>
      <c r="H600" s="113"/>
    </row>
    <row r="601" ht="21.75" customHeight="1">
      <c r="A601" s="110"/>
      <c r="B601" s="111"/>
      <c r="C601" s="112"/>
      <c r="D601" s="111"/>
      <c r="E601" s="111"/>
      <c r="F601" s="111"/>
      <c r="G601" s="113"/>
      <c r="H601" s="113"/>
    </row>
    <row r="602" ht="21.75" customHeight="1">
      <c r="A602" s="110"/>
      <c r="B602" s="111"/>
      <c r="C602" s="112"/>
      <c r="D602" s="111"/>
      <c r="E602" s="111"/>
      <c r="F602" s="111"/>
      <c r="G602" s="113"/>
      <c r="H602" s="113"/>
    </row>
    <row r="603" ht="21.75" customHeight="1">
      <c r="A603" s="110"/>
      <c r="B603" s="111"/>
      <c r="C603" s="112"/>
      <c r="D603" s="111"/>
      <c r="E603" s="111"/>
      <c r="F603" s="111"/>
      <c r="G603" s="113"/>
      <c r="H603" s="113"/>
    </row>
    <row r="604" ht="21.75" customHeight="1">
      <c r="A604" s="110"/>
      <c r="B604" s="111"/>
      <c r="C604" s="112"/>
      <c r="D604" s="111"/>
      <c r="E604" s="111"/>
      <c r="F604" s="111"/>
      <c r="G604" s="113"/>
      <c r="H604" s="113"/>
    </row>
    <row r="605" ht="21.75" customHeight="1">
      <c r="A605" s="110"/>
      <c r="B605" s="111"/>
      <c r="C605" s="112"/>
      <c r="D605" s="111"/>
      <c r="E605" s="111"/>
      <c r="F605" s="111"/>
      <c r="G605" s="113"/>
      <c r="H605" s="113"/>
    </row>
    <row r="606" ht="21.75" customHeight="1">
      <c r="A606" s="110"/>
      <c r="B606" s="111"/>
      <c r="C606" s="112"/>
      <c r="D606" s="111"/>
      <c r="E606" s="111"/>
      <c r="F606" s="111"/>
      <c r="G606" s="113"/>
      <c r="H606" s="113"/>
    </row>
    <row r="607" ht="21.75" customHeight="1">
      <c r="A607" s="110"/>
      <c r="B607" s="111"/>
      <c r="C607" s="112"/>
      <c r="D607" s="111"/>
      <c r="E607" s="111"/>
      <c r="F607" s="111"/>
      <c r="G607" s="113"/>
      <c r="H607" s="113"/>
    </row>
    <row r="608" ht="21.75" customHeight="1">
      <c r="A608" s="110"/>
      <c r="B608" s="111"/>
      <c r="C608" s="112"/>
      <c r="D608" s="111"/>
      <c r="E608" s="111"/>
      <c r="F608" s="111"/>
      <c r="G608" s="113"/>
      <c r="H608" s="113"/>
    </row>
    <row r="609" ht="21.75" customHeight="1">
      <c r="A609" s="110"/>
      <c r="B609" s="111"/>
      <c r="C609" s="112"/>
      <c r="D609" s="111"/>
      <c r="E609" s="111"/>
      <c r="F609" s="111"/>
      <c r="G609" s="113"/>
      <c r="H609" s="113"/>
    </row>
    <row r="610" ht="21.75" customHeight="1">
      <c r="A610" s="110"/>
      <c r="B610" s="111"/>
      <c r="C610" s="112"/>
      <c r="D610" s="111"/>
      <c r="E610" s="111"/>
      <c r="F610" s="111"/>
      <c r="G610" s="113"/>
      <c r="H610" s="113"/>
    </row>
    <row r="611" ht="21.75" customHeight="1">
      <c r="A611" s="110"/>
      <c r="B611" s="111"/>
      <c r="C611" s="112"/>
      <c r="D611" s="111"/>
      <c r="E611" s="111"/>
      <c r="F611" s="111"/>
      <c r="G611" s="113"/>
      <c r="H611" s="113"/>
    </row>
    <row r="612" ht="21.75" customHeight="1">
      <c r="A612" s="110"/>
      <c r="B612" s="111"/>
      <c r="C612" s="112"/>
      <c r="D612" s="111"/>
      <c r="E612" s="111"/>
      <c r="F612" s="111"/>
      <c r="G612" s="113"/>
      <c r="H612" s="113"/>
    </row>
    <row r="613" ht="21.75" customHeight="1">
      <c r="A613" s="110"/>
      <c r="B613" s="111"/>
      <c r="C613" s="112"/>
      <c r="D613" s="111"/>
      <c r="E613" s="111"/>
      <c r="F613" s="111"/>
      <c r="G613" s="113"/>
      <c r="H613" s="113"/>
    </row>
    <row r="614" ht="21.75" customHeight="1">
      <c r="A614" s="110"/>
      <c r="B614" s="111"/>
      <c r="C614" s="112"/>
      <c r="D614" s="111"/>
      <c r="E614" s="111"/>
      <c r="F614" s="111"/>
      <c r="G614" s="113"/>
      <c r="H614" s="113"/>
    </row>
    <row r="615" ht="21.75" customHeight="1">
      <c r="A615" s="110"/>
      <c r="B615" s="111"/>
      <c r="C615" s="112"/>
      <c r="D615" s="111"/>
      <c r="E615" s="111"/>
      <c r="F615" s="111"/>
      <c r="G615" s="113"/>
      <c r="H615" s="113"/>
    </row>
    <row r="616" ht="21.75" customHeight="1">
      <c r="A616" s="110"/>
      <c r="B616" s="111"/>
      <c r="C616" s="112"/>
      <c r="D616" s="111"/>
      <c r="E616" s="111"/>
      <c r="F616" s="111"/>
      <c r="G616" s="113"/>
      <c r="H616" s="113"/>
    </row>
    <row r="617" ht="21.75" customHeight="1">
      <c r="A617" s="110"/>
      <c r="B617" s="111"/>
      <c r="C617" s="112"/>
      <c r="D617" s="111"/>
      <c r="E617" s="111"/>
      <c r="F617" s="111"/>
      <c r="G617" s="113"/>
      <c r="H617" s="113"/>
    </row>
    <row r="618" ht="21.75" customHeight="1">
      <c r="A618" s="110"/>
      <c r="B618" s="111"/>
      <c r="C618" s="112"/>
      <c r="D618" s="111"/>
      <c r="E618" s="111"/>
      <c r="F618" s="111"/>
      <c r="G618" s="113"/>
      <c r="H618" s="113"/>
    </row>
    <row r="619" ht="21.75" customHeight="1">
      <c r="A619" s="110"/>
      <c r="B619" s="111"/>
      <c r="C619" s="112"/>
      <c r="D619" s="111"/>
      <c r="E619" s="111"/>
      <c r="F619" s="111"/>
      <c r="G619" s="113"/>
      <c r="H619" s="113"/>
    </row>
    <row r="620" ht="21.75" customHeight="1">
      <c r="A620" s="110"/>
      <c r="B620" s="111"/>
      <c r="C620" s="112"/>
      <c r="D620" s="111"/>
      <c r="E620" s="111"/>
      <c r="F620" s="111"/>
      <c r="G620" s="113"/>
      <c r="H620" s="113"/>
    </row>
    <row r="621" ht="21.75" customHeight="1">
      <c r="A621" s="110"/>
      <c r="B621" s="111"/>
      <c r="C621" s="112"/>
      <c r="D621" s="111"/>
      <c r="E621" s="111"/>
      <c r="F621" s="111"/>
      <c r="G621" s="113"/>
      <c r="H621" s="113"/>
    </row>
    <row r="622" ht="21.75" customHeight="1">
      <c r="A622" s="110"/>
      <c r="B622" s="111"/>
      <c r="C622" s="112"/>
      <c r="D622" s="111"/>
      <c r="E622" s="111"/>
      <c r="F622" s="111"/>
      <c r="G622" s="113"/>
      <c r="H622" s="113"/>
    </row>
    <row r="623" ht="21.75" customHeight="1">
      <c r="A623" s="110"/>
      <c r="B623" s="111"/>
      <c r="C623" s="112"/>
      <c r="D623" s="111"/>
      <c r="E623" s="111"/>
      <c r="F623" s="111"/>
      <c r="G623" s="113"/>
      <c r="H623" s="113"/>
    </row>
    <row r="624" ht="21.75" customHeight="1">
      <c r="A624" s="110"/>
      <c r="B624" s="111"/>
      <c r="C624" s="112"/>
      <c r="D624" s="111"/>
      <c r="E624" s="111"/>
      <c r="F624" s="111"/>
      <c r="G624" s="113"/>
      <c r="H624" s="113"/>
    </row>
    <row r="625" ht="21.75" customHeight="1">
      <c r="A625" s="110"/>
      <c r="B625" s="111"/>
      <c r="C625" s="112"/>
      <c r="D625" s="111"/>
      <c r="E625" s="111"/>
      <c r="F625" s="111"/>
      <c r="G625" s="113"/>
      <c r="H625" s="113"/>
    </row>
    <row r="626" ht="21.75" customHeight="1">
      <c r="A626" s="110"/>
      <c r="B626" s="111"/>
      <c r="C626" s="112"/>
      <c r="D626" s="111"/>
      <c r="E626" s="111"/>
      <c r="F626" s="111"/>
      <c r="G626" s="113"/>
      <c r="H626" s="113"/>
    </row>
    <row r="627" ht="21.75" customHeight="1">
      <c r="A627" s="110"/>
      <c r="B627" s="111"/>
      <c r="C627" s="112"/>
      <c r="D627" s="111"/>
      <c r="E627" s="111"/>
      <c r="F627" s="111"/>
      <c r="G627" s="113"/>
      <c r="H627" s="113"/>
    </row>
    <row r="628" ht="21.75" customHeight="1">
      <c r="A628" s="110"/>
      <c r="B628" s="111"/>
      <c r="C628" s="112"/>
      <c r="D628" s="111"/>
      <c r="E628" s="111"/>
      <c r="F628" s="111"/>
      <c r="G628" s="113"/>
      <c r="H628" s="113"/>
    </row>
    <row r="629" ht="21.75" customHeight="1">
      <c r="A629" s="110"/>
      <c r="B629" s="111"/>
      <c r="C629" s="112"/>
      <c r="D629" s="111"/>
      <c r="E629" s="111"/>
      <c r="F629" s="111"/>
      <c r="G629" s="113"/>
      <c r="H629" s="113"/>
    </row>
    <row r="630" ht="21.75" customHeight="1">
      <c r="A630" s="110"/>
      <c r="B630" s="111"/>
      <c r="C630" s="112"/>
      <c r="D630" s="111"/>
      <c r="E630" s="111"/>
      <c r="F630" s="111"/>
      <c r="G630" s="113"/>
      <c r="H630" s="113"/>
    </row>
    <row r="631" ht="21.75" customHeight="1">
      <c r="A631" s="110"/>
      <c r="B631" s="111"/>
      <c r="C631" s="112"/>
      <c r="D631" s="111"/>
      <c r="E631" s="111"/>
      <c r="F631" s="111"/>
      <c r="G631" s="113"/>
      <c r="H631" s="113"/>
    </row>
    <row r="632" ht="21.75" customHeight="1">
      <c r="A632" s="110"/>
      <c r="B632" s="111"/>
      <c r="C632" s="112"/>
      <c r="D632" s="111"/>
      <c r="E632" s="111"/>
      <c r="F632" s="111"/>
      <c r="G632" s="113"/>
      <c r="H632" s="113"/>
    </row>
    <row r="633" ht="21.75" customHeight="1">
      <c r="A633" s="110"/>
      <c r="B633" s="111"/>
      <c r="C633" s="112"/>
      <c r="D633" s="111"/>
      <c r="E633" s="111"/>
      <c r="F633" s="111"/>
      <c r="G633" s="113"/>
      <c r="H633" s="113"/>
    </row>
    <row r="634" ht="21.75" customHeight="1">
      <c r="A634" s="110"/>
      <c r="B634" s="111"/>
      <c r="C634" s="112"/>
      <c r="D634" s="111"/>
      <c r="E634" s="111"/>
      <c r="F634" s="111"/>
      <c r="G634" s="113"/>
      <c r="H634" s="113"/>
    </row>
    <row r="635" ht="21.75" customHeight="1">
      <c r="A635" s="110"/>
      <c r="B635" s="111"/>
      <c r="C635" s="112"/>
      <c r="D635" s="111"/>
      <c r="E635" s="111"/>
      <c r="F635" s="111"/>
      <c r="G635" s="113"/>
      <c r="H635" s="113"/>
    </row>
    <row r="636" ht="21.75" customHeight="1">
      <c r="A636" s="110"/>
      <c r="B636" s="111"/>
      <c r="C636" s="112"/>
      <c r="D636" s="111"/>
      <c r="E636" s="111"/>
      <c r="F636" s="111"/>
      <c r="G636" s="113"/>
      <c r="H636" s="113"/>
    </row>
    <row r="637" ht="21.75" customHeight="1">
      <c r="A637" s="110"/>
      <c r="B637" s="111"/>
      <c r="C637" s="112"/>
      <c r="D637" s="111"/>
      <c r="E637" s="111"/>
      <c r="F637" s="111"/>
      <c r="G637" s="113"/>
      <c r="H637" s="113"/>
    </row>
    <row r="638" ht="21.75" customHeight="1">
      <c r="A638" s="110"/>
      <c r="B638" s="111"/>
      <c r="C638" s="112"/>
      <c r="D638" s="111"/>
      <c r="E638" s="111"/>
      <c r="F638" s="111"/>
      <c r="G638" s="113"/>
      <c r="H638" s="113"/>
    </row>
    <row r="639" ht="21.75" customHeight="1">
      <c r="A639" s="110"/>
      <c r="B639" s="111"/>
      <c r="C639" s="112"/>
      <c r="D639" s="111"/>
      <c r="E639" s="111"/>
      <c r="F639" s="111"/>
      <c r="G639" s="113"/>
      <c r="H639" s="113"/>
    </row>
    <row r="640" ht="21.75" customHeight="1">
      <c r="A640" s="110"/>
      <c r="B640" s="111"/>
      <c r="C640" s="112"/>
      <c r="D640" s="111"/>
      <c r="E640" s="111"/>
      <c r="F640" s="111"/>
      <c r="G640" s="113"/>
      <c r="H640" s="113"/>
    </row>
    <row r="641" ht="21.75" customHeight="1">
      <c r="A641" s="110"/>
      <c r="B641" s="111"/>
      <c r="C641" s="112"/>
      <c r="D641" s="111"/>
      <c r="E641" s="111"/>
      <c r="F641" s="111"/>
      <c r="G641" s="113"/>
      <c r="H641" s="113"/>
    </row>
    <row r="642" ht="21.75" customHeight="1">
      <c r="A642" s="110"/>
      <c r="B642" s="111"/>
      <c r="C642" s="112"/>
      <c r="D642" s="111"/>
      <c r="E642" s="111"/>
      <c r="F642" s="111"/>
      <c r="G642" s="113"/>
      <c r="H642" s="113"/>
    </row>
    <row r="643" ht="21.75" customHeight="1">
      <c r="A643" s="110"/>
      <c r="B643" s="111"/>
      <c r="C643" s="112"/>
      <c r="D643" s="111"/>
      <c r="E643" s="111"/>
      <c r="F643" s="111"/>
      <c r="G643" s="113"/>
      <c r="H643" s="113"/>
    </row>
    <row r="644" ht="21.75" customHeight="1">
      <c r="A644" s="110"/>
      <c r="B644" s="111"/>
      <c r="C644" s="112"/>
      <c r="D644" s="111"/>
      <c r="E644" s="111"/>
      <c r="F644" s="111"/>
      <c r="G644" s="113"/>
      <c r="H644" s="113"/>
    </row>
    <row r="645" ht="21.75" customHeight="1">
      <c r="A645" s="110"/>
      <c r="B645" s="111"/>
      <c r="C645" s="112"/>
      <c r="D645" s="111"/>
      <c r="E645" s="111"/>
      <c r="F645" s="111"/>
      <c r="G645" s="113"/>
      <c r="H645" s="113"/>
    </row>
    <row r="646" ht="21.75" customHeight="1">
      <c r="A646" s="110"/>
      <c r="B646" s="111"/>
      <c r="C646" s="112"/>
      <c r="D646" s="111"/>
      <c r="E646" s="111"/>
      <c r="F646" s="111"/>
      <c r="G646" s="113"/>
      <c r="H646" s="113"/>
    </row>
    <row r="647" ht="21.75" customHeight="1">
      <c r="A647" s="110"/>
      <c r="B647" s="111"/>
      <c r="C647" s="112"/>
      <c r="D647" s="111"/>
      <c r="E647" s="111"/>
      <c r="F647" s="111"/>
      <c r="G647" s="113"/>
      <c r="H647" s="113"/>
    </row>
    <row r="648" ht="21.75" customHeight="1">
      <c r="A648" s="110"/>
      <c r="B648" s="111"/>
      <c r="C648" s="112"/>
      <c r="D648" s="111"/>
      <c r="E648" s="111"/>
      <c r="F648" s="111"/>
      <c r="G648" s="113"/>
      <c r="H648" s="113"/>
    </row>
    <row r="649" ht="21.75" customHeight="1">
      <c r="A649" s="110"/>
      <c r="B649" s="111"/>
      <c r="C649" s="112"/>
      <c r="D649" s="111"/>
      <c r="E649" s="111"/>
      <c r="F649" s="111"/>
      <c r="G649" s="113"/>
      <c r="H649" s="113"/>
    </row>
    <row r="650" ht="21.75" customHeight="1">
      <c r="A650" s="110"/>
      <c r="B650" s="111"/>
      <c r="C650" s="112"/>
      <c r="D650" s="111"/>
      <c r="E650" s="111"/>
      <c r="F650" s="111"/>
      <c r="G650" s="113"/>
      <c r="H650" s="113"/>
    </row>
    <row r="651" ht="21.75" customHeight="1">
      <c r="A651" s="110"/>
      <c r="B651" s="111"/>
      <c r="C651" s="112"/>
      <c r="D651" s="111"/>
      <c r="E651" s="111"/>
      <c r="F651" s="111"/>
      <c r="G651" s="113"/>
      <c r="H651" s="113"/>
    </row>
    <row r="652" ht="21.75" customHeight="1">
      <c r="A652" s="110"/>
      <c r="B652" s="111"/>
      <c r="C652" s="112"/>
      <c r="D652" s="111"/>
      <c r="E652" s="111"/>
      <c r="F652" s="111"/>
      <c r="G652" s="113"/>
      <c r="H652" s="113"/>
    </row>
    <row r="653" ht="21.75" customHeight="1">
      <c r="A653" s="110"/>
      <c r="B653" s="111"/>
      <c r="C653" s="112"/>
      <c r="D653" s="111"/>
      <c r="E653" s="111"/>
      <c r="F653" s="111"/>
      <c r="G653" s="113"/>
      <c r="H653" s="113"/>
    </row>
    <row r="654" ht="21.75" customHeight="1">
      <c r="A654" s="110"/>
      <c r="B654" s="111"/>
      <c r="C654" s="112"/>
      <c r="D654" s="111"/>
      <c r="E654" s="111"/>
      <c r="F654" s="111"/>
      <c r="G654" s="113"/>
      <c r="H654" s="113"/>
    </row>
    <row r="655" ht="21.75" customHeight="1">
      <c r="A655" s="110"/>
      <c r="B655" s="111"/>
      <c r="C655" s="112"/>
      <c r="D655" s="111"/>
      <c r="E655" s="111"/>
      <c r="F655" s="111"/>
      <c r="G655" s="113"/>
      <c r="H655" s="113"/>
    </row>
    <row r="656" ht="21.75" customHeight="1">
      <c r="A656" s="110"/>
      <c r="B656" s="111"/>
      <c r="C656" s="112"/>
      <c r="D656" s="111"/>
      <c r="E656" s="111"/>
      <c r="F656" s="111"/>
      <c r="G656" s="113"/>
      <c r="H656" s="113"/>
    </row>
    <row r="657" ht="21.75" customHeight="1">
      <c r="A657" s="110"/>
      <c r="B657" s="111"/>
      <c r="C657" s="112"/>
      <c r="D657" s="111"/>
      <c r="E657" s="111"/>
      <c r="F657" s="111"/>
      <c r="G657" s="113"/>
      <c r="H657" s="113"/>
    </row>
    <row r="658" ht="21.75" customHeight="1">
      <c r="A658" s="110"/>
      <c r="B658" s="111"/>
      <c r="C658" s="112"/>
      <c r="D658" s="111"/>
      <c r="E658" s="111"/>
      <c r="F658" s="111"/>
      <c r="G658" s="113"/>
      <c r="H658" s="113"/>
    </row>
    <row r="659" ht="21.75" customHeight="1">
      <c r="A659" s="110"/>
      <c r="B659" s="111"/>
      <c r="C659" s="112"/>
      <c r="D659" s="111"/>
      <c r="E659" s="111"/>
      <c r="F659" s="111"/>
      <c r="G659" s="113"/>
      <c r="H659" s="113"/>
    </row>
    <row r="660" ht="21.75" customHeight="1">
      <c r="A660" s="110"/>
      <c r="B660" s="111"/>
      <c r="C660" s="112"/>
      <c r="D660" s="111"/>
      <c r="E660" s="111"/>
      <c r="F660" s="111"/>
      <c r="G660" s="113"/>
      <c r="H660" s="113"/>
    </row>
    <row r="661" ht="21.75" customHeight="1">
      <c r="A661" s="110"/>
      <c r="B661" s="111"/>
      <c r="C661" s="112"/>
      <c r="D661" s="111"/>
      <c r="E661" s="111"/>
      <c r="F661" s="111"/>
      <c r="G661" s="113"/>
      <c r="H661" s="113"/>
    </row>
    <row r="662" ht="21.75" customHeight="1">
      <c r="A662" s="110"/>
      <c r="B662" s="111"/>
      <c r="C662" s="112"/>
      <c r="D662" s="111"/>
      <c r="E662" s="111"/>
      <c r="F662" s="111"/>
      <c r="G662" s="113"/>
      <c r="H662" s="113"/>
    </row>
    <row r="663" ht="21.75" customHeight="1">
      <c r="A663" s="110"/>
      <c r="B663" s="111"/>
      <c r="C663" s="112"/>
      <c r="D663" s="111"/>
      <c r="E663" s="111"/>
      <c r="F663" s="111"/>
      <c r="G663" s="113"/>
      <c r="H663" s="113"/>
    </row>
    <row r="664" ht="21.75" customHeight="1">
      <c r="A664" s="110"/>
      <c r="B664" s="111"/>
      <c r="C664" s="112"/>
      <c r="D664" s="111"/>
      <c r="E664" s="111"/>
      <c r="F664" s="111"/>
      <c r="G664" s="113"/>
      <c r="H664" s="113"/>
    </row>
    <row r="665" ht="21.75" customHeight="1">
      <c r="A665" s="110"/>
      <c r="B665" s="111"/>
      <c r="C665" s="112"/>
      <c r="D665" s="111"/>
      <c r="E665" s="111"/>
      <c r="F665" s="111"/>
      <c r="G665" s="113"/>
      <c r="H665" s="113"/>
    </row>
    <row r="666" ht="21.75" customHeight="1">
      <c r="A666" s="110"/>
      <c r="B666" s="111"/>
      <c r="C666" s="112"/>
      <c r="D666" s="111"/>
      <c r="E666" s="111"/>
      <c r="F666" s="111"/>
      <c r="G666" s="113"/>
      <c r="H666" s="113"/>
    </row>
    <row r="667" ht="21.75" customHeight="1">
      <c r="A667" s="110"/>
      <c r="B667" s="111"/>
      <c r="C667" s="112"/>
      <c r="D667" s="111"/>
      <c r="E667" s="111"/>
      <c r="F667" s="111"/>
      <c r="G667" s="113"/>
      <c r="H667" s="113"/>
    </row>
    <row r="668" ht="21.75" customHeight="1">
      <c r="A668" s="110"/>
      <c r="B668" s="111"/>
      <c r="C668" s="112"/>
      <c r="D668" s="111"/>
      <c r="E668" s="111"/>
      <c r="F668" s="111"/>
      <c r="G668" s="113"/>
      <c r="H668" s="113"/>
    </row>
    <row r="669" ht="21.75" customHeight="1">
      <c r="A669" s="110"/>
      <c r="B669" s="111"/>
      <c r="C669" s="112"/>
      <c r="D669" s="111"/>
      <c r="E669" s="111"/>
      <c r="F669" s="111"/>
      <c r="G669" s="113"/>
      <c r="H669" s="113"/>
    </row>
    <row r="670" ht="21.75" customHeight="1">
      <c r="A670" s="110"/>
      <c r="B670" s="111"/>
      <c r="C670" s="112"/>
      <c r="D670" s="111"/>
      <c r="E670" s="111"/>
      <c r="F670" s="111"/>
      <c r="G670" s="113"/>
      <c r="H670" s="113"/>
    </row>
    <row r="671" ht="21.75" customHeight="1">
      <c r="A671" s="110"/>
      <c r="B671" s="111"/>
      <c r="C671" s="112"/>
      <c r="D671" s="111"/>
      <c r="E671" s="111"/>
      <c r="F671" s="111"/>
      <c r="G671" s="113"/>
      <c r="H671" s="113"/>
    </row>
    <row r="672" ht="21.75" customHeight="1">
      <c r="A672" s="110"/>
      <c r="B672" s="111"/>
      <c r="C672" s="112"/>
      <c r="D672" s="111"/>
      <c r="E672" s="111"/>
      <c r="F672" s="111"/>
      <c r="G672" s="113"/>
      <c r="H672" s="113"/>
    </row>
    <row r="673" ht="21.75" customHeight="1">
      <c r="A673" s="110"/>
      <c r="B673" s="111"/>
      <c r="C673" s="112"/>
      <c r="D673" s="111"/>
      <c r="E673" s="111"/>
      <c r="F673" s="111"/>
      <c r="G673" s="113"/>
      <c r="H673" s="113"/>
    </row>
    <row r="674" ht="21.75" customHeight="1">
      <c r="A674" s="110"/>
      <c r="B674" s="111"/>
      <c r="C674" s="112"/>
      <c r="D674" s="111"/>
      <c r="E674" s="111"/>
      <c r="F674" s="111"/>
      <c r="G674" s="113"/>
      <c r="H674" s="113"/>
    </row>
    <row r="675" ht="21.75" customHeight="1">
      <c r="A675" s="110"/>
      <c r="B675" s="111"/>
      <c r="C675" s="112"/>
      <c r="D675" s="111"/>
      <c r="E675" s="111"/>
      <c r="F675" s="111"/>
      <c r="G675" s="113"/>
      <c r="H675" s="113"/>
    </row>
    <row r="676" ht="21.75" customHeight="1">
      <c r="A676" s="110"/>
      <c r="B676" s="111"/>
      <c r="C676" s="112"/>
      <c r="D676" s="111"/>
      <c r="E676" s="111"/>
      <c r="F676" s="111"/>
      <c r="G676" s="113"/>
      <c r="H676" s="113"/>
    </row>
    <row r="677" ht="21.75" customHeight="1">
      <c r="A677" s="110"/>
      <c r="B677" s="111"/>
      <c r="C677" s="112"/>
      <c r="D677" s="111"/>
      <c r="E677" s="111"/>
      <c r="F677" s="111"/>
      <c r="G677" s="113"/>
      <c r="H677" s="113"/>
    </row>
    <row r="678" ht="21.75" customHeight="1">
      <c r="A678" s="110"/>
      <c r="B678" s="111"/>
      <c r="C678" s="112"/>
      <c r="D678" s="111"/>
      <c r="E678" s="111"/>
      <c r="F678" s="111"/>
      <c r="G678" s="113"/>
      <c r="H678" s="113"/>
    </row>
    <row r="679" ht="21.75" customHeight="1">
      <c r="A679" s="110"/>
      <c r="B679" s="111"/>
      <c r="C679" s="112"/>
      <c r="D679" s="111"/>
      <c r="E679" s="111"/>
      <c r="F679" s="111"/>
      <c r="G679" s="113"/>
      <c r="H679" s="113"/>
    </row>
    <row r="680" ht="21.75" customHeight="1">
      <c r="A680" s="110"/>
      <c r="B680" s="111"/>
      <c r="C680" s="112"/>
      <c r="D680" s="111"/>
      <c r="E680" s="111"/>
      <c r="F680" s="111"/>
      <c r="G680" s="113"/>
      <c r="H680" s="113"/>
    </row>
    <row r="681" ht="21.75" customHeight="1">
      <c r="A681" s="110"/>
      <c r="B681" s="111"/>
      <c r="C681" s="112"/>
      <c r="D681" s="111"/>
      <c r="E681" s="111"/>
      <c r="F681" s="111"/>
      <c r="G681" s="113"/>
      <c r="H681" s="113"/>
    </row>
    <row r="682" ht="21.75" customHeight="1">
      <c r="A682" s="110"/>
      <c r="B682" s="111"/>
      <c r="C682" s="112"/>
      <c r="D682" s="111"/>
      <c r="E682" s="111"/>
      <c r="F682" s="111"/>
      <c r="G682" s="113"/>
      <c r="H682" s="113"/>
    </row>
    <row r="683" ht="21.75" customHeight="1">
      <c r="A683" s="110"/>
      <c r="B683" s="111"/>
      <c r="C683" s="112"/>
      <c r="D683" s="111"/>
      <c r="E683" s="111"/>
      <c r="F683" s="111"/>
      <c r="G683" s="113"/>
      <c r="H683" s="113"/>
    </row>
    <row r="684" ht="21.75" customHeight="1">
      <c r="A684" s="110"/>
      <c r="B684" s="111"/>
      <c r="C684" s="112"/>
      <c r="D684" s="111"/>
      <c r="E684" s="111"/>
      <c r="F684" s="111"/>
      <c r="G684" s="113"/>
      <c r="H684" s="113"/>
    </row>
    <row r="685" ht="21.75" customHeight="1">
      <c r="A685" s="110"/>
      <c r="B685" s="111"/>
      <c r="C685" s="112"/>
      <c r="D685" s="111"/>
      <c r="E685" s="111"/>
      <c r="F685" s="111"/>
      <c r="G685" s="113"/>
      <c r="H685" s="113"/>
    </row>
    <row r="686" ht="21.75" customHeight="1">
      <c r="A686" s="110"/>
      <c r="B686" s="111"/>
      <c r="C686" s="112"/>
      <c r="D686" s="111"/>
      <c r="E686" s="111"/>
      <c r="F686" s="111"/>
      <c r="G686" s="113"/>
      <c r="H686" s="113"/>
    </row>
    <row r="687" ht="21.75" customHeight="1">
      <c r="A687" s="110"/>
      <c r="B687" s="111"/>
      <c r="C687" s="112"/>
      <c r="D687" s="111"/>
      <c r="E687" s="111"/>
      <c r="F687" s="111"/>
      <c r="G687" s="113"/>
      <c r="H687" s="113"/>
    </row>
    <row r="688" ht="21.75" customHeight="1">
      <c r="A688" s="110"/>
      <c r="B688" s="111"/>
      <c r="C688" s="112"/>
      <c r="D688" s="111"/>
      <c r="E688" s="111"/>
      <c r="F688" s="111"/>
      <c r="G688" s="113"/>
      <c r="H688" s="113"/>
    </row>
    <row r="689" ht="21.75" customHeight="1">
      <c r="A689" s="110"/>
      <c r="B689" s="111"/>
      <c r="C689" s="112"/>
      <c r="D689" s="111"/>
      <c r="E689" s="111"/>
      <c r="F689" s="111"/>
      <c r="G689" s="113"/>
      <c r="H689" s="113"/>
    </row>
    <row r="690" ht="21.75" customHeight="1">
      <c r="A690" s="110"/>
      <c r="B690" s="111"/>
      <c r="C690" s="112"/>
      <c r="D690" s="111"/>
      <c r="E690" s="111"/>
      <c r="F690" s="111"/>
      <c r="G690" s="113"/>
      <c r="H690" s="113"/>
    </row>
    <row r="691" ht="21.75" customHeight="1">
      <c r="A691" s="110"/>
      <c r="B691" s="111"/>
      <c r="C691" s="112"/>
      <c r="D691" s="111"/>
      <c r="E691" s="111"/>
      <c r="F691" s="111"/>
      <c r="G691" s="113"/>
      <c r="H691" s="113"/>
    </row>
    <row r="692" ht="21.75" customHeight="1">
      <c r="A692" s="110"/>
      <c r="B692" s="111"/>
      <c r="C692" s="112"/>
      <c r="D692" s="111"/>
      <c r="E692" s="111"/>
      <c r="F692" s="111"/>
      <c r="G692" s="113"/>
      <c r="H692" s="113"/>
    </row>
    <row r="693" ht="21.75" customHeight="1">
      <c r="A693" s="110"/>
      <c r="B693" s="111"/>
      <c r="C693" s="112"/>
      <c r="D693" s="111"/>
      <c r="E693" s="111"/>
      <c r="F693" s="111"/>
      <c r="G693" s="113"/>
      <c r="H693" s="113"/>
    </row>
    <row r="694" ht="21.75" customHeight="1">
      <c r="A694" s="110"/>
      <c r="B694" s="111"/>
      <c r="C694" s="112"/>
      <c r="D694" s="111"/>
      <c r="E694" s="111"/>
      <c r="F694" s="111"/>
      <c r="G694" s="113"/>
      <c r="H694" s="113"/>
    </row>
    <row r="695" ht="21.75" customHeight="1">
      <c r="A695" s="110"/>
      <c r="B695" s="111"/>
      <c r="C695" s="112"/>
      <c r="D695" s="111"/>
      <c r="E695" s="111"/>
      <c r="F695" s="111"/>
      <c r="G695" s="113"/>
      <c r="H695" s="113"/>
    </row>
    <row r="696" ht="21.75" customHeight="1">
      <c r="A696" s="110"/>
      <c r="B696" s="111"/>
      <c r="C696" s="112"/>
      <c r="D696" s="111"/>
      <c r="E696" s="111"/>
      <c r="F696" s="111"/>
      <c r="G696" s="113"/>
      <c r="H696" s="113"/>
    </row>
    <row r="697" ht="21.75" customHeight="1">
      <c r="A697" s="110"/>
      <c r="B697" s="111"/>
      <c r="C697" s="112"/>
      <c r="D697" s="111"/>
      <c r="E697" s="111"/>
      <c r="F697" s="111"/>
      <c r="G697" s="113"/>
      <c r="H697" s="113"/>
    </row>
    <row r="698" ht="21.75" customHeight="1">
      <c r="A698" s="110"/>
      <c r="B698" s="111"/>
      <c r="C698" s="112"/>
      <c r="D698" s="111"/>
      <c r="E698" s="111"/>
      <c r="F698" s="111"/>
      <c r="G698" s="113"/>
      <c r="H698" s="113"/>
    </row>
    <row r="699" ht="21.75" customHeight="1">
      <c r="A699" s="110"/>
      <c r="B699" s="111"/>
      <c r="C699" s="112"/>
      <c r="D699" s="111"/>
      <c r="E699" s="111"/>
      <c r="F699" s="111"/>
      <c r="G699" s="113"/>
      <c r="H699" s="113"/>
    </row>
    <row r="700" ht="21.75" customHeight="1">
      <c r="A700" s="110"/>
      <c r="B700" s="111"/>
      <c r="C700" s="112"/>
      <c r="D700" s="111"/>
      <c r="E700" s="111"/>
      <c r="F700" s="111"/>
      <c r="G700" s="113"/>
      <c r="H700" s="113"/>
    </row>
    <row r="701" ht="21.75" customHeight="1">
      <c r="A701" s="110"/>
      <c r="B701" s="111"/>
      <c r="C701" s="112"/>
      <c r="D701" s="111"/>
      <c r="E701" s="111"/>
      <c r="F701" s="111"/>
      <c r="G701" s="113"/>
      <c r="H701" s="113"/>
    </row>
    <row r="702" ht="21.75" customHeight="1">
      <c r="A702" s="110"/>
      <c r="B702" s="111"/>
      <c r="C702" s="112"/>
      <c r="D702" s="111"/>
      <c r="E702" s="111"/>
      <c r="F702" s="111"/>
      <c r="G702" s="113"/>
      <c r="H702" s="113"/>
    </row>
    <row r="703" ht="21.75" customHeight="1">
      <c r="A703" s="110"/>
      <c r="B703" s="111"/>
      <c r="C703" s="112"/>
      <c r="D703" s="111"/>
      <c r="E703" s="111"/>
      <c r="F703" s="111"/>
      <c r="G703" s="113"/>
      <c r="H703" s="113"/>
    </row>
    <row r="704" ht="21.75" customHeight="1">
      <c r="A704" s="110"/>
      <c r="B704" s="111"/>
      <c r="C704" s="112"/>
      <c r="D704" s="111"/>
      <c r="E704" s="111"/>
      <c r="F704" s="111"/>
      <c r="G704" s="113"/>
      <c r="H704" s="113"/>
    </row>
    <row r="705" ht="21.75" customHeight="1">
      <c r="A705" s="110"/>
      <c r="B705" s="111"/>
      <c r="C705" s="112"/>
      <c r="D705" s="111"/>
      <c r="E705" s="111"/>
      <c r="F705" s="111"/>
      <c r="G705" s="113"/>
      <c r="H705" s="113"/>
    </row>
    <row r="706" ht="21.75" customHeight="1">
      <c r="A706" s="110"/>
      <c r="B706" s="111"/>
      <c r="C706" s="112"/>
      <c r="D706" s="111"/>
      <c r="E706" s="111"/>
      <c r="F706" s="111"/>
      <c r="G706" s="113"/>
      <c r="H706" s="113"/>
    </row>
    <row r="707" ht="21.75" customHeight="1">
      <c r="A707" s="110"/>
      <c r="B707" s="111"/>
      <c r="C707" s="112"/>
      <c r="D707" s="111"/>
      <c r="E707" s="111"/>
      <c r="F707" s="111"/>
      <c r="G707" s="113"/>
      <c r="H707" s="113"/>
    </row>
    <row r="708" ht="21.75" customHeight="1">
      <c r="A708" s="110"/>
      <c r="B708" s="111"/>
      <c r="C708" s="112"/>
      <c r="D708" s="111"/>
      <c r="E708" s="111"/>
      <c r="F708" s="111"/>
      <c r="G708" s="113"/>
      <c r="H708" s="113"/>
    </row>
    <row r="709" ht="21.75" customHeight="1">
      <c r="A709" s="110"/>
      <c r="B709" s="111"/>
      <c r="C709" s="112"/>
      <c r="D709" s="111"/>
      <c r="E709" s="111"/>
      <c r="F709" s="111"/>
      <c r="G709" s="113"/>
      <c r="H709" s="113"/>
    </row>
    <row r="710" ht="21.75" customHeight="1">
      <c r="A710" s="110"/>
      <c r="B710" s="111"/>
      <c r="C710" s="112"/>
      <c r="D710" s="111"/>
      <c r="E710" s="111"/>
      <c r="F710" s="111"/>
      <c r="G710" s="113"/>
      <c r="H710" s="113"/>
    </row>
    <row r="711" ht="21.75" customHeight="1">
      <c r="A711" s="110"/>
      <c r="B711" s="111"/>
      <c r="C711" s="112"/>
      <c r="D711" s="111"/>
      <c r="E711" s="111"/>
      <c r="F711" s="111"/>
      <c r="G711" s="113"/>
      <c r="H711" s="113"/>
    </row>
    <row r="712" ht="21.75" customHeight="1">
      <c r="A712" s="110"/>
      <c r="B712" s="111"/>
      <c r="C712" s="112"/>
      <c r="D712" s="111"/>
      <c r="E712" s="111"/>
      <c r="F712" s="111"/>
      <c r="G712" s="113"/>
      <c r="H712" s="113"/>
    </row>
    <row r="713" ht="21.75" customHeight="1">
      <c r="A713" s="110"/>
      <c r="B713" s="111"/>
      <c r="C713" s="112"/>
      <c r="D713" s="111"/>
      <c r="E713" s="111"/>
      <c r="F713" s="111"/>
      <c r="G713" s="113"/>
      <c r="H713" s="113"/>
    </row>
    <row r="714" ht="21.75" customHeight="1">
      <c r="A714" s="110"/>
      <c r="B714" s="111"/>
      <c r="C714" s="112"/>
      <c r="D714" s="111"/>
      <c r="E714" s="111"/>
      <c r="F714" s="111"/>
      <c r="G714" s="113"/>
      <c r="H714" s="113"/>
    </row>
    <row r="715" ht="21.75" customHeight="1">
      <c r="A715" s="110"/>
      <c r="B715" s="111"/>
      <c r="C715" s="112"/>
      <c r="D715" s="111"/>
      <c r="E715" s="111"/>
      <c r="F715" s="111"/>
      <c r="G715" s="113"/>
      <c r="H715" s="113"/>
    </row>
    <row r="716" ht="21.75" customHeight="1">
      <c r="A716" s="110"/>
      <c r="B716" s="111"/>
      <c r="C716" s="112"/>
      <c r="D716" s="111"/>
      <c r="E716" s="111"/>
      <c r="F716" s="111"/>
      <c r="G716" s="113"/>
      <c r="H716" s="113"/>
    </row>
    <row r="717" ht="21.75" customHeight="1">
      <c r="A717" s="110"/>
      <c r="B717" s="111"/>
      <c r="C717" s="112"/>
      <c r="D717" s="111"/>
      <c r="E717" s="111"/>
      <c r="F717" s="111"/>
      <c r="G717" s="113"/>
      <c r="H717" s="113"/>
    </row>
    <row r="718" ht="21.75" customHeight="1">
      <c r="A718" s="110"/>
      <c r="B718" s="111"/>
      <c r="C718" s="112"/>
      <c r="D718" s="111"/>
      <c r="E718" s="111"/>
      <c r="F718" s="111"/>
      <c r="G718" s="113"/>
      <c r="H718" s="113"/>
    </row>
    <row r="719" ht="21.75" customHeight="1">
      <c r="A719" s="110"/>
      <c r="B719" s="111"/>
      <c r="C719" s="112"/>
      <c r="D719" s="111"/>
      <c r="E719" s="111"/>
      <c r="F719" s="111"/>
      <c r="G719" s="113"/>
      <c r="H719" s="113"/>
    </row>
    <row r="720" ht="21.75" customHeight="1">
      <c r="A720" s="110"/>
      <c r="B720" s="111"/>
      <c r="C720" s="112"/>
      <c r="D720" s="111"/>
      <c r="E720" s="111"/>
      <c r="F720" s="111"/>
      <c r="G720" s="113"/>
      <c r="H720" s="113"/>
    </row>
    <row r="721" ht="21.75" customHeight="1">
      <c r="A721" s="110"/>
      <c r="B721" s="111"/>
      <c r="C721" s="112"/>
      <c r="D721" s="111"/>
      <c r="E721" s="111"/>
      <c r="F721" s="111"/>
      <c r="G721" s="113"/>
      <c r="H721" s="113"/>
    </row>
    <row r="722" ht="21.75" customHeight="1">
      <c r="A722" s="110"/>
      <c r="B722" s="111"/>
      <c r="C722" s="112"/>
      <c r="D722" s="111"/>
      <c r="E722" s="111"/>
      <c r="F722" s="111"/>
      <c r="G722" s="113"/>
      <c r="H722" s="113"/>
    </row>
    <row r="723" ht="21.75" customHeight="1">
      <c r="A723" s="110"/>
      <c r="B723" s="111"/>
      <c r="C723" s="112"/>
      <c r="D723" s="111"/>
      <c r="E723" s="111"/>
      <c r="F723" s="111"/>
      <c r="G723" s="113"/>
      <c r="H723" s="113"/>
    </row>
    <row r="724" ht="21.75" customHeight="1">
      <c r="A724" s="110"/>
      <c r="B724" s="111"/>
      <c r="C724" s="112"/>
      <c r="D724" s="111"/>
      <c r="E724" s="111"/>
      <c r="F724" s="111"/>
      <c r="G724" s="113"/>
      <c r="H724" s="113"/>
    </row>
    <row r="725" ht="21.75" customHeight="1">
      <c r="A725" s="110"/>
      <c r="B725" s="111"/>
      <c r="C725" s="112"/>
      <c r="D725" s="111"/>
      <c r="E725" s="111"/>
      <c r="F725" s="111"/>
      <c r="G725" s="113"/>
      <c r="H725" s="113"/>
    </row>
    <row r="726" ht="21.75" customHeight="1">
      <c r="A726" s="110"/>
      <c r="B726" s="111"/>
      <c r="C726" s="112"/>
      <c r="D726" s="111"/>
      <c r="E726" s="111"/>
      <c r="F726" s="111"/>
      <c r="G726" s="113"/>
      <c r="H726" s="113"/>
    </row>
    <row r="727" ht="21.75" customHeight="1">
      <c r="A727" s="110"/>
      <c r="B727" s="111"/>
      <c r="C727" s="112"/>
      <c r="D727" s="111"/>
      <c r="E727" s="111"/>
      <c r="F727" s="111"/>
      <c r="G727" s="113"/>
      <c r="H727" s="113"/>
    </row>
    <row r="728" ht="21.75" customHeight="1">
      <c r="A728" s="110"/>
      <c r="B728" s="111"/>
      <c r="C728" s="112"/>
      <c r="D728" s="111"/>
      <c r="E728" s="111"/>
      <c r="F728" s="111"/>
      <c r="G728" s="113"/>
      <c r="H728" s="113"/>
    </row>
    <row r="729" ht="21.75" customHeight="1">
      <c r="A729" s="110"/>
      <c r="B729" s="111"/>
      <c r="C729" s="112"/>
      <c r="D729" s="111"/>
      <c r="E729" s="111"/>
      <c r="F729" s="111"/>
      <c r="G729" s="113"/>
      <c r="H729" s="113"/>
    </row>
    <row r="730" ht="21.75" customHeight="1">
      <c r="A730" s="110"/>
      <c r="B730" s="111"/>
      <c r="C730" s="112"/>
      <c r="D730" s="111"/>
      <c r="E730" s="111"/>
      <c r="F730" s="111"/>
      <c r="G730" s="113"/>
      <c r="H730" s="113"/>
    </row>
    <row r="731" ht="21.75" customHeight="1">
      <c r="A731" s="110"/>
      <c r="B731" s="111"/>
      <c r="C731" s="112"/>
      <c r="D731" s="111"/>
      <c r="E731" s="111"/>
      <c r="F731" s="111"/>
      <c r="G731" s="113"/>
      <c r="H731" s="113"/>
    </row>
    <row r="732" ht="21.75" customHeight="1">
      <c r="A732" s="110"/>
      <c r="B732" s="111"/>
      <c r="C732" s="112"/>
      <c r="D732" s="111"/>
      <c r="E732" s="111"/>
      <c r="F732" s="111"/>
      <c r="G732" s="113"/>
      <c r="H732" s="113"/>
    </row>
    <row r="733" ht="21.75" customHeight="1">
      <c r="A733" s="110"/>
      <c r="B733" s="111"/>
      <c r="C733" s="112"/>
      <c r="D733" s="111"/>
      <c r="E733" s="111"/>
      <c r="F733" s="111"/>
      <c r="G733" s="113"/>
      <c r="H733" s="113"/>
    </row>
    <row r="734" ht="21.75" customHeight="1">
      <c r="A734" s="110"/>
      <c r="B734" s="111"/>
      <c r="C734" s="112"/>
      <c r="D734" s="111"/>
      <c r="E734" s="111"/>
      <c r="F734" s="111"/>
      <c r="G734" s="113"/>
      <c r="H734" s="113"/>
    </row>
    <row r="735" ht="21.75" customHeight="1">
      <c r="A735" s="110"/>
      <c r="B735" s="111"/>
      <c r="C735" s="112"/>
      <c r="D735" s="111"/>
      <c r="E735" s="111"/>
      <c r="F735" s="111"/>
      <c r="G735" s="113"/>
      <c r="H735" s="113"/>
    </row>
    <row r="736" ht="21.75" customHeight="1">
      <c r="A736" s="110"/>
      <c r="B736" s="111"/>
      <c r="C736" s="112"/>
      <c r="D736" s="111"/>
      <c r="E736" s="111"/>
      <c r="F736" s="111"/>
      <c r="G736" s="113"/>
      <c r="H736" s="113"/>
    </row>
    <row r="737" ht="21.75" customHeight="1">
      <c r="A737" s="110"/>
      <c r="B737" s="111"/>
      <c r="C737" s="112"/>
      <c r="D737" s="111"/>
      <c r="E737" s="111"/>
      <c r="F737" s="111"/>
      <c r="G737" s="113"/>
      <c r="H737" s="113"/>
    </row>
    <row r="738" ht="21.75" customHeight="1">
      <c r="A738" s="110"/>
      <c r="B738" s="111"/>
      <c r="C738" s="112"/>
      <c r="D738" s="111"/>
      <c r="E738" s="111"/>
      <c r="F738" s="111"/>
      <c r="G738" s="113"/>
      <c r="H738" s="113"/>
    </row>
    <row r="739" ht="21.75" customHeight="1">
      <c r="A739" s="110"/>
      <c r="B739" s="111"/>
      <c r="C739" s="112"/>
      <c r="D739" s="111"/>
      <c r="E739" s="111"/>
      <c r="F739" s="111"/>
      <c r="G739" s="113"/>
      <c r="H739" s="113"/>
    </row>
    <row r="740" ht="21.75" customHeight="1">
      <c r="A740" s="110"/>
      <c r="B740" s="111"/>
      <c r="C740" s="112"/>
      <c r="D740" s="111"/>
      <c r="E740" s="111"/>
      <c r="F740" s="111"/>
      <c r="G740" s="113"/>
      <c r="H740" s="113"/>
    </row>
    <row r="741" ht="21.75" customHeight="1">
      <c r="A741" s="110"/>
      <c r="B741" s="111"/>
      <c r="C741" s="112"/>
      <c r="D741" s="111"/>
      <c r="E741" s="111"/>
      <c r="F741" s="111"/>
      <c r="G741" s="113"/>
      <c r="H741" s="113"/>
    </row>
    <row r="742" ht="21.75" customHeight="1">
      <c r="A742" s="110"/>
      <c r="B742" s="111"/>
      <c r="C742" s="112"/>
      <c r="D742" s="111"/>
      <c r="E742" s="111"/>
      <c r="F742" s="111"/>
      <c r="G742" s="113"/>
      <c r="H742" s="113"/>
    </row>
    <row r="743" ht="21.75" customHeight="1">
      <c r="A743" s="110"/>
      <c r="B743" s="111"/>
      <c r="C743" s="112"/>
      <c r="D743" s="111"/>
      <c r="E743" s="111"/>
      <c r="F743" s="111"/>
      <c r="G743" s="113"/>
      <c r="H743" s="113"/>
    </row>
    <row r="744" ht="21.75" customHeight="1">
      <c r="A744" s="110"/>
      <c r="B744" s="111"/>
      <c r="C744" s="112"/>
      <c r="D744" s="111"/>
      <c r="E744" s="111"/>
      <c r="F744" s="111"/>
      <c r="G744" s="113"/>
      <c r="H744" s="113"/>
    </row>
    <row r="745" ht="21.75" customHeight="1">
      <c r="A745" s="110"/>
      <c r="B745" s="111"/>
      <c r="C745" s="112"/>
      <c r="D745" s="111"/>
      <c r="E745" s="111"/>
      <c r="F745" s="111"/>
      <c r="G745" s="113"/>
      <c r="H745" s="113"/>
    </row>
    <row r="746" ht="21.75" customHeight="1">
      <c r="A746" s="110"/>
      <c r="B746" s="111"/>
      <c r="C746" s="112"/>
      <c r="D746" s="111"/>
      <c r="E746" s="111"/>
      <c r="F746" s="111"/>
      <c r="G746" s="113"/>
      <c r="H746" s="113"/>
    </row>
    <row r="747" ht="21.75" customHeight="1">
      <c r="A747" s="110"/>
      <c r="B747" s="111"/>
      <c r="C747" s="112"/>
      <c r="D747" s="111"/>
      <c r="E747" s="111"/>
      <c r="F747" s="111"/>
      <c r="G747" s="113"/>
      <c r="H747" s="113"/>
    </row>
    <row r="748" ht="21.75" customHeight="1">
      <c r="A748" s="110"/>
      <c r="B748" s="111"/>
      <c r="C748" s="112"/>
      <c r="D748" s="111"/>
      <c r="E748" s="111"/>
      <c r="F748" s="111"/>
      <c r="G748" s="113"/>
      <c r="H748" s="113"/>
    </row>
    <row r="749" ht="21.75" customHeight="1">
      <c r="A749" s="110"/>
      <c r="B749" s="111"/>
      <c r="C749" s="112"/>
      <c r="D749" s="111"/>
      <c r="E749" s="111"/>
      <c r="F749" s="111"/>
      <c r="G749" s="113"/>
      <c r="H749" s="113"/>
    </row>
    <row r="750" ht="21.75" customHeight="1">
      <c r="A750" s="110"/>
      <c r="B750" s="111"/>
      <c r="C750" s="112"/>
      <c r="D750" s="111"/>
      <c r="E750" s="111"/>
      <c r="F750" s="111"/>
      <c r="G750" s="113"/>
      <c r="H750" s="113"/>
    </row>
    <row r="751" ht="21.75" customHeight="1">
      <c r="A751" s="110"/>
      <c r="B751" s="111"/>
      <c r="C751" s="112"/>
      <c r="D751" s="111"/>
      <c r="E751" s="111"/>
      <c r="F751" s="111"/>
      <c r="G751" s="113"/>
      <c r="H751" s="113"/>
    </row>
    <row r="752" ht="21.75" customHeight="1">
      <c r="A752" s="110"/>
      <c r="B752" s="111"/>
      <c r="C752" s="112"/>
      <c r="D752" s="111"/>
      <c r="E752" s="111"/>
      <c r="F752" s="111"/>
      <c r="G752" s="113"/>
      <c r="H752" s="113"/>
    </row>
    <row r="753" ht="21.75" customHeight="1">
      <c r="A753" s="110"/>
      <c r="B753" s="111"/>
      <c r="C753" s="112"/>
      <c r="D753" s="111"/>
      <c r="E753" s="111"/>
      <c r="F753" s="111"/>
      <c r="G753" s="113"/>
      <c r="H753" s="113"/>
    </row>
    <row r="754" ht="21.75" customHeight="1">
      <c r="A754" s="110"/>
      <c r="B754" s="111"/>
      <c r="C754" s="112"/>
      <c r="D754" s="111"/>
      <c r="E754" s="111"/>
      <c r="F754" s="111"/>
      <c r="G754" s="113"/>
      <c r="H754" s="113"/>
    </row>
    <row r="755" ht="21.75" customHeight="1">
      <c r="A755" s="110"/>
      <c r="B755" s="111"/>
      <c r="C755" s="112"/>
      <c r="D755" s="111"/>
      <c r="E755" s="111"/>
      <c r="F755" s="111"/>
      <c r="G755" s="113"/>
      <c r="H755" s="113"/>
    </row>
    <row r="756" ht="21.75" customHeight="1">
      <c r="A756" s="110"/>
      <c r="B756" s="111"/>
      <c r="C756" s="112"/>
      <c r="D756" s="111"/>
      <c r="E756" s="111"/>
      <c r="F756" s="111"/>
      <c r="G756" s="113"/>
      <c r="H756" s="113"/>
    </row>
    <row r="757" ht="21.75" customHeight="1">
      <c r="A757" s="110"/>
      <c r="B757" s="111"/>
      <c r="C757" s="112"/>
      <c r="D757" s="111"/>
      <c r="E757" s="111"/>
      <c r="F757" s="111"/>
      <c r="G757" s="113"/>
      <c r="H757" s="113"/>
    </row>
    <row r="758" ht="21.75" customHeight="1">
      <c r="A758" s="110"/>
      <c r="B758" s="111"/>
      <c r="C758" s="112"/>
      <c r="D758" s="111"/>
      <c r="E758" s="111"/>
      <c r="F758" s="111"/>
      <c r="G758" s="113"/>
      <c r="H758" s="113"/>
    </row>
    <row r="759" ht="21.75" customHeight="1">
      <c r="A759" s="110"/>
      <c r="B759" s="111"/>
      <c r="C759" s="112"/>
      <c r="D759" s="111"/>
      <c r="E759" s="111"/>
      <c r="F759" s="111"/>
      <c r="G759" s="113"/>
      <c r="H759" s="113"/>
    </row>
    <row r="760" ht="21.75" customHeight="1">
      <c r="A760" s="110"/>
      <c r="B760" s="111"/>
      <c r="C760" s="112"/>
      <c r="D760" s="111"/>
      <c r="E760" s="111"/>
      <c r="F760" s="111"/>
      <c r="G760" s="113"/>
      <c r="H760" s="113"/>
    </row>
    <row r="761" ht="21.75" customHeight="1">
      <c r="A761" s="110"/>
      <c r="B761" s="111"/>
      <c r="C761" s="112"/>
      <c r="D761" s="111"/>
      <c r="E761" s="111"/>
      <c r="F761" s="111"/>
      <c r="G761" s="113"/>
      <c r="H761" s="113"/>
    </row>
    <row r="762" ht="21.75" customHeight="1">
      <c r="A762" s="110"/>
      <c r="B762" s="111"/>
      <c r="C762" s="112"/>
      <c r="D762" s="111"/>
      <c r="E762" s="111"/>
      <c r="F762" s="111"/>
      <c r="G762" s="113"/>
      <c r="H762" s="113"/>
    </row>
    <row r="763" ht="21.75" customHeight="1">
      <c r="A763" s="110"/>
      <c r="B763" s="111"/>
      <c r="C763" s="112"/>
      <c r="D763" s="111"/>
      <c r="E763" s="111"/>
      <c r="F763" s="111"/>
      <c r="G763" s="113"/>
      <c r="H763" s="113"/>
    </row>
    <row r="764" ht="21.75" customHeight="1">
      <c r="A764" s="110"/>
      <c r="B764" s="111"/>
      <c r="C764" s="112"/>
      <c r="D764" s="111"/>
      <c r="E764" s="111"/>
      <c r="F764" s="111"/>
      <c r="G764" s="113"/>
      <c r="H764" s="113"/>
    </row>
    <row r="765" ht="21.75" customHeight="1">
      <c r="A765" s="110"/>
      <c r="B765" s="111"/>
      <c r="C765" s="112"/>
      <c r="D765" s="111"/>
      <c r="E765" s="111"/>
      <c r="F765" s="111"/>
      <c r="G765" s="113"/>
      <c r="H765" s="113"/>
    </row>
    <row r="766" ht="21.75" customHeight="1">
      <c r="A766" s="110"/>
      <c r="B766" s="111"/>
      <c r="C766" s="112"/>
      <c r="D766" s="111"/>
      <c r="E766" s="111"/>
      <c r="F766" s="111"/>
      <c r="G766" s="113"/>
      <c r="H766" s="113"/>
    </row>
    <row r="767" ht="21.75" customHeight="1">
      <c r="A767" s="110"/>
      <c r="B767" s="111"/>
      <c r="C767" s="112"/>
      <c r="D767" s="111"/>
      <c r="E767" s="111"/>
      <c r="F767" s="111"/>
      <c r="G767" s="113"/>
      <c r="H767" s="113"/>
    </row>
    <row r="768" ht="21.75" customHeight="1">
      <c r="A768" s="110"/>
      <c r="B768" s="111"/>
      <c r="C768" s="112"/>
      <c r="D768" s="111"/>
      <c r="E768" s="111"/>
      <c r="F768" s="111"/>
      <c r="G768" s="113"/>
      <c r="H768" s="113"/>
    </row>
    <row r="769" ht="21.75" customHeight="1">
      <c r="A769" s="110"/>
      <c r="B769" s="111"/>
      <c r="C769" s="112"/>
      <c r="D769" s="111"/>
      <c r="E769" s="111"/>
      <c r="F769" s="111"/>
      <c r="G769" s="113"/>
      <c r="H769" s="113"/>
    </row>
    <row r="770" ht="21.75" customHeight="1">
      <c r="A770" s="110"/>
      <c r="B770" s="111"/>
      <c r="C770" s="112"/>
      <c r="D770" s="111"/>
      <c r="E770" s="111"/>
      <c r="F770" s="111"/>
      <c r="G770" s="113"/>
      <c r="H770" s="113"/>
    </row>
    <row r="771" ht="21.75" customHeight="1">
      <c r="A771" s="110"/>
      <c r="B771" s="111"/>
      <c r="C771" s="112"/>
      <c r="D771" s="111"/>
      <c r="E771" s="111"/>
      <c r="F771" s="111"/>
      <c r="G771" s="113"/>
      <c r="H771" s="113"/>
    </row>
    <row r="772" ht="21.75" customHeight="1">
      <c r="A772" s="110"/>
      <c r="B772" s="111"/>
      <c r="C772" s="112"/>
      <c r="D772" s="111"/>
      <c r="E772" s="111"/>
      <c r="F772" s="111"/>
      <c r="G772" s="113"/>
      <c r="H772" s="113"/>
    </row>
    <row r="773" ht="21.75" customHeight="1">
      <c r="A773" s="110"/>
      <c r="B773" s="111"/>
      <c r="C773" s="112"/>
      <c r="D773" s="111"/>
      <c r="E773" s="111"/>
      <c r="F773" s="111"/>
      <c r="G773" s="113"/>
      <c r="H773" s="113"/>
    </row>
    <row r="774" ht="21.75" customHeight="1">
      <c r="A774" s="110"/>
      <c r="B774" s="111"/>
      <c r="C774" s="112"/>
      <c r="D774" s="111"/>
      <c r="E774" s="111"/>
      <c r="F774" s="111"/>
      <c r="G774" s="113"/>
      <c r="H774" s="113"/>
    </row>
    <row r="775" ht="21.75" customHeight="1">
      <c r="A775" s="110"/>
      <c r="B775" s="111"/>
      <c r="C775" s="112"/>
      <c r="D775" s="111"/>
      <c r="E775" s="111"/>
      <c r="F775" s="111"/>
      <c r="G775" s="113"/>
      <c r="H775" s="113"/>
    </row>
    <row r="776" ht="21.75" customHeight="1">
      <c r="A776" s="110"/>
      <c r="B776" s="111"/>
      <c r="C776" s="112"/>
      <c r="D776" s="111"/>
      <c r="E776" s="111"/>
      <c r="F776" s="111"/>
      <c r="G776" s="113"/>
      <c r="H776" s="113"/>
    </row>
    <row r="777" ht="21.75" customHeight="1">
      <c r="A777" s="110"/>
      <c r="B777" s="111"/>
      <c r="C777" s="112"/>
      <c r="D777" s="111"/>
      <c r="E777" s="111"/>
      <c r="F777" s="111"/>
      <c r="G777" s="113"/>
      <c r="H777" s="113"/>
    </row>
    <row r="778" ht="21.75" customHeight="1">
      <c r="A778" s="110"/>
      <c r="B778" s="111"/>
      <c r="C778" s="112"/>
      <c r="D778" s="111"/>
      <c r="E778" s="111"/>
      <c r="F778" s="111"/>
      <c r="G778" s="113"/>
      <c r="H778" s="113"/>
    </row>
    <row r="779" ht="21.75" customHeight="1">
      <c r="A779" s="110"/>
      <c r="B779" s="111"/>
      <c r="C779" s="112"/>
      <c r="D779" s="111"/>
      <c r="E779" s="111"/>
      <c r="F779" s="111"/>
      <c r="G779" s="113"/>
      <c r="H779" s="113"/>
    </row>
    <row r="780" ht="21.75" customHeight="1">
      <c r="A780" s="110"/>
      <c r="B780" s="111"/>
      <c r="C780" s="112"/>
      <c r="D780" s="111"/>
      <c r="E780" s="111"/>
      <c r="F780" s="111"/>
      <c r="G780" s="113"/>
      <c r="H780" s="113"/>
    </row>
    <row r="781" ht="21.75" customHeight="1">
      <c r="A781" s="110"/>
      <c r="B781" s="111"/>
      <c r="C781" s="112"/>
      <c r="D781" s="111"/>
      <c r="E781" s="111"/>
      <c r="F781" s="111"/>
      <c r="G781" s="113"/>
      <c r="H781" s="113"/>
    </row>
    <row r="782" ht="21.75" customHeight="1">
      <c r="A782" s="110"/>
      <c r="B782" s="111"/>
      <c r="C782" s="112"/>
      <c r="D782" s="111"/>
      <c r="E782" s="111"/>
      <c r="F782" s="111"/>
      <c r="G782" s="113"/>
      <c r="H782" s="113"/>
    </row>
    <row r="783" ht="21.75" customHeight="1">
      <c r="A783" s="110"/>
      <c r="B783" s="111"/>
      <c r="C783" s="112"/>
      <c r="D783" s="111"/>
      <c r="E783" s="111"/>
      <c r="F783" s="111"/>
      <c r="G783" s="113"/>
      <c r="H783" s="113"/>
    </row>
    <row r="784" ht="21.75" customHeight="1">
      <c r="A784" s="110"/>
      <c r="B784" s="111"/>
      <c r="C784" s="112"/>
      <c r="D784" s="111"/>
      <c r="E784" s="111"/>
      <c r="F784" s="111"/>
      <c r="G784" s="113"/>
      <c r="H784" s="113"/>
    </row>
    <row r="785" ht="21.75" customHeight="1">
      <c r="A785" s="110"/>
      <c r="B785" s="111"/>
      <c r="C785" s="112"/>
      <c r="D785" s="111"/>
      <c r="E785" s="111"/>
      <c r="F785" s="111"/>
      <c r="G785" s="113"/>
      <c r="H785" s="113"/>
    </row>
    <row r="786" ht="21.75" customHeight="1">
      <c r="A786" s="110"/>
      <c r="B786" s="111"/>
      <c r="C786" s="112"/>
      <c r="D786" s="111"/>
      <c r="E786" s="111"/>
      <c r="F786" s="111"/>
      <c r="G786" s="113"/>
      <c r="H786" s="113"/>
    </row>
    <row r="787" ht="21.75" customHeight="1">
      <c r="A787" s="110"/>
      <c r="B787" s="111"/>
      <c r="C787" s="112"/>
      <c r="D787" s="111"/>
      <c r="E787" s="111"/>
      <c r="F787" s="111"/>
      <c r="G787" s="113"/>
      <c r="H787" s="113"/>
    </row>
    <row r="788" ht="21.75" customHeight="1">
      <c r="A788" s="110"/>
      <c r="B788" s="111"/>
      <c r="C788" s="112"/>
      <c r="D788" s="111"/>
      <c r="E788" s="111"/>
      <c r="F788" s="111"/>
      <c r="G788" s="113"/>
      <c r="H788" s="113"/>
    </row>
    <row r="789" ht="21.75" customHeight="1">
      <c r="A789" s="110"/>
      <c r="B789" s="111"/>
      <c r="C789" s="112"/>
      <c r="D789" s="111"/>
      <c r="E789" s="111"/>
      <c r="F789" s="111"/>
      <c r="G789" s="113"/>
      <c r="H789" s="113"/>
    </row>
    <row r="790" ht="21.75" customHeight="1">
      <c r="A790" s="110"/>
      <c r="B790" s="111"/>
      <c r="C790" s="112"/>
      <c r="D790" s="111"/>
      <c r="E790" s="111"/>
      <c r="F790" s="111"/>
      <c r="G790" s="113"/>
      <c r="H790" s="113"/>
    </row>
    <row r="791" ht="21.75" customHeight="1">
      <c r="A791" s="110"/>
      <c r="B791" s="111"/>
      <c r="C791" s="112"/>
      <c r="D791" s="111"/>
      <c r="E791" s="111"/>
      <c r="F791" s="111"/>
      <c r="G791" s="113"/>
      <c r="H791" s="113"/>
    </row>
    <row r="792" ht="21.75" customHeight="1">
      <c r="A792" s="110"/>
      <c r="B792" s="111"/>
      <c r="C792" s="112"/>
      <c r="D792" s="111"/>
      <c r="E792" s="111"/>
      <c r="F792" s="111"/>
      <c r="G792" s="113"/>
      <c r="H792" s="113"/>
    </row>
    <row r="793" ht="21.75" customHeight="1">
      <c r="A793" s="110"/>
      <c r="B793" s="111"/>
      <c r="C793" s="112"/>
      <c r="D793" s="111"/>
      <c r="E793" s="111"/>
      <c r="F793" s="111"/>
      <c r="G793" s="113"/>
      <c r="H793" s="113"/>
    </row>
    <row r="794" ht="21.75" customHeight="1">
      <c r="A794" s="110"/>
      <c r="B794" s="111"/>
      <c r="C794" s="112"/>
      <c r="D794" s="111"/>
      <c r="E794" s="111"/>
      <c r="F794" s="111"/>
      <c r="G794" s="113"/>
      <c r="H794" s="113"/>
    </row>
    <row r="795" ht="21.75" customHeight="1">
      <c r="A795" s="110"/>
      <c r="B795" s="111"/>
      <c r="C795" s="112"/>
      <c r="D795" s="111"/>
      <c r="E795" s="111"/>
      <c r="F795" s="111"/>
      <c r="G795" s="113"/>
      <c r="H795" s="113"/>
    </row>
    <row r="796" ht="21.75" customHeight="1">
      <c r="A796" s="110"/>
      <c r="B796" s="111"/>
      <c r="C796" s="112"/>
      <c r="D796" s="111"/>
      <c r="E796" s="111"/>
      <c r="F796" s="111"/>
      <c r="G796" s="113"/>
      <c r="H796" s="113"/>
    </row>
    <row r="797" ht="21.75" customHeight="1">
      <c r="A797" s="110"/>
      <c r="B797" s="111"/>
      <c r="C797" s="112"/>
      <c r="D797" s="111"/>
      <c r="E797" s="111"/>
      <c r="F797" s="111"/>
      <c r="G797" s="113"/>
      <c r="H797" s="113"/>
    </row>
    <row r="798" ht="21.75" customHeight="1">
      <c r="A798" s="110"/>
      <c r="B798" s="111"/>
      <c r="C798" s="112"/>
      <c r="D798" s="111"/>
      <c r="E798" s="111"/>
      <c r="F798" s="111"/>
      <c r="G798" s="113"/>
      <c r="H798" s="113"/>
    </row>
    <row r="799" ht="21.75" customHeight="1">
      <c r="A799" s="110"/>
      <c r="B799" s="111"/>
      <c r="C799" s="112"/>
      <c r="D799" s="111"/>
      <c r="E799" s="111"/>
      <c r="F799" s="111"/>
      <c r="G799" s="113"/>
      <c r="H799" s="113"/>
    </row>
    <row r="800" ht="21.75" customHeight="1">
      <c r="A800" s="110"/>
      <c r="B800" s="111"/>
      <c r="C800" s="112"/>
      <c r="D800" s="111"/>
      <c r="E800" s="111"/>
      <c r="F800" s="111"/>
      <c r="G800" s="113"/>
      <c r="H800" s="113"/>
    </row>
    <row r="801" ht="21.75" customHeight="1">
      <c r="A801" s="110"/>
      <c r="B801" s="111"/>
      <c r="C801" s="112"/>
      <c r="D801" s="111"/>
      <c r="E801" s="111"/>
      <c r="F801" s="111"/>
      <c r="G801" s="113"/>
      <c r="H801" s="113"/>
    </row>
    <row r="802" ht="21.75" customHeight="1">
      <c r="A802" s="110"/>
      <c r="B802" s="111"/>
      <c r="C802" s="112"/>
      <c r="D802" s="111"/>
      <c r="E802" s="111"/>
      <c r="F802" s="111"/>
      <c r="G802" s="113"/>
      <c r="H802" s="113"/>
    </row>
    <row r="803" ht="21.75" customHeight="1">
      <c r="A803" s="110"/>
      <c r="B803" s="111"/>
      <c r="C803" s="112"/>
      <c r="D803" s="111"/>
      <c r="E803" s="111"/>
      <c r="F803" s="111"/>
      <c r="G803" s="113"/>
      <c r="H803" s="113"/>
    </row>
    <row r="804" ht="21.75" customHeight="1">
      <c r="A804" s="110"/>
      <c r="B804" s="111"/>
      <c r="C804" s="112"/>
      <c r="D804" s="111"/>
      <c r="E804" s="111"/>
      <c r="F804" s="111"/>
      <c r="G804" s="113"/>
      <c r="H804" s="113"/>
    </row>
    <row r="805" ht="21.75" customHeight="1">
      <c r="A805" s="110"/>
      <c r="B805" s="111"/>
      <c r="C805" s="112"/>
      <c r="D805" s="111"/>
      <c r="E805" s="111"/>
      <c r="F805" s="111"/>
      <c r="G805" s="113"/>
      <c r="H805" s="113"/>
    </row>
    <row r="806" ht="21.75" customHeight="1">
      <c r="A806" s="110"/>
      <c r="B806" s="111"/>
      <c r="C806" s="112"/>
      <c r="D806" s="111"/>
      <c r="E806" s="111"/>
      <c r="F806" s="111"/>
      <c r="G806" s="113"/>
      <c r="H806" s="113"/>
    </row>
    <row r="807" ht="21.75" customHeight="1">
      <c r="A807" s="110"/>
      <c r="B807" s="111"/>
      <c r="C807" s="112"/>
      <c r="D807" s="111"/>
      <c r="E807" s="111"/>
      <c r="F807" s="111"/>
      <c r="G807" s="113"/>
      <c r="H807" s="113"/>
    </row>
    <row r="808" ht="21.75" customHeight="1">
      <c r="A808" s="110"/>
      <c r="B808" s="111"/>
      <c r="C808" s="112"/>
      <c r="D808" s="111"/>
      <c r="E808" s="111"/>
      <c r="F808" s="111"/>
      <c r="G808" s="113"/>
      <c r="H808" s="113"/>
    </row>
    <row r="809" ht="21.75" customHeight="1">
      <c r="A809" s="110"/>
      <c r="B809" s="111"/>
      <c r="C809" s="112"/>
      <c r="D809" s="111"/>
      <c r="E809" s="111"/>
      <c r="F809" s="111"/>
      <c r="G809" s="113"/>
      <c r="H809" s="113"/>
    </row>
    <row r="810" ht="21.75" customHeight="1">
      <c r="A810" s="110"/>
      <c r="B810" s="111"/>
      <c r="C810" s="112"/>
      <c r="D810" s="111"/>
      <c r="E810" s="111"/>
      <c r="F810" s="111"/>
      <c r="G810" s="113"/>
      <c r="H810" s="113"/>
    </row>
    <row r="811" ht="21.75" customHeight="1">
      <c r="A811" s="110"/>
      <c r="B811" s="111"/>
      <c r="C811" s="112"/>
      <c r="D811" s="111"/>
      <c r="E811" s="111"/>
      <c r="F811" s="111"/>
      <c r="G811" s="113"/>
      <c r="H811" s="113"/>
    </row>
    <row r="812" ht="21.75" customHeight="1">
      <c r="A812" s="110"/>
      <c r="B812" s="111"/>
      <c r="C812" s="112"/>
      <c r="D812" s="111"/>
      <c r="E812" s="111"/>
      <c r="F812" s="111"/>
      <c r="G812" s="113"/>
      <c r="H812" s="113"/>
    </row>
    <row r="813" ht="21.75" customHeight="1">
      <c r="A813" s="110"/>
      <c r="B813" s="111"/>
      <c r="C813" s="112"/>
      <c r="D813" s="111"/>
      <c r="E813" s="111"/>
      <c r="F813" s="111"/>
      <c r="G813" s="113"/>
      <c r="H813" s="113"/>
    </row>
    <row r="814" ht="21.75" customHeight="1">
      <c r="A814" s="110"/>
      <c r="B814" s="111"/>
      <c r="C814" s="112"/>
      <c r="D814" s="111"/>
      <c r="E814" s="111"/>
      <c r="F814" s="111"/>
      <c r="G814" s="113"/>
      <c r="H814" s="113"/>
    </row>
    <row r="815" ht="21.75" customHeight="1">
      <c r="A815" s="110"/>
      <c r="B815" s="111"/>
      <c r="C815" s="112"/>
      <c r="D815" s="111"/>
      <c r="E815" s="111"/>
      <c r="F815" s="111"/>
      <c r="G815" s="113"/>
      <c r="H815" s="113"/>
    </row>
    <row r="816" ht="21.75" customHeight="1">
      <c r="A816" s="110"/>
      <c r="B816" s="111"/>
      <c r="C816" s="112"/>
      <c r="D816" s="111"/>
      <c r="E816" s="111"/>
      <c r="F816" s="111"/>
      <c r="G816" s="113"/>
      <c r="H816" s="113"/>
    </row>
    <row r="817" ht="21.75" customHeight="1">
      <c r="A817" s="110"/>
      <c r="B817" s="111"/>
      <c r="C817" s="112"/>
      <c r="D817" s="111"/>
      <c r="E817" s="111"/>
      <c r="F817" s="111"/>
      <c r="G817" s="113"/>
      <c r="H817" s="113"/>
    </row>
    <row r="818" ht="21.75" customHeight="1">
      <c r="A818" s="110"/>
      <c r="B818" s="111"/>
      <c r="C818" s="112"/>
      <c r="D818" s="111"/>
      <c r="E818" s="111"/>
      <c r="F818" s="111"/>
      <c r="G818" s="113"/>
      <c r="H818" s="113"/>
    </row>
    <row r="819" ht="21.75" customHeight="1">
      <c r="A819" s="110"/>
      <c r="B819" s="111"/>
      <c r="C819" s="112"/>
      <c r="D819" s="111"/>
      <c r="E819" s="111"/>
      <c r="F819" s="111"/>
      <c r="G819" s="113"/>
      <c r="H819" s="113"/>
    </row>
    <row r="820" ht="21.75" customHeight="1">
      <c r="A820" s="110"/>
      <c r="B820" s="111"/>
      <c r="C820" s="112"/>
      <c r="D820" s="111"/>
      <c r="E820" s="111"/>
      <c r="F820" s="111"/>
      <c r="G820" s="113"/>
      <c r="H820" s="113"/>
    </row>
    <row r="821" ht="21.75" customHeight="1">
      <c r="A821" s="110"/>
      <c r="B821" s="111"/>
      <c r="C821" s="112"/>
      <c r="D821" s="111"/>
      <c r="E821" s="111"/>
      <c r="F821" s="111"/>
      <c r="G821" s="113"/>
      <c r="H821" s="113"/>
    </row>
    <row r="822" ht="21.75" customHeight="1">
      <c r="A822" s="110"/>
      <c r="B822" s="111"/>
      <c r="C822" s="112"/>
      <c r="D822" s="111"/>
      <c r="E822" s="111"/>
      <c r="F822" s="111"/>
      <c r="G822" s="113"/>
      <c r="H822" s="113"/>
    </row>
    <row r="823" ht="21.75" customHeight="1">
      <c r="A823" s="110"/>
      <c r="B823" s="111"/>
      <c r="C823" s="112"/>
      <c r="D823" s="111"/>
      <c r="E823" s="111"/>
      <c r="F823" s="111"/>
      <c r="G823" s="113"/>
      <c r="H823" s="113"/>
    </row>
    <row r="824" ht="21.75" customHeight="1">
      <c r="A824" s="110"/>
      <c r="B824" s="111"/>
      <c r="C824" s="112"/>
      <c r="D824" s="111"/>
      <c r="E824" s="111"/>
      <c r="F824" s="111"/>
      <c r="G824" s="113"/>
      <c r="H824" s="113"/>
    </row>
    <row r="825" ht="21.75" customHeight="1">
      <c r="A825" s="110"/>
      <c r="B825" s="111"/>
      <c r="C825" s="112"/>
      <c r="D825" s="111"/>
      <c r="E825" s="111"/>
      <c r="F825" s="111"/>
      <c r="G825" s="113"/>
      <c r="H825" s="113"/>
    </row>
    <row r="826" ht="21.75" customHeight="1">
      <c r="A826" s="110"/>
      <c r="B826" s="111"/>
      <c r="C826" s="112"/>
      <c r="D826" s="111"/>
      <c r="E826" s="111"/>
      <c r="F826" s="111"/>
      <c r="G826" s="113"/>
      <c r="H826" s="113"/>
    </row>
    <row r="827" ht="21.75" customHeight="1">
      <c r="A827" s="110"/>
      <c r="B827" s="111"/>
      <c r="C827" s="112"/>
      <c r="D827" s="111"/>
      <c r="E827" s="111"/>
      <c r="F827" s="111"/>
      <c r="G827" s="113"/>
      <c r="H827" s="113"/>
    </row>
    <row r="828" ht="21.75" customHeight="1">
      <c r="A828" s="110"/>
      <c r="B828" s="111"/>
      <c r="C828" s="112"/>
      <c r="D828" s="111"/>
      <c r="E828" s="111"/>
      <c r="F828" s="111"/>
      <c r="G828" s="113"/>
      <c r="H828" s="113"/>
    </row>
    <row r="829" ht="21.75" customHeight="1">
      <c r="A829" s="110"/>
      <c r="B829" s="111"/>
      <c r="C829" s="112"/>
      <c r="D829" s="111"/>
      <c r="E829" s="111"/>
      <c r="F829" s="111"/>
      <c r="G829" s="113"/>
      <c r="H829" s="113"/>
    </row>
    <row r="830" ht="21.75" customHeight="1">
      <c r="A830" s="110"/>
      <c r="B830" s="111"/>
      <c r="C830" s="112"/>
      <c r="D830" s="111"/>
      <c r="E830" s="111"/>
      <c r="F830" s="111"/>
      <c r="G830" s="113"/>
      <c r="H830" s="113"/>
    </row>
    <row r="831" ht="21.75" customHeight="1">
      <c r="A831" s="110"/>
      <c r="B831" s="111"/>
      <c r="C831" s="112"/>
      <c r="D831" s="111"/>
      <c r="E831" s="111"/>
      <c r="F831" s="111"/>
      <c r="G831" s="113"/>
      <c r="H831" s="113"/>
    </row>
    <row r="832" ht="21.75" customHeight="1">
      <c r="A832" s="110"/>
      <c r="B832" s="111"/>
      <c r="C832" s="112"/>
      <c r="D832" s="111"/>
      <c r="E832" s="111"/>
      <c r="F832" s="111"/>
      <c r="G832" s="113"/>
      <c r="H832" s="113"/>
    </row>
    <row r="833" ht="21.75" customHeight="1">
      <c r="A833" s="110"/>
      <c r="B833" s="111"/>
      <c r="C833" s="112"/>
      <c r="D833" s="111"/>
      <c r="E833" s="111"/>
      <c r="F833" s="111"/>
      <c r="G833" s="113"/>
      <c r="H833" s="113"/>
    </row>
    <row r="834" ht="21.75" customHeight="1">
      <c r="A834" s="110"/>
      <c r="B834" s="111"/>
      <c r="C834" s="112"/>
      <c r="D834" s="111"/>
      <c r="E834" s="111"/>
      <c r="F834" s="111"/>
      <c r="G834" s="113"/>
      <c r="H834" s="113"/>
    </row>
    <row r="835" ht="21.75" customHeight="1">
      <c r="A835" s="110"/>
      <c r="B835" s="111"/>
      <c r="C835" s="112"/>
      <c r="D835" s="111"/>
      <c r="E835" s="111"/>
      <c r="F835" s="111"/>
      <c r="G835" s="113"/>
      <c r="H835" s="113"/>
    </row>
    <row r="836" ht="21.75" customHeight="1">
      <c r="A836" s="110"/>
      <c r="B836" s="111"/>
      <c r="C836" s="112"/>
      <c r="D836" s="111"/>
      <c r="E836" s="111"/>
      <c r="F836" s="111"/>
      <c r="G836" s="113"/>
      <c r="H836" s="113"/>
    </row>
    <row r="837" ht="21.75" customHeight="1">
      <c r="A837" s="110"/>
      <c r="B837" s="111"/>
      <c r="C837" s="112"/>
      <c r="D837" s="111"/>
      <c r="E837" s="111"/>
      <c r="F837" s="111"/>
      <c r="G837" s="113"/>
      <c r="H837" s="113"/>
    </row>
    <row r="838" ht="21.75" customHeight="1">
      <c r="A838" s="110"/>
      <c r="B838" s="111"/>
      <c r="C838" s="112"/>
      <c r="D838" s="111"/>
      <c r="E838" s="111"/>
      <c r="F838" s="111"/>
      <c r="G838" s="113"/>
      <c r="H838" s="113"/>
    </row>
    <row r="839" ht="21.75" customHeight="1">
      <c r="A839" s="110"/>
      <c r="B839" s="111"/>
      <c r="C839" s="112"/>
      <c r="D839" s="111"/>
      <c r="E839" s="111"/>
      <c r="F839" s="111"/>
      <c r="G839" s="113"/>
      <c r="H839" s="113"/>
    </row>
    <row r="840" ht="21.75" customHeight="1">
      <c r="A840" s="110"/>
      <c r="B840" s="111"/>
      <c r="C840" s="112"/>
      <c r="D840" s="111"/>
      <c r="E840" s="111"/>
      <c r="F840" s="111"/>
      <c r="G840" s="113"/>
      <c r="H840" s="113"/>
    </row>
    <row r="841" ht="21.75" customHeight="1">
      <c r="A841" s="110"/>
      <c r="B841" s="111"/>
      <c r="C841" s="112"/>
      <c r="D841" s="111"/>
      <c r="E841" s="111"/>
      <c r="F841" s="111"/>
      <c r="G841" s="113"/>
      <c r="H841" s="113"/>
    </row>
    <row r="842" ht="21.75" customHeight="1">
      <c r="A842" s="110"/>
      <c r="B842" s="111"/>
      <c r="C842" s="112"/>
      <c r="D842" s="111"/>
      <c r="E842" s="111"/>
      <c r="F842" s="111"/>
      <c r="G842" s="113"/>
      <c r="H842" s="113"/>
    </row>
    <row r="843" ht="21.75" customHeight="1">
      <c r="A843" s="110"/>
      <c r="B843" s="111"/>
      <c r="C843" s="112"/>
      <c r="D843" s="111"/>
      <c r="E843" s="111"/>
      <c r="F843" s="111"/>
      <c r="G843" s="113"/>
      <c r="H843" s="113"/>
    </row>
    <row r="844" ht="21.75" customHeight="1">
      <c r="A844" s="110"/>
      <c r="B844" s="111"/>
      <c r="C844" s="112"/>
      <c r="D844" s="111"/>
      <c r="E844" s="111"/>
      <c r="F844" s="111"/>
      <c r="G844" s="113"/>
      <c r="H844" s="113"/>
    </row>
    <row r="845" ht="21.75" customHeight="1">
      <c r="A845" s="110"/>
      <c r="B845" s="111"/>
      <c r="C845" s="112"/>
      <c r="D845" s="111"/>
      <c r="E845" s="111"/>
      <c r="F845" s="111"/>
      <c r="G845" s="113"/>
      <c r="H845" s="113"/>
    </row>
    <row r="846" ht="21.75" customHeight="1">
      <c r="A846" s="110"/>
      <c r="B846" s="111"/>
      <c r="C846" s="112"/>
      <c r="D846" s="111"/>
      <c r="E846" s="111"/>
      <c r="F846" s="111"/>
      <c r="G846" s="113"/>
      <c r="H846" s="113"/>
    </row>
    <row r="847" ht="21.75" customHeight="1">
      <c r="A847" s="110"/>
      <c r="B847" s="111"/>
      <c r="C847" s="112"/>
      <c r="D847" s="111"/>
      <c r="E847" s="111"/>
      <c r="F847" s="111"/>
      <c r="G847" s="113"/>
      <c r="H847" s="113"/>
    </row>
    <row r="848" ht="21.75" customHeight="1">
      <c r="A848" s="110"/>
      <c r="B848" s="111"/>
      <c r="C848" s="112"/>
      <c r="D848" s="111"/>
      <c r="E848" s="111"/>
      <c r="F848" s="111"/>
      <c r="G848" s="113"/>
      <c r="H848" s="113"/>
    </row>
    <row r="849" ht="21.75" customHeight="1">
      <c r="A849" s="110"/>
      <c r="B849" s="111"/>
      <c r="C849" s="112"/>
      <c r="D849" s="111"/>
      <c r="E849" s="111"/>
      <c r="F849" s="111"/>
      <c r="G849" s="113"/>
      <c r="H849" s="113"/>
    </row>
    <row r="850" ht="21.75" customHeight="1">
      <c r="A850" s="110"/>
      <c r="B850" s="111"/>
      <c r="C850" s="112"/>
      <c r="D850" s="111"/>
      <c r="E850" s="111"/>
      <c r="F850" s="111"/>
      <c r="G850" s="113"/>
      <c r="H850" s="113"/>
    </row>
    <row r="851" ht="21.75" customHeight="1">
      <c r="A851" s="110"/>
      <c r="B851" s="111"/>
      <c r="C851" s="112"/>
      <c r="D851" s="111"/>
      <c r="E851" s="111"/>
      <c r="F851" s="111"/>
      <c r="G851" s="113"/>
      <c r="H851" s="113"/>
    </row>
    <row r="852" ht="21.75" customHeight="1">
      <c r="A852" s="110"/>
      <c r="B852" s="111"/>
      <c r="C852" s="112"/>
      <c r="D852" s="111"/>
      <c r="E852" s="111"/>
      <c r="F852" s="111"/>
      <c r="G852" s="113"/>
      <c r="H852" s="113"/>
    </row>
    <row r="853" ht="21.75" customHeight="1">
      <c r="A853" s="110"/>
      <c r="B853" s="111"/>
      <c r="C853" s="112"/>
      <c r="D853" s="111"/>
      <c r="E853" s="111"/>
      <c r="F853" s="111"/>
      <c r="G853" s="113"/>
      <c r="H853" s="113"/>
    </row>
    <row r="854" ht="21.75" customHeight="1">
      <c r="A854" s="110"/>
      <c r="B854" s="111"/>
      <c r="C854" s="112"/>
      <c r="D854" s="111"/>
      <c r="E854" s="111"/>
      <c r="F854" s="111"/>
      <c r="G854" s="113"/>
      <c r="H854" s="113"/>
    </row>
    <row r="855" ht="21.75" customHeight="1">
      <c r="A855" s="110"/>
      <c r="B855" s="111"/>
      <c r="C855" s="112"/>
      <c r="D855" s="111"/>
      <c r="E855" s="111"/>
      <c r="F855" s="111"/>
      <c r="G855" s="113"/>
      <c r="H855" s="113"/>
    </row>
    <row r="856" ht="21.75" customHeight="1">
      <c r="A856" s="110"/>
      <c r="B856" s="111"/>
      <c r="C856" s="112"/>
      <c r="D856" s="111"/>
      <c r="E856" s="111"/>
      <c r="F856" s="111"/>
      <c r="G856" s="113"/>
      <c r="H856" s="113"/>
    </row>
    <row r="857" ht="21.75" customHeight="1">
      <c r="A857" s="110"/>
      <c r="B857" s="111"/>
      <c r="C857" s="112"/>
      <c r="D857" s="111"/>
      <c r="E857" s="111"/>
      <c r="F857" s="111"/>
      <c r="G857" s="113"/>
      <c r="H857" s="113"/>
    </row>
    <row r="858" ht="21.75" customHeight="1">
      <c r="A858" s="110"/>
      <c r="B858" s="111"/>
      <c r="C858" s="112"/>
      <c r="D858" s="111"/>
      <c r="E858" s="111"/>
      <c r="F858" s="111"/>
      <c r="G858" s="113"/>
      <c r="H858" s="113"/>
    </row>
    <row r="859" ht="21.75" customHeight="1">
      <c r="A859" s="110"/>
      <c r="B859" s="111"/>
      <c r="C859" s="112"/>
      <c r="D859" s="111"/>
      <c r="E859" s="111"/>
      <c r="F859" s="111"/>
      <c r="G859" s="113"/>
      <c r="H859" s="113"/>
    </row>
    <row r="860" ht="21.75" customHeight="1">
      <c r="A860" s="110"/>
      <c r="B860" s="111"/>
      <c r="C860" s="112"/>
      <c r="D860" s="111"/>
      <c r="E860" s="111"/>
      <c r="F860" s="111"/>
      <c r="G860" s="113"/>
      <c r="H860" s="113"/>
    </row>
    <row r="861" ht="21.75" customHeight="1">
      <c r="A861" s="110"/>
      <c r="B861" s="111"/>
      <c r="C861" s="112"/>
      <c r="D861" s="111"/>
      <c r="E861" s="111"/>
      <c r="F861" s="111"/>
      <c r="G861" s="113"/>
      <c r="H861" s="113"/>
    </row>
    <row r="862" ht="21.75" customHeight="1">
      <c r="A862" s="110"/>
      <c r="B862" s="111"/>
      <c r="C862" s="112"/>
      <c r="D862" s="111"/>
      <c r="E862" s="111"/>
      <c r="F862" s="111"/>
      <c r="G862" s="113"/>
      <c r="H862" s="113"/>
    </row>
    <row r="863" ht="21.75" customHeight="1">
      <c r="A863" s="110"/>
      <c r="B863" s="111"/>
      <c r="C863" s="112"/>
      <c r="D863" s="111"/>
      <c r="E863" s="111"/>
      <c r="F863" s="111"/>
      <c r="G863" s="113"/>
      <c r="H863" s="113"/>
    </row>
    <row r="864" ht="21.75" customHeight="1">
      <c r="A864" s="110"/>
      <c r="B864" s="111"/>
      <c r="C864" s="112"/>
      <c r="D864" s="111"/>
      <c r="E864" s="111"/>
      <c r="F864" s="111"/>
      <c r="G864" s="113"/>
      <c r="H864" s="113"/>
    </row>
    <row r="865" ht="21.75" customHeight="1">
      <c r="A865" s="110"/>
      <c r="B865" s="111"/>
      <c r="C865" s="112"/>
      <c r="D865" s="111"/>
      <c r="E865" s="111"/>
      <c r="F865" s="111"/>
      <c r="G865" s="113"/>
      <c r="H865" s="113"/>
    </row>
    <row r="866" ht="21.75" customHeight="1">
      <c r="A866" s="110"/>
      <c r="B866" s="111"/>
      <c r="C866" s="112"/>
      <c r="D866" s="111"/>
      <c r="E866" s="111"/>
      <c r="F866" s="111"/>
      <c r="G866" s="113"/>
      <c r="H866" s="113"/>
    </row>
    <row r="867" ht="21.75" customHeight="1">
      <c r="A867" s="110"/>
      <c r="B867" s="111"/>
      <c r="C867" s="112"/>
      <c r="D867" s="111"/>
      <c r="E867" s="111"/>
      <c r="F867" s="111"/>
      <c r="G867" s="113"/>
      <c r="H867" s="113"/>
    </row>
    <row r="868" ht="21.75" customHeight="1">
      <c r="A868" s="110"/>
      <c r="B868" s="111"/>
      <c r="C868" s="112"/>
      <c r="D868" s="111"/>
      <c r="E868" s="111"/>
      <c r="F868" s="111"/>
      <c r="G868" s="113"/>
      <c r="H868" s="113"/>
    </row>
    <row r="869" ht="21.75" customHeight="1">
      <c r="A869" s="110"/>
      <c r="B869" s="111"/>
      <c r="C869" s="112"/>
      <c r="D869" s="111"/>
      <c r="E869" s="111"/>
      <c r="F869" s="111"/>
      <c r="G869" s="113"/>
      <c r="H869" s="113"/>
    </row>
    <row r="870" ht="21.75" customHeight="1">
      <c r="A870" s="110"/>
      <c r="B870" s="111"/>
      <c r="C870" s="112"/>
      <c r="D870" s="111"/>
      <c r="E870" s="111"/>
      <c r="F870" s="111"/>
      <c r="G870" s="113"/>
      <c r="H870" s="113"/>
    </row>
    <row r="871" ht="21.75" customHeight="1">
      <c r="A871" s="110"/>
      <c r="B871" s="111"/>
      <c r="C871" s="112"/>
      <c r="D871" s="111"/>
      <c r="E871" s="111"/>
      <c r="F871" s="111"/>
      <c r="G871" s="113"/>
      <c r="H871" s="113"/>
    </row>
    <row r="872" ht="21.75" customHeight="1">
      <c r="A872" s="110"/>
      <c r="B872" s="111"/>
      <c r="C872" s="112"/>
      <c r="D872" s="111"/>
      <c r="E872" s="111"/>
      <c r="F872" s="111"/>
      <c r="G872" s="113"/>
      <c r="H872" s="113"/>
    </row>
    <row r="873" ht="21.75" customHeight="1">
      <c r="A873" s="110"/>
      <c r="B873" s="111"/>
      <c r="C873" s="112"/>
      <c r="D873" s="111"/>
      <c r="E873" s="111"/>
      <c r="F873" s="111"/>
      <c r="G873" s="113"/>
      <c r="H873" s="113"/>
    </row>
    <row r="874" ht="21.75" customHeight="1">
      <c r="A874" s="110"/>
      <c r="B874" s="111"/>
      <c r="C874" s="112"/>
      <c r="D874" s="111"/>
      <c r="E874" s="111"/>
      <c r="F874" s="111"/>
      <c r="G874" s="113"/>
      <c r="H874" s="113"/>
    </row>
    <row r="875" ht="21.75" customHeight="1">
      <c r="A875" s="110"/>
      <c r="B875" s="111"/>
      <c r="C875" s="112"/>
      <c r="D875" s="111"/>
      <c r="E875" s="111"/>
      <c r="F875" s="111"/>
      <c r="G875" s="113"/>
      <c r="H875" s="113"/>
    </row>
    <row r="876" ht="21.75" customHeight="1">
      <c r="A876" s="110"/>
      <c r="B876" s="111"/>
      <c r="C876" s="112"/>
      <c r="D876" s="111"/>
      <c r="E876" s="111"/>
      <c r="F876" s="111"/>
      <c r="G876" s="113"/>
      <c r="H876" s="113"/>
    </row>
    <row r="877" ht="21.75" customHeight="1">
      <c r="A877" s="110"/>
      <c r="B877" s="111"/>
      <c r="C877" s="112"/>
      <c r="D877" s="111"/>
      <c r="E877" s="111"/>
      <c r="F877" s="111"/>
      <c r="G877" s="113"/>
      <c r="H877" s="113"/>
    </row>
    <row r="878" ht="21.75" customHeight="1">
      <c r="A878" s="110"/>
      <c r="B878" s="111"/>
      <c r="C878" s="112"/>
      <c r="D878" s="111"/>
      <c r="E878" s="111"/>
      <c r="F878" s="111"/>
      <c r="G878" s="113"/>
      <c r="H878" s="113"/>
    </row>
    <row r="879" ht="21.75" customHeight="1">
      <c r="A879" s="110"/>
      <c r="B879" s="111"/>
      <c r="C879" s="112"/>
      <c r="D879" s="111"/>
      <c r="E879" s="111"/>
      <c r="F879" s="111"/>
      <c r="G879" s="113"/>
      <c r="H879" s="113"/>
    </row>
    <row r="880" ht="21.75" customHeight="1">
      <c r="A880" s="110"/>
      <c r="B880" s="111"/>
      <c r="C880" s="112"/>
      <c r="D880" s="111"/>
      <c r="E880" s="111"/>
      <c r="F880" s="111"/>
      <c r="G880" s="113"/>
      <c r="H880" s="113"/>
    </row>
    <row r="881" ht="21.75" customHeight="1">
      <c r="A881" s="110"/>
      <c r="B881" s="111"/>
      <c r="C881" s="112"/>
      <c r="D881" s="111"/>
      <c r="E881" s="111"/>
      <c r="F881" s="111"/>
      <c r="G881" s="113"/>
      <c r="H881" s="113"/>
    </row>
    <row r="882" ht="21.75" customHeight="1">
      <c r="A882" s="110"/>
      <c r="B882" s="111"/>
      <c r="C882" s="112"/>
      <c r="D882" s="111"/>
      <c r="E882" s="111"/>
      <c r="F882" s="111"/>
      <c r="G882" s="113"/>
      <c r="H882" s="113"/>
    </row>
    <row r="883" ht="21.75" customHeight="1">
      <c r="A883" s="110"/>
      <c r="B883" s="111"/>
      <c r="C883" s="112"/>
      <c r="D883" s="111"/>
      <c r="E883" s="111"/>
      <c r="F883" s="111"/>
      <c r="G883" s="113"/>
      <c r="H883" s="113"/>
    </row>
    <row r="884" ht="21.75" customHeight="1">
      <c r="A884" s="110"/>
      <c r="B884" s="111"/>
      <c r="C884" s="112"/>
      <c r="D884" s="111"/>
      <c r="E884" s="111"/>
      <c r="F884" s="111"/>
      <c r="G884" s="113"/>
      <c r="H884" s="113"/>
    </row>
    <row r="885" ht="21.75" customHeight="1">
      <c r="A885" s="110"/>
      <c r="B885" s="111"/>
      <c r="C885" s="112"/>
      <c r="D885" s="111"/>
      <c r="E885" s="111"/>
      <c r="F885" s="111"/>
      <c r="G885" s="113"/>
      <c r="H885" s="113"/>
    </row>
    <row r="886" ht="21.75" customHeight="1">
      <c r="A886" s="110"/>
      <c r="B886" s="111"/>
      <c r="C886" s="112"/>
      <c r="D886" s="111"/>
      <c r="E886" s="111"/>
      <c r="F886" s="111"/>
      <c r="G886" s="113"/>
      <c r="H886" s="113"/>
    </row>
    <row r="887" ht="21.75" customHeight="1">
      <c r="A887" s="110"/>
      <c r="B887" s="111"/>
      <c r="C887" s="112"/>
      <c r="D887" s="111"/>
      <c r="E887" s="111"/>
      <c r="F887" s="111"/>
      <c r="G887" s="113"/>
      <c r="H887" s="113"/>
    </row>
    <row r="888" ht="21.75" customHeight="1">
      <c r="A888" s="110"/>
      <c r="B888" s="111"/>
      <c r="C888" s="112"/>
      <c r="D888" s="111"/>
      <c r="E888" s="111"/>
      <c r="F888" s="111"/>
      <c r="G888" s="113"/>
      <c r="H888" s="113"/>
    </row>
    <row r="889" ht="21.75" customHeight="1">
      <c r="A889" s="110"/>
      <c r="B889" s="111"/>
      <c r="C889" s="112"/>
      <c r="D889" s="111"/>
      <c r="E889" s="111"/>
      <c r="F889" s="111"/>
      <c r="G889" s="113"/>
      <c r="H889" s="113"/>
    </row>
    <row r="890" ht="21.75" customHeight="1">
      <c r="A890" s="110"/>
      <c r="B890" s="111"/>
      <c r="C890" s="112"/>
      <c r="D890" s="111"/>
      <c r="E890" s="111"/>
      <c r="F890" s="111"/>
      <c r="G890" s="113"/>
      <c r="H890" s="113"/>
    </row>
    <row r="891" ht="21.75" customHeight="1">
      <c r="A891" s="110"/>
      <c r="B891" s="111"/>
      <c r="C891" s="112"/>
      <c r="D891" s="111"/>
      <c r="E891" s="111"/>
      <c r="F891" s="111"/>
      <c r="G891" s="113"/>
      <c r="H891" s="113"/>
    </row>
    <row r="892" ht="21.75" customHeight="1">
      <c r="A892" s="110"/>
      <c r="B892" s="111"/>
      <c r="C892" s="112"/>
      <c r="D892" s="111"/>
      <c r="E892" s="111"/>
      <c r="F892" s="111"/>
      <c r="G892" s="113"/>
      <c r="H892" s="113"/>
    </row>
    <row r="893" ht="21.75" customHeight="1">
      <c r="A893" s="110"/>
      <c r="B893" s="111"/>
      <c r="C893" s="112"/>
      <c r="D893" s="111"/>
      <c r="E893" s="111"/>
      <c r="F893" s="111"/>
      <c r="G893" s="113"/>
      <c r="H893" s="113"/>
    </row>
    <row r="894" ht="21.75" customHeight="1">
      <c r="A894" s="110"/>
      <c r="B894" s="111"/>
      <c r="C894" s="112"/>
      <c r="D894" s="111"/>
      <c r="E894" s="111"/>
      <c r="F894" s="111"/>
      <c r="G894" s="113"/>
      <c r="H894" s="113"/>
    </row>
    <row r="895" ht="21.75" customHeight="1">
      <c r="A895" s="110"/>
      <c r="B895" s="111"/>
      <c r="C895" s="112"/>
      <c r="D895" s="111"/>
      <c r="E895" s="111"/>
      <c r="F895" s="111"/>
      <c r="G895" s="113"/>
      <c r="H895" s="113"/>
    </row>
    <row r="896" ht="21.75" customHeight="1">
      <c r="A896" s="110"/>
      <c r="B896" s="111"/>
      <c r="C896" s="112"/>
      <c r="D896" s="111"/>
      <c r="E896" s="111"/>
      <c r="F896" s="111"/>
      <c r="G896" s="113"/>
      <c r="H896" s="113"/>
    </row>
    <row r="897" ht="21.75" customHeight="1">
      <c r="A897" s="110"/>
      <c r="B897" s="111"/>
      <c r="C897" s="112"/>
      <c r="D897" s="111"/>
      <c r="E897" s="111"/>
      <c r="F897" s="111"/>
      <c r="G897" s="113"/>
      <c r="H897" s="113"/>
    </row>
    <row r="898" ht="21.75" customHeight="1">
      <c r="A898" s="110"/>
      <c r="B898" s="111"/>
      <c r="C898" s="112"/>
      <c r="D898" s="111"/>
      <c r="E898" s="111"/>
      <c r="F898" s="111"/>
      <c r="G898" s="113"/>
      <c r="H898" s="113"/>
    </row>
    <row r="899" ht="21.75" customHeight="1">
      <c r="A899" s="110"/>
      <c r="B899" s="111"/>
      <c r="C899" s="112"/>
      <c r="D899" s="111"/>
      <c r="E899" s="111"/>
      <c r="F899" s="111"/>
      <c r="G899" s="113"/>
      <c r="H899" s="113"/>
    </row>
    <row r="900" ht="21.75" customHeight="1">
      <c r="A900" s="110"/>
      <c r="B900" s="111"/>
      <c r="C900" s="112"/>
      <c r="D900" s="111"/>
      <c r="E900" s="111"/>
      <c r="F900" s="111"/>
      <c r="G900" s="113"/>
      <c r="H900" s="113"/>
    </row>
    <row r="901" ht="21.75" customHeight="1">
      <c r="A901" s="110"/>
      <c r="B901" s="111"/>
      <c r="C901" s="112"/>
      <c r="D901" s="111"/>
      <c r="E901" s="111"/>
      <c r="F901" s="111"/>
      <c r="G901" s="113"/>
      <c r="H901" s="113"/>
    </row>
    <row r="902" ht="21.75" customHeight="1">
      <c r="A902" s="110"/>
      <c r="B902" s="111"/>
      <c r="C902" s="112"/>
      <c r="D902" s="111"/>
      <c r="E902" s="111"/>
      <c r="F902" s="111"/>
      <c r="G902" s="113"/>
      <c r="H902" s="113"/>
    </row>
    <row r="903" ht="21.75" customHeight="1">
      <c r="A903" s="110"/>
      <c r="B903" s="111"/>
      <c r="C903" s="112"/>
      <c r="D903" s="111"/>
      <c r="E903" s="111"/>
      <c r="F903" s="111"/>
      <c r="G903" s="113"/>
      <c r="H903" s="113"/>
    </row>
    <row r="904" ht="21.75" customHeight="1">
      <c r="A904" s="110"/>
      <c r="B904" s="111"/>
      <c r="C904" s="112"/>
      <c r="D904" s="111"/>
      <c r="E904" s="111"/>
      <c r="F904" s="111"/>
      <c r="G904" s="113"/>
      <c r="H904" s="113"/>
    </row>
    <row r="905" ht="21.75" customHeight="1">
      <c r="A905" s="110"/>
      <c r="B905" s="111"/>
      <c r="C905" s="112"/>
      <c r="D905" s="111"/>
      <c r="E905" s="111"/>
      <c r="F905" s="111"/>
      <c r="G905" s="113"/>
      <c r="H905" s="113"/>
    </row>
    <row r="906" ht="21.75" customHeight="1">
      <c r="A906" s="110"/>
      <c r="B906" s="111"/>
      <c r="C906" s="112"/>
      <c r="D906" s="111"/>
      <c r="E906" s="111"/>
      <c r="F906" s="111"/>
      <c r="G906" s="113"/>
      <c r="H906" s="113"/>
    </row>
    <row r="907" ht="21.75" customHeight="1">
      <c r="A907" s="110"/>
      <c r="B907" s="111"/>
      <c r="C907" s="112"/>
      <c r="D907" s="111"/>
      <c r="E907" s="111"/>
      <c r="F907" s="111"/>
      <c r="G907" s="113"/>
      <c r="H907" s="113"/>
    </row>
    <row r="908" ht="21.75" customHeight="1">
      <c r="A908" s="110"/>
      <c r="B908" s="111"/>
      <c r="C908" s="112"/>
      <c r="D908" s="111"/>
      <c r="E908" s="111"/>
      <c r="F908" s="111"/>
      <c r="G908" s="113"/>
      <c r="H908" s="113"/>
    </row>
    <row r="909" ht="21.75" customHeight="1">
      <c r="A909" s="110"/>
      <c r="B909" s="111"/>
      <c r="C909" s="112"/>
      <c r="D909" s="111"/>
      <c r="E909" s="111"/>
      <c r="F909" s="111"/>
      <c r="G909" s="113"/>
      <c r="H909" s="113"/>
    </row>
    <row r="910" ht="21.75" customHeight="1">
      <c r="A910" s="110"/>
      <c r="B910" s="111"/>
      <c r="C910" s="112"/>
      <c r="D910" s="111"/>
      <c r="E910" s="111"/>
      <c r="F910" s="111"/>
      <c r="G910" s="113"/>
      <c r="H910" s="113"/>
    </row>
    <row r="911" ht="21.75" customHeight="1">
      <c r="A911" s="110"/>
      <c r="B911" s="111"/>
      <c r="C911" s="112"/>
      <c r="D911" s="111"/>
      <c r="E911" s="111"/>
      <c r="F911" s="111"/>
      <c r="G911" s="113"/>
      <c r="H911" s="113"/>
    </row>
    <row r="912" ht="21.75" customHeight="1">
      <c r="A912" s="110"/>
      <c r="B912" s="111"/>
      <c r="C912" s="112"/>
      <c r="D912" s="111"/>
      <c r="E912" s="111"/>
      <c r="F912" s="111"/>
      <c r="G912" s="113"/>
      <c r="H912" s="113"/>
    </row>
    <row r="913" ht="21.75" customHeight="1">
      <c r="A913" s="110"/>
      <c r="B913" s="111"/>
      <c r="C913" s="112"/>
      <c r="D913" s="111"/>
      <c r="E913" s="111"/>
      <c r="F913" s="111"/>
      <c r="G913" s="113"/>
      <c r="H913" s="113"/>
    </row>
    <row r="914" ht="21.75" customHeight="1">
      <c r="A914" s="110"/>
      <c r="B914" s="111"/>
      <c r="C914" s="112"/>
      <c r="D914" s="111"/>
      <c r="E914" s="111"/>
      <c r="F914" s="111"/>
      <c r="G914" s="113"/>
      <c r="H914" s="113"/>
    </row>
    <row r="915" ht="21.75" customHeight="1">
      <c r="A915" s="110"/>
      <c r="B915" s="111"/>
      <c r="C915" s="112"/>
      <c r="D915" s="111"/>
      <c r="E915" s="111"/>
      <c r="F915" s="111"/>
      <c r="G915" s="113"/>
      <c r="H915" s="113"/>
    </row>
    <row r="916" ht="21.75" customHeight="1">
      <c r="A916" s="110"/>
      <c r="B916" s="111"/>
      <c r="C916" s="112"/>
      <c r="D916" s="111"/>
      <c r="E916" s="111"/>
      <c r="F916" s="111"/>
      <c r="G916" s="113"/>
      <c r="H916" s="113"/>
    </row>
    <row r="917" ht="21.75" customHeight="1">
      <c r="A917" s="110"/>
      <c r="B917" s="111"/>
      <c r="C917" s="112"/>
      <c r="D917" s="111"/>
      <c r="E917" s="111"/>
      <c r="F917" s="111"/>
      <c r="G917" s="113"/>
      <c r="H917" s="113"/>
    </row>
    <row r="918" ht="21.75" customHeight="1">
      <c r="A918" s="110"/>
      <c r="B918" s="111"/>
      <c r="C918" s="112"/>
      <c r="D918" s="111"/>
      <c r="E918" s="111"/>
      <c r="F918" s="111"/>
      <c r="G918" s="113"/>
      <c r="H918" s="113"/>
    </row>
    <row r="919" ht="21.75" customHeight="1">
      <c r="A919" s="110"/>
      <c r="B919" s="111"/>
      <c r="C919" s="112"/>
      <c r="D919" s="111"/>
      <c r="E919" s="111"/>
      <c r="F919" s="111"/>
      <c r="G919" s="113"/>
      <c r="H919" s="113"/>
    </row>
    <row r="920" ht="21.75" customHeight="1">
      <c r="A920" s="110"/>
      <c r="B920" s="111"/>
      <c r="C920" s="112"/>
      <c r="D920" s="111"/>
      <c r="E920" s="111"/>
      <c r="F920" s="111"/>
      <c r="G920" s="113"/>
      <c r="H920" s="113"/>
    </row>
    <row r="921" ht="21.75" customHeight="1">
      <c r="A921" s="110"/>
      <c r="B921" s="111"/>
      <c r="C921" s="112"/>
      <c r="D921" s="111"/>
      <c r="E921" s="111"/>
      <c r="F921" s="111"/>
      <c r="G921" s="113"/>
      <c r="H921" s="113"/>
    </row>
    <row r="922" ht="21.75" customHeight="1">
      <c r="A922" s="110"/>
      <c r="B922" s="111"/>
      <c r="C922" s="112"/>
      <c r="D922" s="111"/>
      <c r="E922" s="111"/>
      <c r="F922" s="111"/>
      <c r="G922" s="113"/>
      <c r="H922" s="113"/>
    </row>
    <row r="923" ht="21.75" customHeight="1">
      <c r="A923" s="110"/>
      <c r="B923" s="111"/>
      <c r="C923" s="112"/>
      <c r="D923" s="111"/>
      <c r="E923" s="111"/>
      <c r="F923" s="111"/>
      <c r="G923" s="113"/>
      <c r="H923" s="113"/>
    </row>
    <row r="924" ht="21.75" customHeight="1">
      <c r="A924" s="110"/>
      <c r="B924" s="111"/>
      <c r="C924" s="112"/>
      <c r="D924" s="111"/>
      <c r="E924" s="111"/>
      <c r="F924" s="111"/>
      <c r="G924" s="113"/>
      <c r="H924" s="113"/>
    </row>
    <row r="925" ht="21.75" customHeight="1">
      <c r="A925" s="110"/>
      <c r="B925" s="111"/>
      <c r="C925" s="112"/>
      <c r="D925" s="111"/>
      <c r="E925" s="111"/>
      <c r="F925" s="111"/>
      <c r="G925" s="113"/>
      <c r="H925" s="113"/>
    </row>
    <row r="926" ht="21.75" customHeight="1">
      <c r="A926" s="110"/>
      <c r="B926" s="111"/>
      <c r="C926" s="112"/>
      <c r="D926" s="111"/>
      <c r="E926" s="111"/>
      <c r="F926" s="111"/>
      <c r="G926" s="113"/>
      <c r="H926" s="113"/>
    </row>
    <row r="927" ht="21.75" customHeight="1">
      <c r="A927" s="110"/>
      <c r="B927" s="111"/>
      <c r="C927" s="112"/>
      <c r="D927" s="111"/>
      <c r="E927" s="111"/>
      <c r="F927" s="111"/>
      <c r="G927" s="113"/>
      <c r="H927" s="113"/>
    </row>
    <row r="928" ht="21.75" customHeight="1">
      <c r="A928" s="110"/>
      <c r="B928" s="111"/>
      <c r="C928" s="112"/>
      <c r="D928" s="111"/>
      <c r="E928" s="111"/>
      <c r="F928" s="111"/>
      <c r="G928" s="113"/>
      <c r="H928" s="113"/>
    </row>
    <row r="929" ht="21.75" customHeight="1">
      <c r="A929" s="110"/>
      <c r="B929" s="111"/>
      <c r="C929" s="112"/>
      <c r="D929" s="111"/>
      <c r="E929" s="111"/>
      <c r="F929" s="111"/>
      <c r="G929" s="113"/>
      <c r="H929" s="113"/>
    </row>
    <row r="930" ht="21.75" customHeight="1">
      <c r="A930" s="110"/>
      <c r="B930" s="111"/>
      <c r="C930" s="112"/>
      <c r="D930" s="111"/>
      <c r="E930" s="111"/>
      <c r="F930" s="111"/>
      <c r="G930" s="113"/>
      <c r="H930" s="113"/>
    </row>
    <row r="931" ht="21.75" customHeight="1">
      <c r="A931" s="110"/>
      <c r="B931" s="111"/>
      <c r="C931" s="112"/>
      <c r="D931" s="111"/>
      <c r="E931" s="111"/>
      <c r="F931" s="111"/>
      <c r="G931" s="113"/>
      <c r="H931" s="113"/>
    </row>
    <row r="932" ht="21.75" customHeight="1">
      <c r="A932" s="110"/>
      <c r="B932" s="111"/>
      <c r="C932" s="112"/>
      <c r="D932" s="111"/>
      <c r="E932" s="111"/>
      <c r="F932" s="111"/>
      <c r="G932" s="113"/>
      <c r="H932" s="113"/>
    </row>
    <row r="933" ht="21.75" customHeight="1">
      <c r="A933" s="110"/>
      <c r="B933" s="111"/>
      <c r="C933" s="112"/>
      <c r="D933" s="111"/>
      <c r="E933" s="111"/>
      <c r="F933" s="111"/>
      <c r="G933" s="113"/>
      <c r="H933" s="113"/>
    </row>
    <row r="934" ht="21.75" customHeight="1">
      <c r="A934" s="110"/>
      <c r="B934" s="111"/>
      <c r="C934" s="112"/>
      <c r="D934" s="111"/>
      <c r="E934" s="111"/>
      <c r="F934" s="111"/>
      <c r="G934" s="113"/>
      <c r="H934" s="113"/>
    </row>
    <row r="935" ht="21.75" customHeight="1">
      <c r="A935" s="110"/>
      <c r="B935" s="111"/>
      <c r="C935" s="112"/>
      <c r="D935" s="111"/>
      <c r="E935" s="111"/>
      <c r="F935" s="111"/>
      <c r="G935" s="113"/>
      <c r="H935" s="113"/>
    </row>
    <row r="936" ht="21.75" customHeight="1">
      <c r="A936" s="110"/>
      <c r="B936" s="111"/>
      <c r="C936" s="112"/>
      <c r="D936" s="111"/>
      <c r="E936" s="111"/>
      <c r="F936" s="111"/>
      <c r="G936" s="113"/>
      <c r="H936" s="113"/>
    </row>
    <row r="937" ht="21.75" customHeight="1">
      <c r="A937" s="110"/>
      <c r="B937" s="111"/>
      <c r="C937" s="112"/>
      <c r="D937" s="111"/>
      <c r="E937" s="111"/>
      <c r="F937" s="111"/>
      <c r="G937" s="113"/>
      <c r="H937" s="113"/>
    </row>
    <row r="938" ht="21.75" customHeight="1">
      <c r="A938" s="110"/>
      <c r="B938" s="111"/>
      <c r="C938" s="112"/>
      <c r="D938" s="111"/>
      <c r="E938" s="111"/>
      <c r="F938" s="111"/>
      <c r="G938" s="113"/>
      <c r="H938" s="113"/>
    </row>
    <row r="939" ht="21.75" customHeight="1">
      <c r="A939" s="110"/>
      <c r="B939" s="111"/>
      <c r="C939" s="112"/>
      <c r="D939" s="111"/>
      <c r="E939" s="111"/>
      <c r="F939" s="111"/>
      <c r="G939" s="113"/>
      <c r="H939" s="113"/>
    </row>
    <row r="940" ht="21.75" customHeight="1">
      <c r="A940" s="110"/>
      <c r="B940" s="111"/>
      <c r="C940" s="112"/>
      <c r="D940" s="111"/>
      <c r="E940" s="111"/>
      <c r="F940" s="111"/>
      <c r="G940" s="113"/>
      <c r="H940" s="113"/>
    </row>
    <row r="941" ht="21.75" customHeight="1">
      <c r="A941" s="110"/>
      <c r="B941" s="111"/>
      <c r="C941" s="112"/>
      <c r="D941" s="111"/>
      <c r="E941" s="111"/>
      <c r="F941" s="111"/>
      <c r="G941" s="113"/>
      <c r="H941" s="113"/>
    </row>
    <row r="942" ht="21.75" customHeight="1">
      <c r="A942" s="110"/>
      <c r="B942" s="111"/>
      <c r="C942" s="112"/>
      <c r="D942" s="111"/>
      <c r="E942" s="111"/>
      <c r="F942" s="111"/>
      <c r="G942" s="113"/>
      <c r="H942" s="113"/>
    </row>
    <row r="943" ht="21.75" customHeight="1">
      <c r="A943" s="110"/>
      <c r="B943" s="111"/>
      <c r="C943" s="112"/>
      <c r="D943" s="111"/>
      <c r="E943" s="111"/>
      <c r="F943" s="111"/>
      <c r="G943" s="113"/>
      <c r="H943" s="113"/>
    </row>
    <row r="944" ht="21.75" customHeight="1">
      <c r="A944" s="110"/>
      <c r="B944" s="111"/>
      <c r="C944" s="112"/>
      <c r="D944" s="111"/>
      <c r="E944" s="111"/>
      <c r="F944" s="111"/>
      <c r="G944" s="113"/>
      <c r="H944" s="113"/>
    </row>
    <row r="945" ht="21.75" customHeight="1">
      <c r="A945" s="110"/>
      <c r="B945" s="111"/>
      <c r="C945" s="112"/>
      <c r="D945" s="111"/>
      <c r="E945" s="111"/>
      <c r="F945" s="111"/>
      <c r="G945" s="113"/>
      <c r="H945" s="113"/>
    </row>
    <row r="946" ht="21.75" customHeight="1">
      <c r="A946" s="110"/>
      <c r="B946" s="111"/>
      <c r="C946" s="112"/>
      <c r="D946" s="111"/>
      <c r="E946" s="111"/>
      <c r="F946" s="111"/>
      <c r="G946" s="113"/>
      <c r="H946" s="113"/>
    </row>
    <row r="947" ht="21.75" customHeight="1">
      <c r="A947" s="110"/>
      <c r="B947" s="111"/>
      <c r="C947" s="112"/>
      <c r="D947" s="111"/>
      <c r="E947" s="111"/>
      <c r="F947" s="111"/>
      <c r="G947" s="113"/>
      <c r="H947" s="113"/>
    </row>
    <row r="948" ht="21.75" customHeight="1">
      <c r="A948" s="110"/>
      <c r="B948" s="111"/>
      <c r="C948" s="112"/>
      <c r="D948" s="111"/>
      <c r="E948" s="111"/>
      <c r="F948" s="111"/>
      <c r="G948" s="113"/>
      <c r="H948" s="113"/>
    </row>
    <row r="949" ht="21.75" customHeight="1">
      <c r="A949" s="110"/>
      <c r="B949" s="111"/>
      <c r="C949" s="112"/>
      <c r="D949" s="111"/>
      <c r="E949" s="111"/>
      <c r="F949" s="111"/>
      <c r="G949" s="113"/>
      <c r="H949" s="113"/>
    </row>
    <row r="950" ht="21.75" customHeight="1">
      <c r="A950" s="110"/>
      <c r="B950" s="111"/>
      <c r="C950" s="112"/>
      <c r="D950" s="111"/>
      <c r="E950" s="111"/>
      <c r="F950" s="111"/>
      <c r="G950" s="113"/>
      <c r="H950" s="113"/>
    </row>
    <row r="951" ht="21.75" customHeight="1">
      <c r="A951" s="110"/>
      <c r="B951" s="111"/>
      <c r="C951" s="112"/>
      <c r="D951" s="111"/>
      <c r="E951" s="111"/>
      <c r="F951" s="111"/>
      <c r="G951" s="113"/>
      <c r="H951" s="113"/>
    </row>
    <row r="952" ht="21.75" customHeight="1">
      <c r="A952" s="110"/>
      <c r="B952" s="111"/>
      <c r="C952" s="112"/>
      <c r="D952" s="111"/>
      <c r="E952" s="111"/>
      <c r="F952" s="111"/>
      <c r="G952" s="113"/>
      <c r="H952" s="113"/>
    </row>
    <row r="953" ht="21.75" customHeight="1">
      <c r="A953" s="110"/>
      <c r="B953" s="111"/>
      <c r="C953" s="112"/>
      <c r="D953" s="111"/>
      <c r="E953" s="111"/>
      <c r="F953" s="111"/>
      <c r="G953" s="113"/>
      <c r="H953" s="113"/>
    </row>
    <row r="954" ht="21.75" customHeight="1">
      <c r="A954" s="110"/>
      <c r="B954" s="111"/>
      <c r="C954" s="112"/>
      <c r="D954" s="111"/>
      <c r="E954" s="111"/>
      <c r="F954" s="111"/>
      <c r="G954" s="113"/>
      <c r="H954" s="113"/>
    </row>
    <row r="955" ht="21.75" customHeight="1">
      <c r="A955" s="110"/>
      <c r="B955" s="111"/>
      <c r="C955" s="112"/>
      <c r="D955" s="111"/>
      <c r="E955" s="111"/>
      <c r="F955" s="111"/>
      <c r="G955" s="113"/>
      <c r="H955" s="113"/>
    </row>
    <row r="956" ht="21.75" customHeight="1">
      <c r="A956" s="110"/>
      <c r="B956" s="111"/>
      <c r="C956" s="112"/>
      <c r="D956" s="111"/>
      <c r="E956" s="111"/>
      <c r="F956" s="111"/>
      <c r="G956" s="113"/>
      <c r="H956" s="113"/>
    </row>
    <row r="957" ht="21.75" customHeight="1">
      <c r="A957" s="110"/>
      <c r="B957" s="111"/>
      <c r="C957" s="112"/>
      <c r="D957" s="111"/>
      <c r="E957" s="111"/>
      <c r="F957" s="111"/>
      <c r="G957" s="113"/>
      <c r="H957" s="113"/>
    </row>
    <row r="958" ht="21.75" customHeight="1">
      <c r="A958" s="110"/>
      <c r="B958" s="111"/>
      <c r="C958" s="112"/>
      <c r="D958" s="111"/>
      <c r="E958" s="111"/>
      <c r="F958" s="111"/>
      <c r="G958" s="113"/>
      <c r="H958" s="113"/>
    </row>
    <row r="959" ht="21.75" customHeight="1">
      <c r="A959" s="110"/>
      <c r="B959" s="111"/>
      <c r="C959" s="112"/>
      <c r="D959" s="111"/>
      <c r="E959" s="111"/>
      <c r="F959" s="111"/>
      <c r="G959" s="113"/>
      <c r="H959" s="113"/>
    </row>
    <row r="960" ht="21.75" customHeight="1">
      <c r="A960" s="110"/>
      <c r="B960" s="111"/>
      <c r="C960" s="112"/>
      <c r="D960" s="111"/>
      <c r="E960" s="111"/>
      <c r="F960" s="111"/>
      <c r="G960" s="113"/>
      <c r="H960" s="113"/>
    </row>
    <row r="961" ht="21.75" customHeight="1">
      <c r="A961" s="110"/>
      <c r="B961" s="111"/>
      <c r="C961" s="112"/>
      <c r="D961" s="111"/>
      <c r="E961" s="111"/>
      <c r="F961" s="111"/>
      <c r="G961" s="113"/>
      <c r="H961" s="113"/>
    </row>
    <row r="962" ht="21.75" customHeight="1">
      <c r="A962" s="110"/>
      <c r="B962" s="111"/>
      <c r="C962" s="112"/>
      <c r="D962" s="111"/>
      <c r="E962" s="111"/>
      <c r="F962" s="111"/>
      <c r="G962" s="113"/>
      <c r="H962" s="113"/>
    </row>
    <row r="963" ht="21.75" customHeight="1">
      <c r="A963" s="110"/>
      <c r="B963" s="111"/>
      <c r="C963" s="112"/>
      <c r="D963" s="111"/>
      <c r="E963" s="111"/>
      <c r="F963" s="111"/>
      <c r="G963" s="113"/>
      <c r="H963" s="113"/>
    </row>
    <row r="964" ht="21.75" customHeight="1">
      <c r="A964" s="110"/>
      <c r="B964" s="111"/>
      <c r="C964" s="112"/>
      <c r="D964" s="111"/>
      <c r="E964" s="111"/>
      <c r="F964" s="111"/>
      <c r="G964" s="113"/>
      <c r="H964" s="113"/>
    </row>
    <row r="965" ht="21.75" customHeight="1">
      <c r="A965" s="110"/>
      <c r="B965" s="111"/>
      <c r="C965" s="112"/>
      <c r="D965" s="111"/>
      <c r="E965" s="111"/>
      <c r="F965" s="111"/>
      <c r="G965" s="113"/>
      <c r="H965" s="113"/>
    </row>
    <row r="966" ht="21.75" customHeight="1">
      <c r="A966" s="110"/>
      <c r="B966" s="111"/>
      <c r="C966" s="112"/>
      <c r="D966" s="111"/>
      <c r="E966" s="111"/>
      <c r="F966" s="111"/>
      <c r="G966" s="113"/>
      <c r="H966" s="113"/>
    </row>
    <row r="967" ht="21.75" customHeight="1">
      <c r="A967" s="110"/>
      <c r="B967" s="111"/>
      <c r="C967" s="112"/>
      <c r="D967" s="111"/>
      <c r="E967" s="111"/>
      <c r="F967" s="111"/>
      <c r="G967" s="113"/>
      <c r="H967" s="113"/>
    </row>
    <row r="968" ht="21.75" customHeight="1">
      <c r="A968" s="110"/>
      <c r="B968" s="111"/>
      <c r="C968" s="112"/>
      <c r="D968" s="111"/>
      <c r="E968" s="111"/>
      <c r="F968" s="111"/>
      <c r="G968" s="113"/>
      <c r="H968" s="113"/>
    </row>
    <row r="969" ht="21.75" customHeight="1">
      <c r="A969" s="110"/>
      <c r="B969" s="111"/>
      <c r="C969" s="112"/>
      <c r="D969" s="111"/>
      <c r="E969" s="111"/>
      <c r="F969" s="111"/>
      <c r="G969" s="113"/>
      <c r="H969" s="113"/>
    </row>
    <row r="970" ht="21.75" customHeight="1">
      <c r="A970" s="110"/>
      <c r="B970" s="111"/>
      <c r="C970" s="112"/>
      <c r="D970" s="111"/>
      <c r="E970" s="111"/>
      <c r="F970" s="111"/>
      <c r="G970" s="113"/>
      <c r="H970" s="113"/>
    </row>
    <row r="971" ht="21.75" customHeight="1">
      <c r="A971" s="110"/>
      <c r="B971" s="111"/>
      <c r="C971" s="112"/>
      <c r="D971" s="111"/>
      <c r="E971" s="111"/>
      <c r="F971" s="111"/>
      <c r="G971" s="113"/>
      <c r="H971" s="113"/>
    </row>
    <row r="972" ht="21.75" customHeight="1">
      <c r="A972" s="110"/>
      <c r="B972" s="111"/>
      <c r="C972" s="112"/>
      <c r="D972" s="111"/>
      <c r="E972" s="111"/>
      <c r="F972" s="111"/>
      <c r="G972" s="113"/>
      <c r="H972" s="113"/>
    </row>
    <row r="973" ht="21.75" customHeight="1">
      <c r="A973" s="110"/>
      <c r="B973" s="111"/>
      <c r="C973" s="112"/>
      <c r="D973" s="111"/>
      <c r="E973" s="111"/>
      <c r="F973" s="111"/>
      <c r="G973" s="113"/>
      <c r="H973" s="113"/>
    </row>
    <row r="974" ht="21.75" customHeight="1">
      <c r="A974" s="110"/>
      <c r="B974" s="111"/>
      <c r="C974" s="112"/>
      <c r="D974" s="111"/>
      <c r="E974" s="111"/>
      <c r="F974" s="111"/>
      <c r="G974" s="113"/>
      <c r="H974" s="113"/>
    </row>
    <row r="975" ht="21.75" customHeight="1">
      <c r="A975" s="110"/>
      <c r="B975" s="111"/>
      <c r="C975" s="112"/>
      <c r="D975" s="111"/>
      <c r="E975" s="111"/>
      <c r="F975" s="111"/>
      <c r="G975" s="113"/>
      <c r="H975" s="113"/>
    </row>
    <row r="976" ht="21.75" customHeight="1">
      <c r="A976" s="110"/>
      <c r="B976" s="111"/>
      <c r="C976" s="112"/>
      <c r="D976" s="111"/>
      <c r="E976" s="111"/>
      <c r="F976" s="111"/>
      <c r="G976" s="113"/>
      <c r="H976" s="113"/>
    </row>
    <row r="977" ht="21.75" customHeight="1">
      <c r="A977" s="110"/>
      <c r="B977" s="111"/>
      <c r="C977" s="112"/>
      <c r="D977" s="111"/>
      <c r="E977" s="111"/>
      <c r="F977" s="111"/>
      <c r="G977" s="113"/>
      <c r="H977" s="113"/>
    </row>
    <row r="978" ht="21.75" customHeight="1">
      <c r="A978" s="110"/>
      <c r="B978" s="111"/>
      <c r="C978" s="112"/>
      <c r="D978" s="111"/>
      <c r="E978" s="111"/>
      <c r="F978" s="111"/>
      <c r="G978" s="113"/>
      <c r="H978" s="113"/>
    </row>
    <row r="979" ht="21.75" customHeight="1">
      <c r="A979" s="110"/>
      <c r="B979" s="111"/>
      <c r="C979" s="112"/>
      <c r="D979" s="111"/>
      <c r="E979" s="111"/>
      <c r="F979" s="111"/>
      <c r="G979" s="113"/>
      <c r="H979" s="113"/>
    </row>
    <row r="980" ht="21.75" customHeight="1">
      <c r="A980" s="110"/>
      <c r="B980" s="111"/>
      <c r="C980" s="112"/>
      <c r="D980" s="111"/>
      <c r="E980" s="111"/>
      <c r="F980" s="111"/>
      <c r="G980" s="113"/>
      <c r="H980" s="113"/>
    </row>
    <row r="981" ht="21.75" customHeight="1">
      <c r="A981" s="110"/>
      <c r="B981" s="111"/>
      <c r="C981" s="112"/>
      <c r="D981" s="111"/>
      <c r="E981" s="111"/>
      <c r="F981" s="111"/>
      <c r="G981" s="113"/>
      <c r="H981" s="113"/>
    </row>
    <row r="982" ht="21.75" customHeight="1">
      <c r="A982" s="110"/>
      <c r="B982" s="111"/>
      <c r="C982" s="112"/>
      <c r="D982" s="111"/>
      <c r="E982" s="111"/>
      <c r="F982" s="111"/>
      <c r="G982" s="113"/>
      <c r="H982" s="113"/>
    </row>
    <row r="983" ht="21.75" customHeight="1">
      <c r="A983" s="110"/>
      <c r="B983" s="111"/>
      <c r="C983" s="112"/>
      <c r="D983" s="111"/>
      <c r="E983" s="111"/>
      <c r="F983" s="111"/>
      <c r="G983" s="113"/>
      <c r="H983" s="113"/>
    </row>
    <row r="984" ht="21.75" customHeight="1">
      <c r="A984" s="110"/>
      <c r="B984" s="111"/>
      <c r="C984" s="112"/>
      <c r="D984" s="111"/>
      <c r="E984" s="111"/>
      <c r="F984" s="111"/>
      <c r="G984" s="113"/>
      <c r="H984" s="113"/>
    </row>
    <row r="985" ht="21.75" customHeight="1">
      <c r="A985" s="110"/>
      <c r="B985" s="111"/>
      <c r="C985" s="112"/>
      <c r="D985" s="111"/>
      <c r="E985" s="111"/>
      <c r="F985" s="111"/>
      <c r="G985" s="113"/>
      <c r="H985" s="113"/>
    </row>
    <row r="986" ht="21.75" customHeight="1">
      <c r="A986" s="110"/>
      <c r="B986" s="111"/>
      <c r="C986" s="112"/>
      <c r="D986" s="111"/>
      <c r="E986" s="111"/>
      <c r="F986" s="111"/>
      <c r="G986" s="113"/>
      <c r="H986" s="113"/>
    </row>
    <row r="987" ht="21.75" customHeight="1">
      <c r="A987" s="110"/>
      <c r="B987" s="111"/>
      <c r="C987" s="112"/>
      <c r="D987" s="111"/>
      <c r="E987" s="111"/>
      <c r="F987" s="111"/>
      <c r="G987" s="113"/>
      <c r="H987" s="113"/>
    </row>
    <row r="988" ht="21.75" customHeight="1">
      <c r="A988" s="110"/>
      <c r="B988" s="111"/>
      <c r="C988" s="112"/>
      <c r="D988" s="111"/>
      <c r="E988" s="111"/>
      <c r="F988" s="111"/>
      <c r="G988" s="113"/>
      <c r="H988" s="113"/>
    </row>
    <row r="989" ht="21.75" customHeight="1">
      <c r="A989" s="110"/>
      <c r="B989" s="111"/>
      <c r="C989" s="112"/>
      <c r="D989" s="111"/>
      <c r="E989" s="111"/>
      <c r="F989" s="111"/>
      <c r="G989" s="113"/>
      <c r="H989" s="113"/>
    </row>
    <row r="990" ht="21.75" customHeight="1">
      <c r="A990" s="110"/>
      <c r="B990" s="111"/>
      <c r="C990" s="112"/>
      <c r="D990" s="111"/>
      <c r="E990" s="111"/>
      <c r="F990" s="111"/>
      <c r="G990" s="113"/>
      <c r="H990" s="113"/>
    </row>
    <row r="991" ht="21.75" customHeight="1">
      <c r="A991" s="110"/>
      <c r="B991" s="111"/>
      <c r="C991" s="112"/>
      <c r="D991" s="111"/>
      <c r="E991" s="111"/>
      <c r="F991" s="111"/>
      <c r="G991" s="113"/>
      <c r="H991" s="113"/>
    </row>
    <row r="992" ht="21.75" customHeight="1">
      <c r="A992" s="110"/>
      <c r="B992" s="111"/>
      <c r="C992" s="112"/>
      <c r="D992" s="111"/>
      <c r="E992" s="111"/>
      <c r="F992" s="111"/>
      <c r="G992" s="113"/>
      <c r="H992" s="113"/>
    </row>
    <row r="993" ht="21.75" customHeight="1">
      <c r="A993" s="110"/>
      <c r="B993" s="111"/>
      <c r="C993" s="112"/>
      <c r="D993" s="111"/>
      <c r="E993" s="111"/>
      <c r="F993" s="111"/>
      <c r="G993" s="113"/>
      <c r="H993" s="113"/>
    </row>
    <row r="994" ht="21.75" customHeight="1">
      <c r="A994" s="110"/>
      <c r="B994" s="111"/>
      <c r="C994" s="112"/>
      <c r="D994" s="111"/>
      <c r="E994" s="111"/>
      <c r="F994" s="111"/>
      <c r="G994" s="113"/>
      <c r="H994" s="113"/>
    </row>
    <row r="995" ht="21.75" customHeight="1">
      <c r="A995" s="110"/>
      <c r="B995" s="111"/>
      <c r="C995" s="112"/>
      <c r="D995" s="111"/>
      <c r="E995" s="111"/>
      <c r="F995" s="111"/>
      <c r="G995" s="113"/>
      <c r="H995" s="113"/>
    </row>
    <row r="996" ht="21.75" customHeight="1">
      <c r="A996" s="110"/>
      <c r="B996" s="111"/>
      <c r="C996" s="112"/>
      <c r="D996" s="111"/>
      <c r="E996" s="111"/>
      <c r="F996" s="111"/>
      <c r="G996" s="113"/>
      <c r="H996" s="113"/>
    </row>
    <row r="997" ht="21.75" customHeight="1">
      <c r="A997" s="110"/>
      <c r="B997" s="111"/>
      <c r="C997" s="112"/>
      <c r="D997" s="111"/>
      <c r="E997" s="111"/>
      <c r="F997" s="111"/>
      <c r="G997" s="113"/>
      <c r="H997" s="113"/>
    </row>
    <row r="998" ht="21.75" customHeight="1">
      <c r="A998" s="110"/>
      <c r="B998" s="111"/>
      <c r="C998" s="112"/>
      <c r="D998" s="111"/>
      <c r="E998" s="111"/>
      <c r="F998" s="111"/>
      <c r="G998" s="113"/>
      <c r="H998" s="113"/>
    </row>
    <row r="999" ht="21.75" customHeight="1">
      <c r="A999" s="110"/>
      <c r="B999" s="111"/>
      <c r="C999" s="112"/>
      <c r="D999" s="111"/>
      <c r="E999" s="111"/>
      <c r="F999" s="111"/>
      <c r="G999" s="113"/>
      <c r="H999" s="113"/>
    </row>
    <row r="1000" ht="21.75" customHeight="1">
      <c r="A1000" s="110"/>
      <c r="B1000" s="111"/>
      <c r="C1000" s="112"/>
      <c r="D1000" s="111"/>
      <c r="E1000" s="111"/>
      <c r="F1000" s="111"/>
      <c r="G1000" s="113"/>
      <c r="H1000" s="113"/>
    </row>
    <row r="1001" ht="21.75" customHeight="1">
      <c r="A1001" s="110"/>
      <c r="B1001" s="111"/>
      <c r="C1001" s="112"/>
      <c r="D1001" s="111"/>
      <c r="E1001" s="111"/>
      <c r="F1001" s="111"/>
      <c r="G1001" s="113"/>
      <c r="H1001" s="113"/>
    </row>
    <row r="1002" ht="21.75" customHeight="1">
      <c r="A1002" s="110"/>
      <c r="B1002" s="111"/>
      <c r="C1002" s="112"/>
      <c r="D1002" s="111"/>
      <c r="E1002" s="111"/>
      <c r="F1002" s="111"/>
      <c r="G1002" s="113"/>
      <c r="H1002" s="113"/>
    </row>
    <row r="1003" ht="21.75" customHeight="1">
      <c r="A1003" s="110"/>
      <c r="B1003" s="111"/>
      <c r="C1003" s="112"/>
      <c r="D1003" s="111"/>
      <c r="E1003" s="111"/>
      <c r="F1003" s="111"/>
      <c r="G1003" s="113"/>
      <c r="H1003" s="113"/>
    </row>
    <row r="1004" ht="21.75" customHeight="1">
      <c r="A1004" s="110"/>
      <c r="B1004" s="111"/>
      <c r="C1004" s="112"/>
      <c r="D1004" s="111"/>
      <c r="E1004" s="111"/>
      <c r="F1004" s="111"/>
      <c r="G1004" s="113"/>
      <c r="H1004" s="113"/>
    </row>
    <row r="1005" ht="21.75" customHeight="1">
      <c r="A1005" s="110"/>
      <c r="B1005" s="111"/>
      <c r="C1005" s="112"/>
      <c r="D1005" s="111"/>
      <c r="E1005" s="111"/>
      <c r="F1005" s="111"/>
      <c r="G1005" s="113"/>
      <c r="H1005" s="113"/>
    </row>
    <row r="1006" ht="21.75" customHeight="1">
      <c r="A1006" s="110"/>
      <c r="B1006" s="111"/>
      <c r="C1006" s="112"/>
      <c r="D1006" s="111"/>
      <c r="E1006" s="111"/>
      <c r="F1006" s="111"/>
      <c r="G1006" s="113"/>
      <c r="H1006" s="113"/>
    </row>
    <row r="1007" ht="21.75" customHeight="1">
      <c r="A1007" s="110"/>
      <c r="B1007" s="111"/>
      <c r="C1007" s="112"/>
      <c r="D1007" s="111"/>
      <c r="E1007" s="111"/>
      <c r="F1007" s="111"/>
      <c r="G1007" s="113"/>
      <c r="H1007" s="113"/>
    </row>
    <row r="1008" ht="21.75" customHeight="1">
      <c r="A1008" s="110"/>
      <c r="B1008" s="111"/>
      <c r="C1008" s="112"/>
      <c r="D1008" s="111"/>
      <c r="E1008" s="111"/>
      <c r="F1008" s="111"/>
      <c r="G1008" s="113"/>
      <c r="H1008" s="113"/>
    </row>
    <row r="1009" ht="21.75" customHeight="1">
      <c r="A1009" s="110"/>
      <c r="B1009" s="111"/>
      <c r="C1009" s="112"/>
      <c r="D1009" s="111"/>
      <c r="E1009" s="111"/>
      <c r="F1009" s="111"/>
      <c r="G1009" s="113"/>
      <c r="H1009" s="113"/>
    </row>
    <row r="1010" ht="21.75" customHeight="1">
      <c r="A1010" s="110"/>
      <c r="B1010" s="111"/>
      <c r="C1010" s="112"/>
      <c r="D1010" s="111"/>
      <c r="E1010" s="111"/>
      <c r="F1010" s="111"/>
      <c r="G1010" s="113"/>
      <c r="H1010" s="113"/>
    </row>
    <row r="1011" ht="21.75" customHeight="1">
      <c r="A1011" s="110"/>
      <c r="B1011" s="111"/>
      <c r="C1011" s="112"/>
      <c r="D1011" s="111"/>
      <c r="E1011" s="111"/>
      <c r="F1011" s="111"/>
      <c r="G1011" s="113"/>
      <c r="H1011" s="113"/>
    </row>
    <row r="1012" ht="21.75" customHeight="1">
      <c r="A1012" s="110"/>
      <c r="B1012" s="111"/>
      <c r="C1012" s="112"/>
      <c r="D1012" s="111"/>
      <c r="E1012" s="111"/>
      <c r="F1012" s="111"/>
      <c r="G1012" s="113"/>
      <c r="H1012" s="113"/>
    </row>
    <row r="1013" ht="21.75" customHeight="1">
      <c r="A1013" s="110"/>
      <c r="B1013" s="111"/>
      <c r="C1013" s="112"/>
      <c r="D1013" s="111"/>
      <c r="E1013" s="111"/>
      <c r="F1013" s="111"/>
      <c r="G1013" s="113"/>
      <c r="H1013" s="113"/>
    </row>
    <row r="1014" ht="21.75" customHeight="1">
      <c r="A1014" s="110"/>
      <c r="B1014" s="111"/>
      <c r="C1014" s="112"/>
      <c r="D1014" s="111"/>
      <c r="E1014" s="111"/>
      <c r="F1014" s="111"/>
      <c r="G1014" s="113"/>
      <c r="H1014" s="113"/>
    </row>
  </sheetData>
  <mergeCells count="2">
    <mergeCell ref="A1:H1"/>
    <mergeCell ref="A95:C9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.14"/>
    <col customWidth="1" min="2" max="2" width="23.71"/>
    <col customWidth="1" min="3" max="9" width="15.0"/>
    <col customWidth="1" min="10" max="10" width="21.71"/>
    <col customWidth="1" min="11" max="26" width="9.0"/>
  </cols>
  <sheetData>
    <row r="1" ht="38.25" customHeight="1">
      <c r="A1" s="115"/>
      <c r="B1" s="116" t="s">
        <v>62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7.25" customHeight="1">
      <c r="A2" s="115"/>
      <c r="B2" s="117" t="s">
        <v>63</v>
      </c>
      <c r="C2" s="118" t="s">
        <v>64</v>
      </c>
      <c r="D2" s="118" t="s">
        <v>65</v>
      </c>
      <c r="E2" s="118" t="s">
        <v>66</v>
      </c>
      <c r="F2" s="118" t="s">
        <v>67</v>
      </c>
      <c r="G2" s="118" t="s">
        <v>68</v>
      </c>
      <c r="H2" s="118" t="s">
        <v>69</v>
      </c>
      <c r="I2" s="118" t="s">
        <v>70</v>
      </c>
      <c r="J2" s="119" t="s">
        <v>71</v>
      </c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2.75" customHeight="1">
      <c r="A3" s="115"/>
      <c r="B3" s="120" t="s">
        <v>72</v>
      </c>
      <c r="C3" s="121">
        <v>13.0</v>
      </c>
      <c r="D3" s="122">
        <v>14.0</v>
      </c>
      <c r="E3" s="122">
        <v>15.0</v>
      </c>
      <c r="F3" s="122">
        <v>16.0</v>
      </c>
      <c r="G3" s="122">
        <v>17.0</v>
      </c>
      <c r="H3" s="122">
        <v>18.0</v>
      </c>
      <c r="I3" s="123">
        <v>19.0</v>
      </c>
      <c r="J3" s="124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63.75" customHeight="1">
      <c r="A4" s="115"/>
      <c r="B4" s="125"/>
      <c r="C4" s="121"/>
      <c r="D4" s="126"/>
      <c r="E4" s="122"/>
      <c r="F4" s="127" t="s">
        <v>73</v>
      </c>
      <c r="G4" s="122" t="s">
        <v>74</v>
      </c>
      <c r="H4" s="122"/>
      <c r="I4" s="123"/>
      <c r="J4" s="128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2.75" customHeight="1">
      <c r="A5" s="115"/>
      <c r="B5" s="125"/>
      <c r="C5" s="129">
        <v>20.0</v>
      </c>
      <c r="D5" s="130">
        <v>21.0</v>
      </c>
      <c r="E5" s="130">
        <v>22.0</v>
      </c>
      <c r="F5" s="130">
        <v>23.0</v>
      </c>
      <c r="G5" s="130">
        <v>24.0</v>
      </c>
      <c r="H5" s="130">
        <v>25.0</v>
      </c>
      <c r="I5" s="131">
        <v>26.0</v>
      </c>
      <c r="J5" s="132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63.75" customHeight="1">
      <c r="A6" s="133"/>
      <c r="B6" s="125"/>
      <c r="C6" s="134"/>
      <c r="D6" s="130" t="s">
        <v>75</v>
      </c>
      <c r="E6" s="135"/>
      <c r="F6" s="136"/>
      <c r="G6" s="135"/>
      <c r="H6" s="130" t="s">
        <v>76</v>
      </c>
      <c r="I6" s="134"/>
      <c r="J6" s="128"/>
      <c r="K6" s="133"/>
      <c r="L6" s="133"/>
      <c r="M6" s="133"/>
      <c r="N6" s="133"/>
      <c r="O6" s="133"/>
      <c r="P6" s="137"/>
      <c r="Q6" s="137"/>
      <c r="R6" s="133"/>
      <c r="S6" s="133"/>
      <c r="T6" s="133"/>
      <c r="U6" s="133"/>
      <c r="V6" s="133"/>
      <c r="W6" s="133"/>
      <c r="X6" s="133"/>
      <c r="Y6" s="133"/>
      <c r="Z6" s="133"/>
    </row>
    <row r="7" ht="12.75" customHeight="1">
      <c r="A7" s="115"/>
      <c r="B7" s="125"/>
      <c r="C7" s="129">
        <v>27.0</v>
      </c>
      <c r="D7" s="130">
        <v>28.0</v>
      </c>
      <c r="E7" s="130">
        <v>29.0</v>
      </c>
      <c r="F7" s="130">
        <v>30.0</v>
      </c>
      <c r="G7" s="138">
        <v>44378.0</v>
      </c>
      <c r="H7" s="130">
        <v>2.0</v>
      </c>
      <c r="I7" s="131">
        <v>3.0</v>
      </c>
      <c r="J7" s="132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63.75" customHeight="1">
      <c r="A8" s="115"/>
      <c r="B8" s="125"/>
      <c r="C8" s="129"/>
      <c r="D8" s="139"/>
      <c r="E8" s="129" t="s">
        <v>77</v>
      </c>
      <c r="F8" s="130"/>
      <c r="G8" s="130" t="s">
        <v>78</v>
      </c>
      <c r="H8" s="130" t="s">
        <v>79</v>
      </c>
      <c r="I8" s="131" t="s">
        <v>80</v>
      </c>
      <c r="J8" s="128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2.75" customHeight="1">
      <c r="A9" s="115"/>
      <c r="B9" s="125"/>
      <c r="C9" s="129">
        <v>4.0</v>
      </c>
      <c r="D9" s="130">
        <v>5.0</v>
      </c>
      <c r="E9" s="130">
        <v>6.0</v>
      </c>
      <c r="F9" s="130">
        <v>7.0</v>
      </c>
      <c r="G9" s="130">
        <v>8.0</v>
      </c>
      <c r="H9" s="130">
        <v>9.0</v>
      </c>
      <c r="I9" s="131">
        <v>10.0</v>
      </c>
      <c r="J9" s="132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55.5" customHeight="1">
      <c r="A10" s="115"/>
      <c r="B10" s="125"/>
      <c r="C10" s="129"/>
      <c r="D10" s="129" t="s">
        <v>81</v>
      </c>
      <c r="E10" s="130"/>
      <c r="F10" s="130"/>
      <c r="G10" s="130"/>
      <c r="H10" s="130"/>
      <c r="I10" s="131"/>
      <c r="J10" s="128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2.75" customHeight="1">
      <c r="A11" s="115"/>
      <c r="B11" s="140" t="s">
        <v>82</v>
      </c>
      <c r="C11" s="129">
        <v>11.0</v>
      </c>
      <c r="D11" s="130">
        <v>12.0</v>
      </c>
      <c r="E11" s="130">
        <v>13.0</v>
      </c>
      <c r="F11" s="130">
        <v>14.0</v>
      </c>
      <c r="G11" s="130">
        <v>15.0</v>
      </c>
      <c r="H11" s="130">
        <v>16.0</v>
      </c>
      <c r="I11" s="131">
        <v>17.0</v>
      </c>
      <c r="J11" s="132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40.5" customHeight="1">
      <c r="A12" s="115"/>
      <c r="B12" s="141" t="s">
        <v>83</v>
      </c>
      <c r="C12" s="129"/>
      <c r="D12" s="130"/>
      <c r="E12" s="130"/>
      <c r="F12" s="130"/>
      <c r="G12" s="130"/>
      <c r="H12" s="130"/>
      <c r="I12" s="131"/>
      <c r="J12" s="128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2.75" customHeight="1">
      <c r="A13" s="115"/>
      <c r="B13" s="125"/>
      <c r="C13" s="129"/>
      <c r="D13" s="130"/>
      <c r="E13" s="130"/>
      <c r="F13" s="130"/>
      <c r="G13" s="130"/>
      <c r="H13" s="130"/>
      <c r="I13" s="131"/>
      <c r="J13" s="132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40.5" customHeight="1">
      <c r="A14" s="115"/>
      <c r="B14" s="125"/>
      <c r="C14" s="129"/>
      <c r="D14" s="130"/>
      <c r="E14" s="130"/>
      <c r="F14" s="130"/>
      <c r="G14" s="130"/>
      <c r="H14" s="130"/>
      <c r="I14" s="131"/>
      <c r="J14" s="128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2.75" customHeight="1">
      <c r="A15" s="115"/>
      <c r="B15" s="125"/>
      <c r="C15" s="142"/>
      <c r="D15" s="130"/>
      <c r="E15" s="130"/>
      <c r="F15" s="130"/>
      <c r="G15" s="130"/>
      <c r="H15" s="130"/>
      <c r="I15" s="131"/>
      <c r="J15" s="132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40.5" customHeight="1">
      <c r="A16" s="133"/>
      <c r="B16" s="143"/>
      <c r="C16" s="134"/>
      <c r="D16" s="130"/>
      <c r="E16" s="144"/>
      <c r="F16" s="134"/>
      <c r="G16" s="145"/>
      <c r="H16" s="146"/>
      <c r="I16" s="134"/>
      <c r="J16" s="128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12.75" customHeight="1">
      <c r="A17" s="115"/>
      <c r="B17" s="147" t="s">
        <v>84</v>
      </c>
      <c r="C17" s="129"/>
      <c r="D17" s="130"/>
      <c r="E17" s="130"/>
      <c r="F17" s="130"/>
      <c r="G17" s="130"/>
      <c r="H17" s="130"/>
      <c r="I17" s="131"/>
      <c r="J17" s="132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40.5" customHeight="1">
      <c r="A18" s="133"/>
      <c r="B18" s="120" t="s">
        <v>85</v>
      </c>
      <c r="C18" s="134"/>
      <c r="D18" s="148"/>
      <c r="E18" s="149"/>
      <c r="F18" s="148"/>
      <c r="G18" s="139"/>
      <c r="H18" s="145"/>
      <c r="I18" s="134"/>
      <c r="J18" s="128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12.75" customHeight="1">
      <c r="A19" s="115"/>
      <c r="B19" s="125"/>
      <c r="C19" s="129"/>
      <c r="D19" s="130"/>
      <c r="E19" s="130"/>
      <c r="F19" s="130"/>
      <c r="G19" s="130"/>
      <c r="H19" s="130"/>
      <c r="I19" s="131"/>
      <c r="J19" s="132" t="s">
        <v>86</v>
      </c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40.5" customHeight="1">
      <c r="A20" s="115"/>
      <c r="B20" s="125"/>
      <c r="C20" s="129"/>
      <c r="D20" s="146"/>
      <c r="E20" s="129"/>
      <c r="F20" s="144"/>
      <c r="G20" s="139"/>
      <c r="H20" s="139"/>
      <c r="I20" s="150"/>
      <c r="J20" s="128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2.75" customHeight="1">
      <c r="A21" s="115"/>
      <c r="B21" s="125"/>
      <c r="C21" s="129"/>
      <c r="D21" s="130"/>
      <c r="E21" s="130"/>
      <c r="F21" s="129"/>
      <c r="G21" s="130"/>
      <c r="H21" s="130"/>
      <c r="I21" s="131"/>
      <c r="J21" s="151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40.5" customHeight="1">
      <c r="A22" s="133"/>
      <c r="B22" s="152"/>
      <c r="C22" s="153"/>
      <c r="D22" s="154"/>
      <c r="E22" s="153"/>
      <c r="F22" s="153"/>
      <c r="G22" s="153"/>
      <c r="H22" s="153"/>
      <c r="I22" s="153"/>
      <c r="J22" s="155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7.2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7.25" customHeight="1">
      <c r="A24" s="115"/>
      <c r="B24" s="156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7.25" customHeight="1">
      <c r="A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7.25" customHeight="1">
      <c r="A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7.25" customHeight="1">
      <c r="A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7.25" customHeight="1">
      <c r="A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7.25" customHeight="1">
      <c r="A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7.25" customHeight="1">
      <c r="A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7.2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7.2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7.2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7.2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7.2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7.2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7.2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7.2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7.2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7.2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7.2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7.2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7.2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7.2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7.2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7.2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7.2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7.2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7.2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7.2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7.2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7.2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7.2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7.2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7.2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7.2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7.2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7.2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7.2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7.2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7.2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7.2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7.2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7.2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7.2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7.2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7.2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7.2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7.2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7.2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7.2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7.2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7.2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7.2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7.2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7.2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7.2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7.2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7.2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7.2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7.2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17.2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7.2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7.2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7.2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7.2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7.2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7.2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7.2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7.2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7.2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7.2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7.2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7.2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7.2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7.2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7.2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7.2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7.2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7.2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7.2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7.2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7.2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7.2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7.2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7.2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7.2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7.2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7.2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7.2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7.2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7.2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7.2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7.2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7.2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7.2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7.2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7.2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7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7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7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7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7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7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7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7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7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7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7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7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7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7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7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7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7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7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7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7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7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7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7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7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7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7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7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7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7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7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7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7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7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7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7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7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7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7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7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7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7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7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7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7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7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7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7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7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7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7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7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7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7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7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7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7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7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7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7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7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7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7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7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7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7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7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7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7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7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7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7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7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7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7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7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7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7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7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7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7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7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7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7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7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7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7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7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7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7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7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7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7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7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7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7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7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7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7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7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7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7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7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7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7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7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7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7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7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7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7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7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7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7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7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7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7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7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7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7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7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7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7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7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7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7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7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7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7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7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7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7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7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7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7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7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7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7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7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7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7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7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7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7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7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7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7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7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7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7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7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7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7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7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7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7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7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7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7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7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7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7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7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7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7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7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7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7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7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7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7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7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7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7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7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7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7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7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7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7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7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7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7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7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7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7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7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7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7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7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7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7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7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7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7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7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7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7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7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7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7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7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7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7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7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7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7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7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7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7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7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7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7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7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7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7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7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7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7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7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7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7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7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7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7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7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7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7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7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7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7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7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7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7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7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7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7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7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7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7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7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7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7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7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7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7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7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7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7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7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7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7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7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7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7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7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7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7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7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7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7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7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7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7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7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7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7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7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7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7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7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7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7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7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7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7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7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7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7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7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7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7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7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7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7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7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7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7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7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7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7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7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7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7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7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7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7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7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7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7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7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7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7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7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7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7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7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7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7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7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7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7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7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7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7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7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7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7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7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7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7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7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7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7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7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7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7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7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7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7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7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7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7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7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7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7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7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7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7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7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7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7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7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7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7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7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7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7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7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7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7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7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7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7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7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7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7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7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7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7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7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7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7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7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7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7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7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7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7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7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7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7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7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7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7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7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7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7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7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7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7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7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7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7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7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7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7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7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7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7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7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7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7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7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7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7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7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7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7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7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7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7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7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7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7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7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7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7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7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7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7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7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7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7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7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7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7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7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7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7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7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7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7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7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7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7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7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7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7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7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7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7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7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7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7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7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7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7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7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7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7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7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7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7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7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7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7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7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7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7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7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7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7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7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7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7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7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7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7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7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7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7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7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7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7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7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7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7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7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7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7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7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7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7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7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7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7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7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7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7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7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7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7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7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7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7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7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7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7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7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7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7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7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7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7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7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7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7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7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7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7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7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7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7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7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7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7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7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7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7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7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7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7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7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7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7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7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7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7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7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7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7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7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7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7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7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7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7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7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7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7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7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7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7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7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7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7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7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7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7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7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7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7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7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7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7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7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7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7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7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7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7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7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7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7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7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7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7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7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7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7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7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7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7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7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7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7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7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7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7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7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7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7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7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7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7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7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7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7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7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7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7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7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7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7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7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7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7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7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7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7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7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7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7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7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7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7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7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7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7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7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7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7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7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7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7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7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7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7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7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7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7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7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7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7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7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7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7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7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7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7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7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7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7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7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7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7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7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7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7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7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7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7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7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7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7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7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7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7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7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7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7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7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7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7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7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7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7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7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7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7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7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7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7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7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7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7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7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7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7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7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7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7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7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7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7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7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7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7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7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7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7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7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7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7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7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7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7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7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7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7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7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7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7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7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7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7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7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7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7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7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7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7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7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7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7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7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7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7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7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7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7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7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7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7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7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7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7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7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7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7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7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7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7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7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7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7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7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7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7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7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7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7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7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7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7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7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7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7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7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7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7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7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7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7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7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7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7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7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7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7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7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7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7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7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7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7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7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7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7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7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7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7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7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7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7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7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7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7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7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7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7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7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7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7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7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7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7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7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7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7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7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7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7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7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7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7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7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7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7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7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7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7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7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7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7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7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7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7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7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7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7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7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7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7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7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7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7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7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7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7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7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7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7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7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7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7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7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7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7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7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7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7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7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7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7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7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7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7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7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7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7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7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7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7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7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7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7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7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7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7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7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7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7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7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7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7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7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7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7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7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7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7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7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7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7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7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7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7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7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7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7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7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7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7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7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7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7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7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7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7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7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7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7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7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7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7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7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7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7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7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7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7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7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7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7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7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7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7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7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7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7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7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 ht="17.2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 ht="17.2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 ht="17.2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 ht="17.2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 ht="17.2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 ht="17.2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 ht="17.2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 ht="17.2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 ht="17.2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 ht="17.2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 ht="17.2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 ht="17.2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</sheetData>
  <mergeCells count="15">
    <mergeCell ref="J11:J12"/>
    <mergeCell ref="J13:J14"/>
    <mergeCell ref="J17:J18"/>
    <mergeCell ref="J19:J20"/>
    <mergeCell ref="J21:J22"/>
    <mergeCell ref="B12:B16"/>
    <mergeCell ref="B18:B22"/>
    <mergeCell ref="B24:B30"/>
    <mergeCell ref="B1:J1"/>
    <mergeCell ref="B3:B10"/>
    <mergeCell ref="J3:J4"/>
    <mergeCell ref="J5:J6"/>
    <mergeCell ref="J7:J8"/>
    <mergeCell ref="J9:J10"/>
    <mergeCell ref="J15:J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.71"/>
    <col customWidth="1" min="2" max="2" width="46.57"/>
    <col customWidth="1" min="3" max="3" width="8.71"/>
    <col customWidth="1" min="4" max="4" width="39.57"/>
    <col customWidth="1" min="5" max="20" width="8.71"/>
  </cols>
  <sheetData>
    <row r="1" ht="18.0" customHeight="1">
      <c r="A1" s="111"/>
      <c r="B1" s="157" t="s">
        <v>87</v>
      </c>
    </row>
    <row r="2" ht="18.0" customHeight="1">
      <c r="A2" s="111"/>
      <c r="B2" s="158" t="s">
        <v>88</v>
      </c>
      <c r="C2" s="158" t="s">
        <v>89</v>
      </c>
      <c r="D2" s="158" t="s">
        <v>90</v>
      </c>
      <c r="F2" s="159" t="s">
        <v>91</v>
      </c>
    </row>
    <row r="3" ht="18.0" customHeight="1">
      <c r="A3" s="111"/>
      <c r="B3" s="160"/>
      <c r="C3" s="161"/>
      <c r="D3" s="161"/>
    </row>
    <row r="4" ht="18.0" customHeight="1">
      <c r="A4" s="111"/>
      <c r="B4" s="160"/>
      <c r="C4" s="161"/>
      <c r="D4" s="161"/>
    </row>
    <row r="5" ht="18.0" customHeight="1">
      <c r="A5" s="111"/>
      <c r="B5" s="160"/>
      <c r="C5" s="161"/>
      <c r="D5" s="161"/>
    </row>
    <row r="6" ht="18.0" customHeight="1">
      <c r="A6" s="111"/>
      <c r="B6" s="160"/>
      <c r="C6" s="161"/>
      <c r="D6" s="161"/>
    </row>
    <row r="7" ht="18.0" customHeight="1">
      <c r="A7" s="111"/>
      <c r="B7" s="160"/>
      <c r="C7" s="161"/>
      <c r="D7" s="161"/>
    </row>
    <row r="8" ht="18.0" customHeight="1">
      <c r="A8" s="111"/>
      <c r="B8" s="160"/>
      <c r="C8" s="161"/>
      <c r="D8" s="161"/>
    </row>
    <row r="9" ht="18.0" customHeight="1">
      <c r="A9" s="111"/>
      <c r="B9" s="160"/>
      <c r="C9" s="161"/>
      <c r="D9" s="161"/>
    </row>
    <row r="10" ht="18.0" customHeight="1">
      <c r="A10" s="111"/>
      <c r="B10" s="160"/>
      <c r="C10" s="161"/>
      <c r="D10" s="161"/>
    </row>
    <row r="11" ht="18.0" customHeight="1">
      <c r="A11" s="111"/>
      <c r="B11" s="160"/>
      <c r="C11" s="161"/>
      <c r="D11" s="161"/>
    </row>
    <row r="12" ht="18.0" customHeight="1">
      <c r="A12" s="111"/>
      <c r="B12" s="162"/>
      <c r="C12" s="161"/>
      <c r="D12" s="161"/>
    </row>
    <row r="13" ht="18.0" customHeight="1">
      <c r="A13" s="111"/>
      <c r="B13" s="162"/>
      <c r="C13" s="161"/>
      <c r="D13" s="161"/>
    </row>
    <row r="14" ht="18.0" customHeight="1">
      <c r="A14" s="111"/>
      <c r="B14" s="162"/>
      <c r="C14" s="161"/>
      <c r="D14" s="161"/>
    </row>
    <row r="15" ht="18.0" customHeight="1">
      <c r="A15" s="111"/>
      <c r="B15" s="162"/>
      <c r="C15" s="161"/>
      <c r="D15" s="161"/>
    </row>
    <row r="16" ht="18.0" customHeight="1">
      <c r="A16" s="111"/>
      <c r="B16" s="157"/>
    </row>
    <row r="17" ht="18.0" customHeight="1">
      <c r="A17" s="111"/>
      <c r="B17" s="157" t="s">
        <v>92</v>
      </c>
    </row>
    <row r="18" ht="18.0" customHeight="1">
      <c r="A18" s="111"/>
      <c r="B18" s="158" t="s">
        <v>93</v>
      </c>
      <c r="C18" s="158" t="s">
        <v>89</v>
      </c>
      <c r="D18" s="158" t="s">
        <v>90</v>
      </c>
    </row>
    <row r="19" ht="18.0" customHeight="1">
      <c r="A19" s="111"/>
      <c r="B19" s="162"/>
      <c r="C19" s="161"/>
      <c r="D19" s="163"/>
    </row>
    <row r="20" ht="18.0" customHeight="1">
      <c r="A20" s="111"/>
      <c r="B20" s="162"/>
      <c r="C20" s="161"/>
      <c r="D20" s="164"/>
    </row>
    <row r="21" ht="18.0" customHeight="1">
      <c r="A21" s="111"/>
      <c r="B21" s="162"/>
      <c r="C21" s="161"/>
      <c r="D21" s="161"/>
    </row>
    <row r="22" ht="18.0" customHeight="1">
      <c r="A22" s="111"/>
    </row>
    <row r="23" ht="18.0" customHeight="1">
      <c r="A23" s="111"/>
      <c r="B23" s="157"/>
    </row>
    <row r="24" ht="18.0" customHeight="1">
      <c r="A24" s="111"/>
      <c r="B24" s="157" t="s">
        <v>94</v>
      </c>
    </row>
    <row r="25" ht="18.0" customHeight="1">
      <c r="A25" s="111"/>
      <c r="B25" s="158" t="s">
        <v>93</v>
      </c>
      <c r="C25" s="158" t="s">
        <v>89</v>
      </c>
      <c r="D25" s="158" t="s">
        <v>90</v>
      </c>
    </row>
    <row r="26" ht="18.0" customHeight="1">
      <c r="A26" s="111"/>
      <c r="B26" s="162"/>
      <c r="C26" s="161"/>
      <c r="D26" s="161"/>
    </row>
    <row r="27" ht="18.0" customHeight="1">
      <c r="A27" s="111"/>
      <c r="B27" s="162"/>
      <c r="C27" s="161"/>
      <c r="D27" s="161"/>
    </row>
    <row r="28" ht="18.0" customHeight="1">
      <c r="A28" s="111"/>
      <c r="B28" s="162"/>
      <c r="C28" s="161"/>
      <c r="D28" s="161"/>
    </row>
    <row r="29" ht="18.0" customHeight="1">
      <c r="A29" s="111"/>
      <c r="B29" s="162"/>
      <c r="C29" s="161"/>
      <c r="D29" s="161"/>
    </row>
    <row r="30" ht="18.0" customHeight="1">
      <c r="A30" s="111"/>
      <c r="B30" s="162"/>
      <c r="C30" s="161"/>
      <c r="D30" s="165"/>
    </row>
    <row r="31" ht="12.75" customHeight="1">
      <c r="A31" s="111"/>
    </row>
    <row r="32" ht="12.75" customHeight="1">
      <c r="A32" s="111"/>
      <c r="D32" s="166"/>
    </row>
    <row r="33" ht="12.75" customHeight="1">
      <c r="A33" s="111"/>
    </row>
    <row r="34" ht="12.75" customHeight="1">
      <c r="A34" s="111"/>
      <c r="D34" s="166"/>
    </row>
    <row r="35" ht="12.75" customHeight="1">
      <c r="A35" s="111"/>
    </row>
    <row r="36" ht="12.75" customHeight="1">
      <c r="A36" s="111"/>
    </row>
    <row r="37" ht="12.75" customHeight="1">
      <c r="A37" s="111"/>
    </row>
    <row r="38" ht="12.75" customHeight="1">
      <c r="A38" s="111"/>
    </row>
    <row r="39" ht="12.75" customHeight="1">
      <c r="A39" s="111"/>
    </row>
    <row r="40" ht="12.75" customHeight="1">
      <c r="A40" s="111"/>
    </row>
    <row r="41" ht="12.75" customHeight="1">
      <c r="A41" s="111"/>
    </row>
    <row r="42" ht="12.75" customHeight="1">
      <c r="A42" s="111"/>
    </row>
    <row r="43" ht="12.75" customHeight="1">
      <c r="A43" s="111"/>
    </row>
    <row r="44" ht="12.75" customHeight="1">
      <c r="A44" s="111"/>
    </row>
    <row r="45" ht="12.75" customHeight="1">
      <c r="A45" s="111"/>
    </row>
    <row r="46" ht="12.75" customHeight="1">
      <c r="A46" s="111"/>
    </row>
    <row r="47" ht="12.75" customHeight="1">
      <c r="A47" s="111"/>
    </row>
    <row r="48" ht="12.75" customHeight="1">
      <c r="A48" s="111"/>
    </row>
    <row r="49" ht="12.75" customHeight="1">
      <c r="A49" s="111"/>
    </row>
    <row r="50" ht="12.75" customHeight="1">
      <c r="A50" s="111"/>
    </row>
    <row r="51" ht="12.75" customHeight="1">
      <c r="A51" s="111"/>
    </row>
    <row r="52" ht="12.75" customHeight="1">
      <c r="A52" s="111"/>
    </row>
    <row r="53" ht="12.75" customHeight="1">
      <c r="A53" s="111"/>
    </row>
    <row r="54" ht="12.75" customHeight="1">
      <c r="A54" s="111"/>
    </row>
    <row r="55" ht="12.75" customHeight="1">
      <c r="A55" s="111"/>
    </row>
    <row r="56" ht="12.75" customHeight="1">
      <c r="A56" s="111"/>
    </row>
    <row r="57" ht="12.75" customHeight="1">
      <c r="A57" s="111"/>
    </row>
    <row r="58" ht="12.75" customHeight="1">
      <c r="A58" s="111"/>
    </row>
    <row r="59" ht="12.75" customHeight="1">
      <c r="A59" s="111"/>
    </row>
    <row r="60" ht="12.75" customHeight="1">
      <c r="A60" s="111"/>
    </row>
    <row r="61" ht="12.75" customHeight="1">
      <c r="A61" s="111"/>
    </row>
    <row r="62" ht="12.75" customHeight="1">
      <c r="A62" s="111"/>
    </row>
    <row r="63" ht="12.75" customHeight="1">
      <c r="A63" s="111"/>
    </row>
    <row r="64" ht="12.75" customHeight="1">
      <c r="A64" s="111"/>
    </row>
    <row r="65" ht="12.75" customHeight="1">
      <c r="A65" s="111"/>
    </row>
    <row r="66" ht="12.75" customHeight="1">
      <c r="A66" s="111"/>
    </row>
    <row r="67" ht="12.75" customHeight="1">
      <c r="A67" s="111"/>
    </row>
    <row r="68" ht="12.75" customHeight="1">
      <c r="A68" s="111"/>
    </row>
    <row r="69" ht="12.75" customHeight="1">
      <c r="A69" s="111"/>
    </row>
    <row r="70" ht="12.75" customHeight="1">
      <c r="A70" s="111"/>
    </row>
    <row r="71" ht="12.75" customHeight="1">
      <c r="A71" s="111"/>
    </row>
    <row r="72" ht="12.75" customHeight="1">
      <c r="A72" s="111"/>
    </row>
    <row r="73" ht="12.75" customHeight="1">
      <c r="A73" s="111"/>
    </row>
    <row r="74" ht="12.75" customHeight="1">
      <c r="A74" s="111"/>
    </row>
    <row r="75" ht="12.75" customHeight="1">
      <c r="A75" s="111"/>
    </row>
    <row r="76" ht="12.75" customHeight="1">
      <c r="A76" s="111"/>
    </row>
    <row r="77" ht="12.75" customHeight="1">
      <c r="A77" s="111"/>
    </row>
    <row r="78" ht="12.75" customHeight="1">
      <c r="A78" s="111"/>
    </row>
    <row r="79" ht="12.75" customHeight="1">
      <c r="A79" s="111"/>
    </row>
    <row r="80" ht="12.75" customHeight="1">
      <c r="A80" s="111"/>
    </row>
    <row r="81" ht="12.75" customHeight="1">
      <c r="A81" s="111"/>
    </row>
    <row r="82" ht="12.75" customHeight="1">
      <c r="A82" s="111"/>
    </row>
    <row r="83" ht="12.75" customHeight="1">
      <c r="A83" s="111"/>
    </row>
    <row r="84" ht="12.75" customHeight="1">
      <c r="A84" s="111"/>
    </row>
    <row r="85" ht="12.75" customHeight="1">
      <c r="A85" s="111"/>
    </row>
    <row r="86" ht="12.75" customHeight="1">
      <c r="A86" s="111"/>
    </row>
    <row r="87" ht="12.75" customHeight="1">
      <c r="A87" s="111"/>
    </row>
    <row r="88" ht="12.75" customHeight="1">
      <c r="A88" s="111"/>
    </row>
    <row r="89" ht="12.75" customHeight="1">
      <c r="A89" s="111"/>
    </row>
    <row r="90" ht="12.75" customHeight="1">
      <c r="A90" s="111"/>
    </row>
    <row r="91" ht="12.75" customHeight="1">
      <c r="A91" s="111"/>
    </row>
    <row r="92" ht="12.75" customHeight="1">
      <c r="A92" s="111"/>
    </row>
    <row r="93" ht="12.75" customHeight="1">
      <c r="A93" s="111"/>
    </row>
    <row r="94" ht="12.75" customHeight="1">
      <c r="A94" s="111"/>
    </row>
    <row r="95" ht="12.75" customHeight="1">
      <c r="A95" s="111"/>
    </row>
    <row r="96" ht="12.75" customHeight="1">
      <c r="A96" s="111"/>
    </row>
    <row r="97" ht="12.75" customHeight="1">
      <c r="A97" s="111"/>
    </row>
    <row r="98" ht="12.75" customHeight="1">
      <c r="A98" s="111"/>
    </row>
    <row r="99" ht="12.75" customHeight="1">
      <c r="A99" s="111"/>
    </row>
    <row r="100" ht="12.75" customHeight="1">
      <c r="A100" s="111"/>
    </row>
    <row r="101" ht="12.75" customHeight="1">
      <c r="A101" s="111"/>
    </row>
    <row r="102" ht="12.75" customHeight="1">
      <c r="A102" s="111"/>
    </row>
    <row r="103" ht="12.75" customHeight="1">
      <c r="A103" s="111"/>
    </row>
    <row r="104" ht="12.75" customHeight="1">
      <c r="A104" s="111"/>
    </row>
    <row r="105" ht="12.75" customHeight="1">
      <c r="A105" s="111"/>
    </row>
    <row r="106" ht="12.75" customHeight="1">
      <c r="A106" s="111"/>
    </row>
    <row r="107" ht="12.75" customHeight="1">
      <c r="A107" s="111"/>
    </row>
    <row r="108" ht="12.75" customHeight="1">
      <c r="A108" s="111"/>
    </row>
    <row r="109" ht="12.75" customHeight="1">
      <c r="A109" s="111"/>
    </row>
    <row r="110" ht="12.75" customHeight="1">
      <c r="A110" s="111"/>
    </row>
    <row r="111" ht="12.75" customHeight="1">
      <c r="A111" s="111"/>
    </row>
    <row r="112" ht="12.75" customHeight="1">
      <c r="A112" s="111"/>
    </row>
    <row r="113" ht="12.75" customHeight="1">
      <c r="A113" s="111"/>
    </row>
    <row r="114" ht="12.75" customHeight="1">
      <c r="A114" s="111"/>
    </row>
    <row r="115" ht="12.75" customHeight="1">
      <c r="A115" s="111"/>
    </row>
    <row r="116" ht="12.75" customHeight="1">
      <c r="A116" s="111"/>
    </row>
    <row r="117" ht="12.75" customHeight="1">
      <c r="A117" s="111"/>
    </row>
    <row r="118" ht="12.75" customHeight="1">
      <c r="A118" s="111"/>
    </row>
    <row r="119" ht="12.75" customHeight="1">
      <c r="A119" s="111"/>
    </row>
    <row r="120" ht="12.75" customHeight="1">
      <c r="A120" s="111"/>
    </row>
    <row r="121" ht="12.75" customHeight="1">
      <c r="A121" s="111"/>
    </row>
    <row r="122" ht="12.75" customHeight="1">
      <c r="A122" s="111"/>
    </row>
    <row r="123" ht="12.75" customHeight="1">
      <c r="A123" s="111"/>
    </row>
    <row r="124" ht="12.75" customHeight="1">
      <c r="A124" s="111"/>
    </row>
    <row r="125" ht="12.75" customHeight="1">
      <c r="A125" s="111"/>
    </row>
    <row r="126" ht="12.75" customHeight="1">
      <c r="A126" s="111"/>
    </row>
    <row r="127" ht="12.75" customHeight="1">
      <c r="A127" s="111"/>
    </row>
    <row r="128" ht="12.75" customHeight="1">
      <c r="A128" s="111"/>
    </row>
    <row r="129" ht="12.75" customHeight="1">
      <c r="A129" s="111"/>
    </row>
    <row r="130" ht="12.75" customHeight="1">
      <c r="A130" s="111"/>
    </row>
    <row r="131" ht="12.75" customHeight="1">
      <c r="A131" s="111"/>
    </row>
    <row r="132" ht="12.75" customHeight="1">
      <c r="A132" s="111"/>
    </row>
    <row r="133" ht="12.75" customHeight="1">
      <c r="A133" s="111"/>
    </row>
    <row r="134" ht="12.75" customHeight="1">
      <c r="A134" s="111"/>
    </row>
    <row r="135" ht="12.75" customHeight="1">
      <c r="A135" s="111"/>
    </row>
    <row r="136" ht="12.75" customHeight="1">
      <c r="A136" s="111"/>
    </row>
    <row r="137" ht="12.75" customHeight="1">
      <c r="A137" s="111"/>
    </row>
    <row r="138" ht="12.75" customHeight="1">
      <c r="A138" s="111"/>
    </row>
    <row r="139" ht="12.75" customHeight="1">
      <c r="A139" s="111"/>
    </row>
    <row r="140" ht="12.75" customHeight="1">
      <c r="A140" s="111"/>
    </row>
    <row r="141" ht="12.75" customHeight="1">
      <c r="A141" s="111"/>
    </row>
    <row r="142" ht="12.75" customHeight="1">
      <c r="A142" s="111"/>
    </row>
    <row r="143" ht="12.75" customHeight="1">
      <c r="A143" s="111"/>
    </row>
    <row r="144" ht="12.75" customHeight="1">
      <c r="A144" s="111"/>
    </row>
    <row r="145" ht="12.75" customHeight="1">
      <c r="A145" s="111"/>
    </row>
    <row r="146" ht="12.75" customHeight="1">
      <c r="A146" s="111"/>
    </row>
    <row r="147" ht="12.75" customHeight="1">
      <c r="A147" s="111"/>
    </row>
    <row r="148" ht="12.75" customHeight="1">
      <c r="A148" s="111"/>
    </row>
    <row r="149" ht="12.75" customHeight="1">
      <c r="A149" s="111"/>
    </row>
    <row r="150" ht="12.75" customHeight="1">
      <c r="A150" s="111"/>
    </row>
    <row r="151" ht="12.75" customHeight="1">
      <c r="A151" s="111"/>
    </row>
    <row r="152" ht="12.75" customHeight="1">
      <c r="A152" s="111"/>
    </row>
    <row r="153" ht="12.75" customHeight="1">
      <c r="A153" s="111"/>
    </row>
    <row r="154" ht="12.75" customHeight="1">
      <c r="A154" s="111"/>
    </row>
    <row r="155" ht="12.75" customHeight="1">
      <c r="A155" s="111"/>
    </row>
    <row r="156" ht="12.75" customHeight="1">
      <c r="A156" s="111"/>
    </row>
    <row r="157" ht="12.75" customHeight="1">
      <c r="A157" s="111"/>
    </row>
    <row r="158" ht="12.75" customHeight="1">
      <c r="A158" s="111"/>
    </row>
    <row r="159" ht="12.75" customHeight="1">
      <c r="A159" s="111"/>
    </row>
    <row r="160" ht="12.75" customHeight="1">
      <c r="A160" s="111"/>
    </row>
    <row r="161" ht="12.75" customHeight="1">
      <c r="A161" s="111"/>
    </row>
    <row r="162" ht="12.75" customHeight="1">
      <c r="A162" s="111"/>
    </row>
    <row r="163" ht="12.75" customHeight="1">
      <c r="A163" s="111"/>
    </row>
    <row r="164" ht="12.75" customHeight="1">
      <c r="A164" s="111"/>
    </row>
    <row r="165" ht="12.75" customHeight="1">
      <c r="A165" s="111"/>
    </row>
    <row r="166" ht="12.75" customHeight="1">
      <c r="A166" s="111"/>
    </row>
    <row r="167" ht="12.75" customHeight="1">
      <c r="A167" s="111"/>
    </row>
    <row r="168" ht="12.75" customHeight="1">
      <c r="A168" s="111"/>
    </row>
    <row r="169" ht="12.75" customHeight="1">
      <c r="A169" s="111"/>
    </row>
    <row r="170" ht="12.75" customHeight="1">
      <c r="A170" s="111"/>
    </row>
    <row r="171" ht="12.75" customHeight="1">
      <c r="A171" s="111"/>
    </row>
    <row r="172" ht="12.75" customHeight="1">
      <c r="A172" s="111"/>
    </row>
    <row r="173" ht="12.75" customHeight="1">
      <c r="A173" s="111"/>
    </row>
    <row r="174" ht="12.75" customHeight="1">
      <c r="A174" s="111"/>
    </row>
    <row r="175" ht="12.75" customHeight="1">
      <c r="A175" s="111"/>
    </row>
    <row r="176" ht="12.75" customHeight="1">
      <c r="A176" s="111"/>
    </row>
    <row r="177" ht="12.75" customHeight="1">
      <c r="A177" s="111"/>
    </row>
    <row r="178" ht="12.75" customHeight="1">
      <c r="A178" s="111"/>
    </row>
    <row r="179" ht="12.75" customHeight="1">
      <c r="A179" s="111"/>
    </row>
    <row r="180" ht="12.75" customHeight="1">
      <c r="A180" s="111"/>
    </row>
    <row r="181" ht="12.75" customHeight="1">
      <c r="A181" s="111"/>
    </row>
    <row r="182" ht="12.75" customHeight="1">
      <c r="A182" s="111"/>
    </row>
    <row r="183" ht="12.75" customHeight="1">
      <c r="A183" s="111"/>
    </row>
    <row r="184" ht="12.75" customHeight="1">
      <c r="A184" s="111"/>
    </row>
    <row r="185" ht="12.75" customHeight="1">
      <c r="A185" s="111"/>
    </row>
    <row r="186" ht="12.75" customHeight="1">
      <c r="A186" s="111"/>
    </row>
    <row r="187" ht="12.75" customHeight="1">
      <c r="A187" s="111"/>
    </row>
    <row r="188" ht="12.75" customHeight="1">
      <c r="A188" s="111"/>
    </row>
    <row r="189" ht="12.75" customHeight="1">
      <c r="A189" s="111"/>
    </row>
    <row r="190" ht="12.75" customHeight="1">
      <c r="A190" s="111"/>
    </row>
    <row r="191" ht="12.75" customHeight="1">
      <c r="A191" s="111"/>
    </row>
    <row r="192" ht="12.75" customHeight="1">
      <c r="A192" s="111"/>
    </row>
    <row r="193" ht="12.75" customHeight="1">
      <c r="A193" s="111"/>
    </row>
    <row r="194" ht="12.75" customHeight="1">
      <c r="A194" s="111"/>
    </row>
    <row r="195" ht="12.75" customHeight="1">
      <c r="A195" s="111"/>
    </row>
    <row r="196" ht="12.75" customHeight="1">
      <c r="A196" s="111"/>
    </row>
    <row r="197" ht="12.75" customHeight="1">
      <c r="A197" s="111"/>
    </row>
    <row r="198" ht="12.75" customHeight="1">
      <c r="A198" s="111"/>
    </row>
    <row r="199" ht="12.75" customHeight="1">
      <c r="A199" s="111"/>
    </row>
    <row r="200" ht="12.75" customHeight="1">
      <c r="A200" s="111"/>
    </row>
    <row r="201" ht="12.75" customHeight="1">
      <c r="A201" s="111"/>
    </row>
    <row r="202" ht="12.75" customHeight="1">
      <c r="A202" s="111"/>
    </row>
    <row r="203" ht="12.75" customHeight="1">
      <c r="A203" s="111"/>
    </row>
    <row r="204" ht="12.75" customHeight="1">
      <c r="A204" s="111"/>
    </row>
    <row r="205" ht="12.75" customHeight="1">
      <c r="A205" s="111"/>
    </row>
    <row r="206" ht="12.75" customHeight="1">
      <c r="A206" s="111"/>
    </row>
    <row r="207" ht="12.75" customHeight="1">
      <c r="A207" s="111"/>
    </row>
    <row r="208" ht="12.75" customHeight="1">
      <c r="A208" s="111"/>
    </row>
    <row r="209" ht="12.75" customHeight="1">
      <c r="A209" s="111"/>
    </row>
    <row r="210" ht="12.75" customHeight="1">
      <c r="A210" s="111"/>
    </row>
    <row r="211" ht="12.75" customHeight="1">
      <c r="A211" s="111"/>
    </row>
    <row r="212" ht="12.75" customHeight="1">
      <c r="A212" s="111"/>
    </row>
    <row r="213" ht="12.75" customHeight="1">
      <c r="A213" s="111"/>
    </row>
    <row r="214" ht="12.75" customHeight="1">
      <c r="A214" s="111"/>
    </row>
    <row r="215" ht="12.75" customHeight="1">
      <c r="A215" s="111"/>
    </row>
    <row r="216" ht="12.75" customHeight="1">
      <c r="A216" s="111"/>
    </row>
    <row r="217" ht="12.75" customHeight="1">
      <c r="A217" s="111"/>
    </row>
    <row r="218" ht="12.75" customHeight="1">
      <c r="A218" s="111"/>
    </row>
    <row r="219" ht="12.75" customHeight="1">
      <c r="A219" s="111"/>
    </row>
    <row r="220" ht="12.75" customHeight="1">
      <c r="A220" s="111"/>
    </row>
    <row r="221" ht="12.75" customHeight="1">
      <c r="A221" s="111"/>
    </row>
    <row r="222" ht="12.75" customHeight="1">
      <c r="A222" s="111"/>
    </row>
    <row r="223" ht="12.75" customHeight="1">
      <c r="A223" s="111"/>
    </row>
    <row r="224" ht="12.75" customHeight="1">
      <c r="A224" s="111"/>
    </row>
    <row r="225" ht="12.75" customHeight="1">
      <c r="A225" s="111"/>
    </row>
    <row r="226" ht="12.75" customHeight="1">
      <c r="A226" s="111"/>
    </row>
    <row r="227" ht="12.75" customHeight="1">
      <c r="A227" s="111"/>
    </row>
    <row r="228" ht="12.75" customHeight="1">
      <c r="A228" s="111"/>
    </row>
    <row r="229" ht="12.75" customHeight="1">
      <c r="A229" s="111"/>
    </row>
    <row r="230" ht="12.75" customHeight="1">
      <c r="A230" s="111"/>
    </row>
    <row r="231" ht="12.75" customHeight="1">
      <c r="A231" s="111"/>
    </row>
    <row r="232" ht="12.75" customHeight="1">
      <c r="A232" s="111"/>
    </row>
    <row r="233" ht="12.75" customHeight="1">
      <c r="A233" s="111"/>
    </row>
    <row r="234" ht="12.75" customHeight="1">
      <c r="A234" s="111"/>
    </row>
    <row r="235" ht="12.75" customHeight="1">
      <c r="A235" s="111"/>
    </row>
    <row r="236" ht="12.75" customHeight="1">
      <c r="A236" s="111"/>
    </row>
    <row r="237" ht="12.75" customHeight="1">
      <c r="A237" s="111"/>
    </row>
    <row r="238" ht="12.75" customHeight="1">
      <c r="A238" s="111"/>
    </row>
    <row r="239" ht="12.75" customHeight="1">
      <c r="A239" s="111"/>
    </row>
    <row r="240" ht="12.75" customHeight="1">
      <c r="A240" s="111"/>
    </row>
    <row r="241" ht="12.75" customHeight="1">
      <c r="A241" s="111"/>
    </row>
    <row r="242" ht="12.75" customHeight="1">
      <c r="A242" s="111"/>
    </row>
    <row r="243" ht="12.75" customHeight="1">
      <c r="A243" s="111"/>
    </row>
    <row r="244" ht="12.75" customHeight="1">
      <c r="A244" s="111"/>
    </row>
    <row r="245" ht="12.75" customHeight="1">
      <c r="A245" s="111"/>
    </row>
    <row r="246" ht="12.75" customHeight="1">
      <c r="A246" s="111"/>
    </row>
    <row r="247" ht="12.75" customHeight="1">
      <c r="A247" s="111"/>
    </row>
    <row r="248" ht="12.75" customHeight="1">
      <c r="A248" s="111"/>
    </row>
    <row r="249" ht="12.75" customHeight="1">
      <c r="A249" s="111"/>
    </row>
    <row r="250" ht="12.75" customHeight="1">
      <c r="A250" s="111"/>
    </row>
    <row r="251" ht="12.75" customHeight="1">
      <c r="A251" s="111"/>
    </row>
    <row r="252" ht="12.75" customHeight="1">
      <c r="A252" s="111"/>
    </row>
    <row r="253" ht="12.75" customHeight="1">
      <c r="A253" s="111"/>
    </row>
    <row r="254" ht="12.75" customHeight="1">
      <c r="A254" s="111"/>
    </row>
    <row r="255" ht="12.75" customHeight="1">
      <c r="A255" s="111"/>
    </row>
    <row r="256" ht="12.75" customHeight="1">
      <c r="A256" s="111"/>
    </row>
    <row r="257" ht="12.75" customHeight="1">
      <c r="A257" s="111"/>
    </row>
    <row r="258" ht="12.75" customHeight="1">
      <c r="A258" s="111"/>
    </row>
    <row r="259" ht="12.75" customHeight="1">
      <c r="A259" s="111"/>
    </row>
    <row r="260" ht="12.75" customHeight="1">
      <c r="A260" s="111"/>
    </row>
    <row r="261" ht="12.75" customHeight="1">
      <c r="A261" s="111"/>
    </row>
    <row r="262" ht="12.75" customHeight="1">
      <c r="A262" s="111"/>
    </row>
    <row r="263" ht="12.75" customHeight="1">
      <c r="A263" s="111"/>
    </row>
    <row r="264" ht="12.75" customHeight="1">
      <c r="A264" s="111"/>
    </row>
    <row r="265" ht="12.75" customHeight="1">
      <c r="A265" s="111"/>
    </row>
    <row r="266" ht="12.75" customHeight="1">
      <c r="A266" s="111"/>
    </row>
    <row r="267" ht="12.75" customHeight="1">
      <c r="A267" s="111"/>
    </row>
    <row r="268" ht="12.75" customHeight="1">
      <c r="A268" s="111"/>
    </row>
    <row r="269" ht="12.75" customHeight="1">
      <c r="A269" s="111"/>
    </row>
    <row r="270" ht="12.75" customHeight="1">
      <c r="A270" s="111"/>
    </row>
    <row r="271" ht="12.75" customHeight="1">
      <c r="A271" s="111"/>
    </row>
    <row r="272" ht="12.75" customHeight="1">
      <c r="A272" s="111"/>
    </row>
    <row r="273" ht="12.75" customHeight="1">
      <c r="A273" s="111"/>
    </row>
    <row r="274" ht="12.75" customHeight="1">
      <c r="A274" s="111"/>
    </row>
    <row r="275" ht="12.75" customHeight="1">
      <c r="A275" s="111"/>
    </row>
    <row r="276" ht="12.75" customHeight="1">
      <c r="A276" s="111"/>
    </row>
    <row r="277" ht="12.75" customHeight="1">
      <c r="A277" s="111"/>
    </row>
    <row r="278" ht="12.75" customHeight="1">
      <c r="A278" s="111"/>
    </row>
    <row r="279" ht="12.75" customHeight="1">
      <c r="A279" s="111"/>
    </row>
    <row r="280" ht="12.75" customHeight="1">
      <c r="A280" s="111"/>
    </row>
    <row r="281" ht="12.75" customHeight="1">
      <c r="A281" s="111"/>
    </row>
    <row r="282" ht="12.75" customHeight="1">
      <c r="A282" s="111"/>
    </row>
    <row r="283" ht="12.75" customHeight="1">
      <c r="A283" s="111"/>
    </row>
    <row r="284" ht="12.75" customHeight="1">
      <c r="A284" s="111"/>
    </row>
    <row r="285" ht="12.75" customHeight="1">
      <c r="A285" s="111"/>
    </row>
    <row r="286" ht="12.75" customHeight="1">
      <c r="A286" s="111"/>
    </row>
    <row r="287" ht="12.75" customHeight="1">
      <c r="A287" s="111"/>
    </row>
    <row r="288" ht="12.75" customHeight="1">
      <c r="A288" s="111"/>
    </row>
    <row r="289" ht="12.75" customHeight="1">
      <c r="A289" s="111"/>
    </row>
    <row r="290" ht="12.75" customHeight="1">
      <c r="A290" s="111"/>
    </row>
    <row r="291" ht="12.75" customHeight="1">
      <c r="A291" s="111"/>
    </row>
    <row r="292" ht="12.75" customHeight="1">
      <c r="A292" s="111"/>
    </row>
    <row r="293" ht="12.75" customHeight="1">
      <c r="A293" s="111"/>
    </row>
    <row r="294" ht="12.75" customHeight="1">
      <c r="A294" s="111"/>
    </row>
    <row r="295" ht="12.75" customHeight="1">
      <c r="A295" s="111"/>
    </row>
    <row r="296" ht="12.75" customHeight="1">
      <c r="A296" s="111"/>
    </row>
    <row r="297" ht="12.75" customHeight="1">
      <c r="A297" s="111"/>
    </row>
    <row r="298" ht="12.75" customHeight="1">
      <c r="A298" s="111"/>
    </row>
    <row r="299" ht="12.75" customHeight="1">
      <c r="A299" s="111"/>
    </row>
    <row r="300" ht="12.75" customHeight="1">
      <c r="A300" s="111"/>
    </row>
    <row r="301" ht="12.75" customHeight="1">
      <c r="A301" s="111"/>
    </row>
    <row r="302" ht="12.75" customHeight="1">
      <c r="A302" s="111"/>
    </row>
    <row r="303" ht="12.75" customHeight="1">
      <c r="A303" s="111"/>
    </row>
    <row r="304" ht="12.75" customHeight="1">
      <c r="A304" s="111"/>
    </row>
    <row r="305" ht="12.75" customHeight="1">
      <c r="A305" s="111"/>
    </row>
    <row r="306" ht="12.75" customHeight="1">
      <c r="A306" s="111"/>
    </row>
    <row r="307" ht="12.75" customHeight="1">
      <c r="A307" s="111"/>
    </row>
    <row r="308" ht="12.75" customHeight="1">
      <c r="A308" s="111"/>
    </row>
    <row r="309" ht="12.75" customHeight="1">
      <c r="A309" s="111"/>
    </row>
    <row r="310" ht="12.75" customHeight="1">
      <c r="A310" s="111"/>
    </row>
    <row r="311" ht="12.75" customHeight="1">
      <c r="A311" s="111"/>
    </row>
    <row r="312" ht="12.75" customHeight="1">
      <c r="A312" s="111"/>
    </row>
    <row r="313" ht="12.75" customHeight="1">
      <c r="A313" s="111"/>
    </row>
    <row r="314" ht="12.75" customHeight="1">
      <c r="A314" s="111"/>
    </row>
    <row r="315" ht="12.75" customHeight="1">
      <c r="A315" s="111"/>
    </row>
    <row r="316" ht="12.75" customHeight="1">
      <c r="A316" s="111"/>
    </row>
    <row r="317" ht="12.75" customHeight="1">
      <c r="A317" s="111"/>
    </row>
    <row r="318" ht="12.75" customHeight="1">
      <c r="A318" s="111"/>
    </row>
    <row r="319" ht="12.75" customHeight="1">
      <c r="A319" s="111"/>
    </row>
    <row r="320" ht="12.75" customHeight="1">
      <c r="A320" s="111"/>
    </row>
    <row r="321" ht="12.75" customHeight="1">
      <c r="A321" s="111"/>
    </row>
    <row r="322" ht="12.75" customHeight="1">
      <c r="A322" s="111"/>
    </row>
    <row r="323" ht="12.75" customHeight="1">
      <c r="A323" s="111"/>
    </row>
    <row r="324" ht="12.75" customHeight="1">
      <c r="A324" s="111"/>
    </row>
    <row r="325" ht="12.75" customHeight="1">
      <c r="A325" s="111"/>
    </row>
    <row r="326" ht="12.75" customHeight="1">
      <c r="A326" s="111"/>
    </row>
    <row r="327" ht="12.75" customHeight="1">
      <c r="A327" s="111"/>
    </row>
    <row r="328" ht="12.75" customHeight="1">
      <c r="A328" s="111"/>
    </row>
    <row r="329" ht="12.75" customHeight="1">
      <c r="A329" s="111"/>
    </row>
    <row r="330" ht="12.75" customHeight="1">
      <c r="A330" s="111"/>
    </row>
    <row r="331" ht="12.75" customHeight="1">
      <c r="A331" s="111"/>
    </row>
    <row r="332" ht="12.75" customHeight="1">
      <c r="A332" s="111"/>
    </row>
    <row r="333" ht="12.75" customHeight="1">
      <c r="A333" s="111"/>
    </row>
    <row r="334" ht="12.75" customHeight="1">
      <c r="A334" s="111"/>
    </row>
    <row r="335" ht="12.75" customHeight="1">
      <c r="A335" s="111"/>
    </row>
    <row r="336" ht="12.75" customHeight="1">
      <c r="A336" s="111"/>
    </row>
    <row r="337" ht="12.75" customHeight="1">
      <c r="A337" s="111"/>
    </row>
    <row r="338" ht="12.75" customHeight="1">
      <c r="A338" s="111"/>
    </row>
    <row r="339" ht="12.75" customHeight="1">
      <c r="A339" s="111"/>
    </row>
    <row r="340" ht="12.75" customHeight="1">
      <c r="A340" s="111"/>
    </row>
    <row r="341" ht="12.75" customHeight="1">
      <c r="A341" s="111"/>
    </row>
    <row r="342" ht="12.75" customHeight="1">
      <c r="A342" s="111"/>
    </row>
    <row r="343" ht="12.75" customHeight="1">
      <c r="A343" s="111"/>
    </row>
    <row r="344" ht="12.75" customHeight="1">
      <c r="A344" s="111"/>
    </row>
    <row r="345" ht="12.75" customHeight="1">
      <c r="A345" s="111"/>
    </row>
    <row r="346" ht="12.75" customHeight="1">
      <c r="A346" s="111"/>
    </row>
    <row r="347" ht="12.75" customHeight="1">
      <c r="A347" s="111"/>
    </row>
    <row r="348" ht="12.75" customHeight="1">
      <c r="A348" s="111"/>
    </row>
    <row r="349" ht="12.75" customHeight="1">
      <c r="A349" s="111"/>
    </row>
    <row r="350" ht="12.75" customHeight="1">
      <c r="A350" s="111"/>
    </row>
    <row r="351" ht="12.75" customHeight="1">
      <c r="A351" s="111"/>
    </row>
    <row r="352" ht="12.75" customHeight="1">
      <c r="A352" s="111"/>
    </row>
    <row r="353" ht="12.75" customHeight="1">
      <c r="A353" s="111"/>
    </row>
    <row r="354" ht="12.75" customHeight="1">
      <c r="A354" s="111"/>
    </row>
    <row r="355" ht="12.75" customHeight="1">
      <c r="A355" s="111"/>
    </row>
    <row r="356" ht="12.75" customHeight="1">
      <c r="A356" s="111"/>
    </row>
    <row r="357" ht="12.75" customHeight="1">
      <c r="A357" s="111"/>
    </row>
    <row r="358" ht="12.75" customHeight="1">
      <c r="A358" s="111"/>
    </row>
    <row r="359" ht="12.75" customHeight="1">
      <c r="A359" s="111"/>
    </row>
    <row r="360" ht="12.75" customHeight="1">
      <c r="A360" s="111"/>
    </row>
    <row r="361" ht="12.75" customHeight="1">
      <c r="A361" s="111"/>
    </row>
    <row r="362" ht="12.75" customHeight="1">
      <c r="A362" s="111"/>
    </row>
    <row r="363" ht="12.75" customHeight="1">
      <c r="A363" s="111"/>
    </row>
    <row r="364" ht="12.75" customHeight="1">
      <c r="A364" s="111"/>
    </row>
    <row r="365" ht="12.75" customHeight="1">
      <c r="A365" s="111"/>
    </row>
    <row r="366" ht="12.75" customHeight="1">
      <c r="A366" s="111"/>
    </row>
    <row r="367" ht="12.75" customHeight="1">
      <c r="A367" s="111"/>
    </row>
    <row r="368" ht="12.75" customHeight="1">
      <c r="A368" s="111"/>
    </row>
    <row r="369" ht="12.75" customHeight="1">
      <c r="A369" s="111"/>
    </row>
    <row r="370" ht="12.75" customHeight="1">
      <c r="A370" s="111"/>
    </row>
    <row r="371" ht="12.75" customHeight="1">
      <c r="A371" s="111"/>
    </row>
    <row r="372" ht="12.75" customHeight="1">
      <c r="A372" s="111"/>
    </row>
    <row r="373" ht="12.75" customHeight="1">
      <c r="A373" s="111"/>
    </row>
    <row r="374" ht="12.75" customHeight="1">
      <c r="A374" s="111"/>
    </row>
    <row r="375" ht="12.75" customHeight="1">
      <c r="A375" s="111"/>
    </row>
    <row r="376" ht="12.75" customHeight="1">
      <c r="A376" s="111"/>
    </row>
    <row r="377" ht="12.75" customHeight="1">
      <c r="A377" s="111"/>
    </row>
    <row r="378" ht="12.75" customHeight="1">
      <c r="A378" s="111"/>
    </row>
    <row r="379" ht="12.75" customHeight="1">
      <c r="A379" s="111"/>
    </row>
    <row r="380" ht="12.75" customHeight="1">
      <c r="A380" s="111"/>
    </row>
    <row r="381" ht="12.75" customHeight="1">
      <c r="A381" s="111"/>
    </row>
    <row r="382" ht="12.75" customHeight="1">
      <c r="A382" s="111"/>
    </row>
    <row r="383" ht="12.75" customHeight="1">
      <c r="A383" s="111"/>
    </row>
    <row r="384" ht="12.75" customHeight="1">
      <c r="A384" s="111"/>
    </row>
    <row r="385" ht="12.75" customHeight="1">
      <c r="A385" s="111"/>
    </row>
    <row r="386" ht="12.75" customHeight="1">
      <c r="A386" s="111"/>
    </row>
    <row r="387" ht="12.75" customHeight="1">
      <c r="A387" s="111"/>
    </row>
    <row r="388" ht="12.75" customHeight="1">
      <c r="A388" s="111"/>
    </row>
    <row r="389" ht="12.75" customHeight="1">
      <c r="A389" s="111"/>
    </row>
    <row r="390" ht="12.75" customHeight="1">
      <c r="A390" s="111"/>
    </row>
    <row r="391" ht="12.75" customHeight="1">
      <c r="A391" s="111"/>
    </row>
    <row r="392" ht="12.75" customHeight="1">
      <c r="A392" s="111"/>
    </row>
    <row r="393" ht="12.75" customHeight="1">
      <c r="A393" s="111"/>
    </row>
    <row r="394" ht="12.75" customHeight="1">
      <c r="A394" s="111"/>
    </row>
    <row r="395" ht="12.75" customHeight="1">
      <c r="A395" s="111"/>
    </row>
    <row r="396" ht="12.75" customHeight="1">
      <c r="A396" s="111"/>
    </row>
    <row r="397" ht="12.75" customHeight="1">
      <c r="A397" s="111"/>
    </row>
    <row r="398" ht="12.75" customHeight="1">
      <c r="A398" s="111"/>
    </row>
    <row r="399" ht="12.75" customHeight="1">
      <c r="A399" s="111"/>
    </row>
    <row r="400" ht="12.75" customHeight="1">
      <c r="A400" s="111"/>
    </row>
    <row r="401" ht="12.75" customHeight="1">
      <c r="A401" s="111"/>
    </row>
    <row r="402" ht="12.75" customHeight="1">
      <c r="A402" s="111"/>
    </row>
    <row r="403" ht="12.75" customHeight="1">
      <c r="A403" s="111"/>
    </row>
    <row r="404" ht="12.75" customHeight="1">
      <c r="A404" s="111"/>
    </row>
    <row r="405" ht="12.75" customHeight="1">
      <c r="A405" s="111"/>
    </row>
    <row r="406" ht="12.75" customHeight="1">
      <c r="A406" s="111"/>
    </row>
    <row r="407" ht="12.75" customHeight="1">
      <c r="A407" s="111"/>
    </row>
    <row r="408" ht="12.75" customHeight="1">
      <c r="A408" s="111"/>
    </row>
    <row r="409" ht="12.75" customHeight="1">
      <c r="A409" s="111"/>
    </row>
    <row r="410" ht="12.75" customHeight="1">
      <c r="A410" s="111"/>
    </row>
    <row r="411" ht="12.75" customHeight="1">
      <c r="A411" s="111"/>
    </row>
    <row r="412" ht="12.75" customHeight="1">
      <c r="A412" s="111"/>
    </row>
    <row r="413" ht="12.75" customHeight="1">
      <c r="A413" s="111"/>
    </row>
    <row r="414" ht="12.75" customHeight="1">
      <c r="A414" s="111"/>
    </row>
    <row r="415" ht="12.75" customHeight="1">
      <c r="A415" s="111"/>
    </row>
    <row r="416" ht="12.75" customHeight="1">
      <c r="A416" s="111"/>
    </row>
    <row r="417" ht="12.75" customHeight="1">
      <c r="A417" s="111"/>
    </row>
    <row r="418" ht="12.75" customHeight="1">
      <c r="A418" s="111"/>
    </row>
    <row r="419" ht="12.75" customHeight="1">
      <c r="A419" s="111"/>
    </row>
    <row r="420" ht="12.75" customHeight="1">
      <c r="A420" s="111"/>
    </row>
    <row r="421" ht="12.75" customHeight="1">
      <c r="A421" s="111"/>
    </row>
    <row r="422" ht="12.75" customHeight="1">
      <c r="A422" s="111"/>
    </row>
    <row r="423" ht="12.75" customHeight="1">
      <c r="A423" s="111"/>
    </row>
    <row r="424" ht="12.75" customHeight="1">
      <c r="A424" s="111"/>
    </row>
    <row r="425" ht="12.75" customHeight="1">
      <c r="A425" s="111"/>
    </row>
    <row r="426" ht="12.75" customHeight="1">
      <c r="A426" s="111"/>
    </row>
    <row r="427" ht="12.75" customHeight="1">
      <c r="A427" s="111"/>
    </row>
    <row r="428" ht="12.75" customHeight="1">
      <c r="A428" s="111"/>
    </row>
    <row r="429" ht="12.75" customHeight="1">
      <c r="A429" s="111"/>
    </row>
    <row r="430" ht="12.75" customHeight="1">
      <c r="A430" s="111"/>
    </row>
    <row r="431" ht="12.75" customHeight="1">
      <c r="A431" s="111"/>
    </row>
    <row r="432" ht="12.75" customHeight="1">
      <c r="A432" s="111"/>
    </row>
    <row r="433" ht="12.75" customHeight="1">
      <c r="A433" s="111"/>
    </row>
    <row r="434" ht="12.75" customHeight="1">
      <c r="A434" s="111"/>
    </row>
    <row r="435" ht="12.75" customHeight="1">
      <c r="A435" s="111"/>
    </row>
    <row r="436" ht="12.75" customHeight="1">
      <c r="A436" s="111"/>
    </row>
    <row r="437" ht="12.75" customHeight="1">
      <c r="A437" s="111"/>
    </row>
    <row r="438" ht="12.75" customHeight="1">
      <c r="A438" s="111"/>
    </row>
    <row r="439" ht="12.75" customHeight="1">
      <c r="A439" s="111"/>
    </row>
    <row r="440" ht="12.75" customHeight="1">
      <c r="A440" s="111"/>
    </row>
    <row r="441" ht="12.75" customHeight="1">
      <c r="A441" s="111"/>
    </row>
    <row r="442" ht="12.75" customHeight="1">
      <c r="A442" s="111"/>
    </row>
    <row r="443" ht="12.75" customHeight="1">
      <c r="A443" s="111"/>
    </row>
    <row r="444" ht="12.75" customHeight="1">
      <c r="A444" s="111"/>
    </row>
    <row r="445" ht="12.75" customHeight="1">
      <c r="A445" s="111"/>
    </row>
    <row r="446" ht="12.75" customHeight="1">
      <c r="A446" s="111"/>
    </row>
    <row r="447" ht="12.75" customHeight="1">
      <c r="A447" s="111"/>
    </row>
    <row r="448" ht="12.75" customHeight="1">
      <c r="A448" s="111"/>
    </row>
    <row r="449" ht="12.75" customHeight="1">
      <c r="A449" s="111"/>
    </row>
    <row r="450" ht="12.75" customHeight="1">
      <c r="A450" s="111"/>
    </row>
    <row r="451" ht="12.75" customHeight="1">
      <c r="A451" s="111"/>
    </row>
    <row r="452" ht="12.75" customHeight="1">
      <c r="A452" s="111"/>
    </row>
    <row r="453" ht="12.75" customHeight="1">
      <c r="A453" s="111"/>
    </row>
    <row r="454" ht="12.75" customHeight="1">
      <c r="A454" s="111"/>
    </row>
    <row r="455" ht="12.75" customHeight="1">
      <c r="A455" s="111"/>
    </row>
    <row r="456" ht="12.75" customHeight="1">
      <c r="A456" s="111"/>
    </row>
    <row r="457" ht="12.75" customHeight="1">
      <c r="A457" s="111"/>
    </row>
    <row r="458" ht="12.75" customHeight="1">
      <c r="A458" s="111"/>
    </row>
    <row r="459" ht="12.75" customHeight="1">
      <c r="A459" s="111"/>
    </row>
    <row r="460" ht="12.75" customHeight="1">
      <c r="A460" s="111"/>
    </row>
    <row r="461" ht="12.75" customHeight="1">
      <c r="A461" s="111"/>
    </row>
    <row r="462" ht="12.75" customHeight="1">
      <c r="A462" s="111"/>
    </row>
    <row r="463" ht="12.75" customHeight="1">
      <c r="A463" s="111"/>
    </row>
    <row r="464" ht="12.75" customHeight="1">
      <c r="A464" s="111"/>
    </row>
    <row r="465" ht="12.75" customHeight="1">
      <c r="A465" s="111"/>
    </row>
    <row r="466" ht="12.75" customHeight="1">
      <c r="A466" s="111"/>
    </row>
    <row r="467" ht="12.75" customHeight="1">
      <c r="A467" s="111"/>
    </row>
    <row r="468" ht="12.75" customHeight="1">
      <c r="A468" s="111"/>
    </row>
    <row r="469" ht="12.75" customHeight="1">
      <c r="A469" s="111"/>
    </row>
    <row r="470" ht="12.75" customHeight="1">
      <c r="A470" s="111"/>
    </row>
    <row r="471" ht="12.75" customHeight="1">
      <c r="A471" s="111"/>
    </row>
    <row r="472" ht="12.75" customHeight="1">
      <c r="A472" s="111"/>
    </row>
    <row r="473" ht="12.75" customHeight="1">
      <c r="A473" s="111"/>
    </row>
    <row r="474" ht="12.75" customHeight="1">
      <c r="A474" s="111"/>
    </row>
    <row r="475" ht="12.75" customHeight="1">
      <c r="A475" s="111"/>
    </row>
    <row r="476" ht="12.75" customHeight="1">
      <c r="A476" s="111"/>
    </row>
    <row r="477" ht="12.75" customHeight="1">
      <c r="A477" s="111"/>
    </row>
    <row r="478" ht="12.75" customHeight="1">
      <c r="A478" s="111"/>
    </row>
    <row r="479" ht="12.75" customHeight="1">
      <c r="A479" s="111"/>
    </row>
    <row r="480" ht="12.75" customHeight="1">
      <c r="A480" s="111"/>
    </row>
    <row r="481" ht="12.75" customHeight="1">
      <c r="A481" s="111"/>
    </row>
    <row r="482" ht="12.75" customHeight="1">
      <c r="A482" s="111"/>
    </row>
    <row r="483" ht="12.75" customHeight="1">
      <c r="A483" s="111"/>
    </row>
    <row r="484" ht="12.75" customHeight="1">
      <c r="A484" s="111"/>
    </row>
    <row r="485" ht="12.75" customHeight="1">
      <c r="A485" s="111"/>
    </row>
    <row r="486" ht="12.75" customHeight="1">
      <c r="A486" s="111"/>
    </row>
    <row r="487" ht="12.75" customHeight="1">
      <c r="A487" s="111"/>
    </row>
    <row r="488" ht="12.75" customHeight="1">
      <c r="A488" s="111"/>
    </row>
    <row r="489" ht="12.75" customHeight="1">
      <c r="A489" s="111"/>
    </row>
    <row r="490" ht="12.75" customHeight="1">
      <c r="A490" s="111"/>
    </row>
    <row r="491" ht="12.75" customHeight="1">
      <c r="A491" s="111"/>
    </row>
    <row r="492" ht="12.75" customHeight="1">
      <c r="A492" s="111"/>
    </row>
    <row r="493" ht="12.75" customHeight="1">
      <c r="A493" s="111"/>
    </row>
    <row r="494" ht="12.75" customHeight="1">
      <c r="A494" s="111"/>
    </row>
    <row r="495" ht="12.75" customHeight="1">
      <c r="A495" s="111"/>
    </row>
    <row r="496" ht="12.75" customHeight="1">
      <c r="A496" s="111"/>
    </row>
    <row r="497" ht="12.75" customHeight="1">
      <c r="A497" s="111"/>
    </row>
    <row r="498" ht="12.75" customHeight="1">
      <c r="A498" s="111"/>
    </row>
    <row r="499" ht="12.75" customHeight="1">
      <c r="A499" s="111"/>
    </row>
    <row r="500" ht="12.75" customHeight="1">
      <c r="A500" s="111"/>
    </row>
    <row r="501" ht="12.75" customHeight="1">
      <c r="A501" s="111"/>
    </row>
    <row r="502" ht="12.75" customHeight="1">
      <c r="A502" s="111"/>
    </row>
    <row r="503" ht="12.75" customHeight="1">
      <c r="A503" s="111"/>
    </row>
    <row r="504" ht="12.75" customHeight="1">
      <c r="A504" s="111"/>
    </row>
    <row r="505" ht="12.75" customHeight="1">
      <c r="A505" s="111"/>
    </row>
    <row r="506" ht="12.75" customHeight="1">
      <c r="A506" s="111"/>
    </row>
    <row r="507" ht="12.75" customHeight="1">
      <c r="A507" s="111"/>
    </row>
    <row r="508" ht="12.75" customHeight="1">
      <c r="A508" s="111"/>
    </row>
    <row r="509" ht="12.75" customHeight="1">
      <c r="A509" s="111"/>
    </row>
    <row r="510" ht="12.75" customHeight="1">
      <c r="A510" s="111"/>
    </row>
    <row r="511" ht="12.75" customHeight="1">
      <c r="A511" s="111"/>
    </row>
    <row r="512" ht="12.75" customHeight="1">
      <c r="A512" s="111"/>
    </row>
    <row r="513" ht="12.75" customHeight="1">
      <c r="A513" s="111"/>
    </row>
    <row r="514" ht="12.75" customHeight="1">
      <c r="A514" s="111"/>
    </row>
    <row r="515" ht="12.75" customHeight="1">
      <c r="A515" s="111"/>
    </row>
    <row r="516" ht="12.75" customHeight="1">
      <c r="A516" s="111"/>
    </row>
    <row r="517" ht="12.75" customHeight="1">
      <c r="A517" s="111"/>
    </row>
    <row r="518" ht="12.75" customHeight="1">
      <c r="A518" s="111"/>
    </row>
    <row r="519" ht="12.75" customHeight="1">
      <c r="A519" s="111"/>
    </row>
    <row r="520" ht="12.75" customHeight="1">
      <c r="A520" s="111"/>
    </row>
    <row r="521" ht="12.75" customHeight="1">
      <c r="A521" s="111"/>
    </row>
    <row r="522" ht="12.75" customHeight="1">
      <c r="A522" s="111"/>
    </row>
    <row r="523" ht="12.75" customHeight="1">
      <c r="A523" s="111"/>
    </row>
    <row r="524" ht="12.75" customHeight="1">
      <c r="A524" s="111"/>
    </row>
    <row r="525" ht="12.75" customHeight="1">
      <c r="A525" s="111"/>
    </row>
    <row r="526" ht="12.75" customHeight="1">
      <c r="A526" s="111"/>
    </row>
    <row r="527" ht="12.75" customHeight="1">
      <c r="A527" s="111"/>
    </row>
    <row r="528" ht="12.75" customHeight="1">
      <c r="A528" s="111"/>
    </row>
    <row r="529" ht="12.75" customHeight="1">
      <c r="A529" s="111"/>
    </row>
    <row r="530" ht="12.75" customHeight="1">
      <c r="A530" s="111"/>
    </row>
    <row r="531" ht="12.75" customHeight="1">
      <c r="A531" s="111"/>
    </row>
    <row r="532" ht="12.75" customHeight="1">
      <c r="A532" s="111"/>
    </row>
    <row r="533" ht="12.75" customHeight="1">
      <c r="A533" s="111"/>
    </row>
    <row r="534" ht="12.75" customHeight="1">
      <c r="A534" s="111"/>
    </row>
    <row r="535" ht="12.75" customHeight="1">
      <c r="A535" s="111"/>
    </row>
    <row r="536" ht="12.75" customHeight="1">
      <c r="A536" s="111"/>
    </row>
    <row r="537" ht="12.75" customHeight="1">
      <c r="A537" s="111"/>
    </row>
    <row r="538" ht="12.75" customHeight="1">
      <c r="A538" s="111"/>
    </row>
    <row r="539" ht="12.75" customHeight="1">
      <c r="A539" s="111"/>
    </row>
    <row r="540" ht="12.75" customHeight="1">
      <c r="A540" s="111"/>
    </row>
    <row r="541" ht="12.75" customHeight="1">
      <c r="A541" s="111"/>
    </row>
    <row r="542" ht="12.75" customHeight="1">
      <c r="A542" s="111"/>
    </row>
    <row r="543" ht="12.75" customHeight="1">
      <c r="A543" s="111"/>
    </row>
    <row r="544" ht="12.75" customHeight="1">
      <c r="A544" s="111"/>
    </row>
    <row r="545" ht="12.75" customHeight="1">
      <c r="A545" s="111"/>
    </row>
    <row r="546" ht="12.75" customHeight="1">
      <c r="A546" s="111"/>
    </row>
    <row r="547" ht="12.75" customHeight="1">
      <c r="A547" s="111"/>
    </row>
    <row r="548" ht="12.75" customHeight="1">
      <c r="A548" s="111"/>
    </row>
    <row r="549" ht="12.75" customHeight="1">
      <c r="A549" s="111"/>
    </row>
    <row r="550" ht="12.75" customHeight="1">
      <c r="A550" s="111"/>
    </row>
    <row r="551" ht="12.75" customHeight="1">
      <c r="A551" s="111"/>
    </row>
    <row r="552" ht="12.75" customHeight="1">
      <c r="A552" s="111"/>
    </row>
    <row r="553" ht="12.75" customHeight="1">
      <c r="A553" s="111"/>
    </row>
    <row r="554" ht="12.75" customHeight="1">
      <c r="A554" s="111"/>
    </row>
    <row r="555" ht="12.75" customHeight="1">
      <c r="A555" s="111"/>
    </row>
    <row r="556" ht="12.75" customHeight="1">
      <c r="A556" s="111"/>
    </row>
    <row r="557" ht="12.75" customHeight="1">
      <c r="A557" s="111"/>
    </row>
    <row r="558" ht="12.75" customHeight="1">
      <c r="A558" s="111"/>
    </row>
    <row r="559" ht="12.75" customHeight="1">
      <c r="A559" s="111"/>
    </row>
    <row r="560" ht="12.75" customHeight="1">
      <c r="A560" s="111"/>
    </row>
    <row r="561" ht="12.75" customHeight="1">
      <c r="A561" s="111"/>
    </row>
    <row r="562" ht="12.75" customHeight="1">
      <c r="A562" s="111"/>
    </row>
    <row r="563" ht="12.75" customHeight="1">
      <c r="A563" s="111"/>
    </row>
    <row r="564" ht="12.75" customHeight="1">
      <c r="A564" s="111"/>
    </row>
    <row r="565" ht="12.75" customHeight="1">
      <c r="A565" s="111"/>
    </row>
    <row r="566" ht="12.75" customHeight="1">
      <c r="A566" s="111"/>
    </row>
    <row r="567" ht="12.75" customHeight="1">
      <c r="A567" s="111"/>
    </row>
    <row r="568" ht="12.75" customHeight="1">
      <c r="A568" s="111"/>
    </row>
    <row r="569" ht="12.75" customHeight="1">
      <c r="A569" s="111"/>
    </row>
    <row r="570" ht="12.75" customHeight="1">
      <c r="A570" s="111"/>
    </row>
    <row r="571" ht="12.75" customHeight="1">
      <c r="A571" s="111"/>
    </row>
    <row r="572" ht="12.75" customHeight="1">
      <c r="A572" s="111"/>
    </row>
    <row r="573" ht="12.75" customHeight="1">
      <c r="A573" s="111"/>
    </row>
    <row r="574" ht="12.75" customHeight="1">
      <c r="A574" s="111"/>
    </row>
    <row r="575" ht="12.75" customHeight="1">
      <c r="A575" s="111"/>
    </row>
    <row r="576" ht="12.75" customHeight="1">
      <c r="A576" s="111"/>
    </row>
    <row r="577" ht="12.75" customHeight="1">
      <c r="A577" s="111"/>
    </row>
    <row r="578" ht="12.75" customHeight="1">
      <c r="A578" s="111"/>
    </row>
    <row r="579" ht="12.75" customHeight="1">
      <c r="A579" s="111"/>
    </row>
    <row r="580" ht="12.75" customHeight="1">
      <c r="A580" s="111"/>
    </row>
    <row r="581" ht="12.75" customHeight="1">
      <c r="A581" s="111"/>
    </row>
    <row r="582" ht="12.75" customHeight="1">
      <c r="A582" s="111"/>
    </row>
    <row r="583" ht="12.75" customHeight="1">
      <c r="A583" s="111"/>
    </row>
    <row r="584" ht="12.75" customHeight="1">
      <c r="A584" s="111"/>
    </row>
    <row r="585" ht="12.75" customHeight="1">
      <c r="A585" s="111"/>
    </row>
    <row r="586" ht="12.75" customHeight="1">
      <c r="A586" s="111"/>
    </row>
    <row r="587" ht="12.75" customHeight="1">
      <c r="A587" s="111"/>
    </row>
    <row r="588" ht="12.75" customHeight="1">
      <c r="A588" s="111"/>
    </row>
    <row r="589" ht="12.75" customHeight="1">
      <c r="A589" s="111"/>
    </row>
    <row r="590" ht="12.75" customHeight="1">
      <c r="A590" s="111"/>
    </row>
    <row r="591" ht="12.75" customHeight="1">
      <c r="A591" s="111"/>
    </row>
    <row r="592" ht="12.75" customHeight="1">
      <c r="A592" s="111"/>
    </row>
    <row r="593" ht="12.75" customHeight="1">
      <c r="A593" s="111"/>
    </row>
    <row r="594" ht="12.75" customHeight="1">
      <c r="A594" s="111"/>
    </row>
    <row r="595" ht="12.75" customHeight="1">
      <c r="A595" s="111"/>
    </row>
    <row r="596" ht="12.75" customHeight="1">
      <c r="A596" s="111"/>
    </row>
    <row r="597" ht="12.75" customHeight="1">
      <c r="A597" s="111"/>
    </row>
    <row r="598" ht="12.75" customHeight="1">
      <c r="A598" s="111"/>
    </row>
    <row r="599" ht="12.75" customHeight="1">
      <c r="A599" s="111"/>
    </row>
    <row r="600" ht="12.75" customHeight="1">
      <c r="A600" s="111"/>
    </row>
    <row r="601" ht="12.75" customHeight="1">
      <c r="A601" s="111"/>
    </row>
    <row r="602" ht="12.75" customHeight="1">
      <c r="A602" s="111"/>
    </row>
    <row r="603" ht="12.75" customHeight="1">
      <c r="A603" s="111"/>
    </row>
    <row r="604" ht="12.75" customHeight="1">
      <c r="A604" s="111"/>
    </row>
    <row r="605" ht="12.75" customHeight="1">
      <c r="A605" s="111"/>
    </row>
    <row r="606" ht="12.75" customHeight="1">
      <c r="A606" s="111"/>
    </row>
    <row r="607" ht="12.75" customHeight="1">
      <c r="A607" s="111"/>
    </row>
    <row r="608" ht="12.75" customHeight="1">
      <c r="A608" s="111"/>
    </row>
    <row r="609" ht="12.75" customHeight="1">
      <c r="A609" s="111"/>
    </row>
    <row r="610" ht="12.75" customHeight="1">
      <c r="A610" s="111"/>
    </row>
    <row r="611" ht="12.75" customHeight="1">
      <c r="A611" s="111"/>
    </row>
    <row r="612" ht="12.75" customHeight="1">
      <c r="A612" s="111"/>
    </row>
    <row r="613" ht="12.75" customHeight="1">
      <c r="A613" s="111"/>
    </row>
    <row r="614" ht="12.75" customHeight="1">
      <c r="A614" s="111"/>
    </row>
    <row r="615" ht="12.75" customHeight="1">
      <c r="A615" s="111"/>
    </row>
    <row r="616" ht="12.75" customHeight="1">
      <c r="A616" s="111"/>
    </row>
    <row r="617" ht="12.75" customHeight="1">
      <c r="A617" s="111"/>
    </row>
    <row r="618" ht="12.75" customHeight="1">
      <c r="A618" s="111"/>
    </row>
    <row r="619" ht="12.75" customHeight="1">
      <c r="A619" s="111"/>
    </row>
    <row r="620" ht="12.75" customHeight="1">
      <c r="A620" s="111"/>
    </row>
    <row r="621" ht="12.75" customHeight="1">
      <c r="A621" s="111"/>
    </row>
    <row r="622" ht="12.75" customHeight="1">
      <c r="A622" s="111"/>
    </row>
    <row r="623" ht="12.75" customHeight="1">
      <c r="A623" s="111"/>
    </row>
    <row r="624" ht="12.75" customHeight="1">
      <c r="A624" s="111"/>
    </row>
    <row r="625" ht="12.75" customHeight="1">
      <c r="A625" s="111"/>
    </row>
    <row r="626" ht="12.75" customHeight="1">
      <c r="A626" s="111"/>
    </row>
    <row r="627" ht="12.75" customHeight="1">
      <c r="A627" s="111"/>
    </row>
    <row r="628" ht="12.75" customHeight="1">
      <c r="A628" s="111"/>
    </row>
    <row r="629" ht="12.75" customHeight="1">
      <c r="A629" s="111"/>
    </row>
    <row r="630" ht="12.75" customHeight="1">
      <c r="A630" s="111"/>
    </row>
    <row r="631" ht="12.75" customHeight="1">
      <c r="A631" s="111"/>
    </row>
    <row r="632" ht="12.75" customHeight="1">
      <c r="A632" s="111"/>
    </row>
    <row r="633" ht="12.75" customHeight="1">
      <c r="A633" s="111"/>
    </row>
    <row r="634" ht="12.75" customHeight="1">
      <c r="A634" s="111"/>
    </row>
    <row r="635" ht="12.75" customHeight="1">
      <c r="A635" s="111"/>
    </row>
    <row r="636" ht="12.75" customHeight="1">
      <c r="A636" s="111"/>
    </row>
    <row r="637" ht="12.75" customHeight="1">
      <c r="A637" s="111"/>
    </row>
    <row r="638" ht="12.75" customHeight="1">
      <c r="A638" s="111"/>
    </row>
    <row r="639" ht="12.75" customHeight="1">
      <c r="A639" s="111"/>
    </row>
    <row r="640" ht="12.75" customHeight="1">
      <c r="A640" s="111"/>
    </row>
    <row r="641" ht="12.75" customHeight="1">
      <c r="A641" s="111"/>
    </row>
    <row r="642" ht="12.75" customHeight="1">
      <c r="A642" s="111"/>
    </row>
    <row r="643" ht="12.75" customHeight="1">
      <c r="A643" s="111"/>
    </row>
    <row r="644" ht="12.75" customHeight="1">
      <c r="A644" s="111"/>
    </row>
    <row r="645" ht="12.75" customHeight="1">
      <c r="A645" s="111"/>
    </row>
    <row r="646" ht="12.75" customHeight="1">
      <c r="A646" s="111"/>
    </row>
    <row r="647" ht="12.75" customHeight="1">
      <c r="A647" s="111"/>
    </row>
    <row r="648" ht="12.75" customHeight="1">
      <c r="A648" s="111"/>
    </row>
    <row r="649" ht="12.75" customHeight="1">
      <c r="A649" s="111"/>
    </row>
    <row r="650" ht="12.75" customHeight="1">
      <c r="A650" s="111"/>
    </row>
    <row r="651" ht="12.75" customHeight="1">
      <c r="A651" s="111"/>
    </row>
    <row r="652" ht="12.75" customHeight="1">
      <c r="A652" s="111"/>
    </row>
    <row r="653" ht="12.75" customHeight="1">
      <c r="A653" s="111"/>
    </row>
    <row r="654" ht="12.75" customHeight="1">
      <c r="A654" s="111"/>
    </row>
    <row r="655" ht="12.75" customHeight="1">
      <c r="A655" s="111"/>
    </row>
    <row r="656" ht="12.75" customHeight="1">
      <c r="A656" s="111"/>
    </row>
    <row r="657" ht="12.75" customHeight="1">
      <c r="A657" s="111"/>
    </row>
    <row r="658" ht="12.75" customHeight="1">
      <c r="A658" s="111"/>
    </row>
    <row r="659" ht="12.75" customHeight="1">
      <c r="A659" s="111"/>
    </row>
    <row r="660" ht="12.75" customHeight="1">
      <c r="A660" s="111"/>
    </row>
    <row r="661" ht="12.75" customHeight="1">
      <c r="A661" s="111"/>
    </row>
    <row r="662" ht="12.75" customHeight="1">
      <c r="A662" s="111"/>
    </row>
    <row r="663" ht="12.75" customHeight="1">
      <c r="A663" s="111"/>
    </row>
    <row r="664" ht="12.75" customHeight="1">
      <c r="A664" s="111"/>
    </row>
    <row r="665" ht="12.75" customHeight="1">
      <c r="A665" s="111"/>
    </row>
    <row r="666" ht="12.75" customHeight="1">
      <c r="A666" s="111"/>
    </row>
    <row r="667" ht="12.75" customHeight="1">
      <c r="A667" s="111"/>
    </row>
    <row r="668" ht="12.75" customHeight="1">
      <c r="A668" s="111"/>
    </row>
    <row r="669" ht="12.75" customHeight="1">
      <c r="A669" s="111"/>
    </row>
    <row r="670" ht="12.75" customHeight="1">
      <c r="A670" s="111"/>
    </row>
    <row r="671" ht="12.75" customHeight="1">
      <c r="A671" s="111"/>
    </row>
    <row r="672" ht="12.75" customHeight="1">
      <c r="A672" s="111"/>
    </row>
    <row r="673" ht="12.75" customHeight="1">
      <c r="A673" s="111"/>
    </row>
    <row r="674" ht="12.75" customHeight="1">
      <c r="A674" s="111"/>
    </row>
    <row r="675" ht="12.75" customHeight="1">
      <c r="A675" s="111"/>
    </row>
    <row r="676" ht="12.75" customHeight="1">
      <c r="A676" s="111"/>
    </row>
    <row r="677" ht="12.75" customHeight="1">
      <c r="A677" s="111"/>
    </row>
    <row r="678" ht="12.75" customHeight="1">
      <c r="A678" s="111"/>
    </row>
    <row r="679" ht="12.75" customHeight="1">
      <c r="A679" s="111"/>
    </row>
    <row r="680" ht="12.75" customHeight="1">
      <c r="A680" s="111"/>
    </row>
    <row r="681" ht="12.75" customHeight="1">
      <c r="A681" s="111"/>
    </row>
    <row r="682" ht="12.75" customHeight="1">
      <c r="A682" s="111"/>
    </row>
    <row r="683" ht="12.75" customHeight="1">
      <c r="A683" s="111"/>
    </row>
    <row r="684" ht="12.75" customHeight="1">
      <c r="A684" s="111"/>
    </row>
    <row r="685" ht="12.75" customHeight="1">
      <c r="A685" s="111"/>
    </row>
    <row r="686" ht="12.75" customHeight="1">
      <c r="A686" s="111"/>
    </row>
    <row r="687" ht="12.75" customHeight="1">
      <c r="A687" s="111"/>
    </row>
    <row r="688" ht="12.75" customHeight="1">
      <c r="A688" s="111"/>
    </row>
    <row r="689" ht="12.75" customHeight="1">
      <c r="A689" s="111"/>
    </row>
    <row r="690" ht="12.75" customHeight="1">
      <c r="A690" s="111"/>
    </row>
    <row r="691" ht="12.75" customHeight="1">
      <c r="A691" s="111"/>
    </row>
    <row r="692" ht="12.75" customHeight="1">
      <c r="A692" s="111"/>
    </row>
    <row r="693" ht="12.75" customHeight="1">
      <c r="A693" s="111"/>
    </row>
    <row r="694" ht="12.75" customHeight="1">
      <c r="A694" s="111"/>
    </row>
    <row r="695" ht="12.75" customHeight="1">
      <c r="A695" s="111"/>
    </row>
    <row r="696" ht="12.75" customHeight="1">
      <c r="A696" s="111"/>
    </row>
    <row r="697" ht="12.75" customHeight="1">
      <c r="A697" s="111"/>
    </row>
    <row r="698" ht="12.75" customHeight="1">
      <c r="A698" s="111"/>
    </row>
    <row r="699" ht="12.75" customHeight="1">
      <c r="A699" s="111"/>
    </row>
    <row r="700" ht="12.75" customHeight="1">
      <c r="A700" s="111"/>
    </row>
    <row r="701" ht="12.75" customHeight="1">
      <c r="A701" s="111"/>
    </row>
    <row r="702" ht="12.75" customHeight="1">
      <c r="A702" s="111"/>
    </row>
    <row r="703" ht="12.75" customHeight="1">
      <c r="A703" s="111"/>
    </row>
    <row r="704" ht="12.75" customHeight="1">
      <c r="A704" s="111"/>
    </row>
    <row r="705" ht="12.75" customHeight="1">
      <c r="A705" s="111"/>
    </row>
    <row r="706" ht="12.75" customHeight="1">
      <c r="A706" s="111"/>
    </row>
    <row r="707" ht="12.75" customHeight="1">
      <c r="A707" s="111"/>
    </row>
    <row r="708" ht="12.75" customHeight="1">
      <c r="A708" s="111"/>
    </row>
    <row r="709" ht="12.75" customHeight="1">
      <c r="A709" s="111"/>
    </row>
    <row r="710" ht="12.75" customHeight="1">
      <c r="A710" s="111"/>
    </row>
    <row r="711" ht="12.75" customHeight="1">
      <c r="A711" s="111"/>
    </row>
    <row r="712" ht="12.75" customHeight="1">
      <c r="A712" s="111"/>
    </row>
    <row r="713" ht="12.75" customHeight="1">
      <c r="A713" s="111"/>
    </row>
    <row r="714" ht="12.75" customHeight="1">
      <c r="A714" s="111"/>
    </row>
    <row r="715" ht="12.75" customHeight="1">
      <c r="A715" s="111"/>
    </row>
    <row r="716" ht="12.75" customHeight="1">
      <c r="A716" s="111"/>
    </row>
    <row r="717" ht="12.75" customHeight="1">
      <c r="A717" s="111"/>
    </row>
    <row r="718" ht="12.75" customHeight="1">
      <c r="A718" s="111"/>
    </row>
    <row r="719" ht="12.75" customHeight="1">
      <c r="A719" s="111"/>
    </row>
    <row r="720" ht="12.75" customHeight="1">
      <c r="A720" s="111"/>
    </row>
    <row r="721" ht="12.75" customHeight="1">
      <c r="A721" s="111"/>
    </row>
    <row r="722" ht="12.75" customHeight="1">
      <c r="A722" s="111"/>
    </row>
    <row r="723" ht="12.75" customHeight="1">
      <c r="A723" s="111"/>
    </row>
    <row r="724" ht="12.75" customHeight="1">
      <c r="A724" s="111"/>
    </row>
    <row r="725" ht="12.75" customHeight="1">
      <c r="A725" s="111"/>
    </row>
    <row r="726" ht="12.75" customHeight="1">
      <c r="A726" s="111"/>
    </row>
    <row r="727" ht="12.75" customHeight="1">
      <c r="A727" s="111"/>
    </row>
    <row r="728" ht="12.75" customHeight="1">
      <c r="A728" s="111"/>
    </row>
    <row r="729" ht="12.75" customHeight="1">
      <c r="A729" s="111"/>
    </row>
    <row r="730" ht="12.75" customHeight="1">
      <c r="A730" s="111"/>
    </row>
    <row r="731" ht="12.75" customHeight="1">
      <c r="A731" s="111"/>
    </row>
    <row r="732" ht="12.75" customHeight="1">
      <c r="A732" s="111"/>
    </row>
    <row r="733" ht="12.75" customHeight="1">
      <c r="A733" s="111"/>
    </row>
    <row r="734" ht="12.75" customHeight="1">
      <c r="A734" s="111"/>
    </row>
    <row r="735" ht="12.75" customHeight="1">
      <c r="A735" s="111"/>
    </row>
    <row r="736" ht="12.75" customHeight="1">
      <c r="A736" s="111"/>
    </row>
    <row r="737" ht="12.75" customHeight="1">
      <c r="A737" s="111"/>
    </row>
    <row r="738" ht="12.75" customHeight="1">
      <c r="A738" s="111"/>
    </row>
    <row r="739" ht="12.75" customHeight="1">
      <c r="A739" s="111"/>
    </row>
    <row r="740" ht="12.75" customHeight="1">
      <c r="A740" s="111"/>
    </row>
    <row r="741" ht="12.75" customHeight="1">
      <c r="A741" s="111"/>
    </row>
    <row r="742" ht="12.75" customHeight="1">
      <c r="A742" s="111"/>
    </row>
    <row r="743" ht="12.75" customHeight="1">
      <c r="A743" s="111"/>
    </row>
    <row r="744" ht="12.75" customHeight="1">
      <c r="A744" s="111"/>
    </row>
    <row r="745" ht="12.75" customHeight="1">
      <c r="A745" s="111"/>
    </row>
    <row r="746" ht="12.75" customHeight="1">
      <c r="A746" s="111"/>
    </row>
    <row r="747" ht="12.75" customHeight="1">
      <c r="A747" s="111"/>
    </row>
    <row r="748" ht="12.75" customHeight="1">
      <c r="A748" s="111"/>
    </row>
    <row r="749" ht="12.75" customHeight="1">
      <c r="A749" s="111"/>
    </row>
    <row r="750" ht="12.75" customHeight="1">
      <c r="A750" s="111"/>
    </row>
    <row r="751" ht="12.75" customHeight="1">
      <c r="A751" s="111"/>
    </row>
    <row r="752" ht="12.75" customHeight="1">
      <c r="A752" s="111"/>
    </row>
    <row r="753" ht="12.75" customHeight="1">
      <c r="A753" s="111"/>
    </row>
    <row r="754" ht="12.75" customHeight="1">
      <c r="A754" s="111"/>
    </row>
    <row r="755" ht="12.75" customHeight="1">
      <c r="A755" s="111"/>
    </row>
    <row r="756" ht="12.75" customHeight="1">
      <c r="A756" s="111"/>
    </row>
    <row r="757" ht="12.75" customHeight="1">
      <c r="A757" s="111"/>
    </row>
    <row r="758" ht="12.75" customHeight="1">
      <c r="A758" s="111"/>
    </row>
    <row r="759" ht="12.75" customHeight="1">
      <c r="A759" s="111"/>
    </row>
    <row r="760" ht="12.75" customHeight="1">
      <c r="A760" s="111"/>
    </row>
    <row r="761" ht="12.75" customHeight="1">
      <c r="A761" s="111"/>
    </row>
    <row r="762" ht="12.75" customHeight="1">
      <c r="A762" s="111"/>
    </row>
    <row r="763" ht="12.75" customHeight="1">
      <c r="A763" s="111"/>
    </row>
    <row r="764" ht="12.75" customHeight="1">
      <c r="A764" s="111"/>
    </row>
    <row r="765" ht="12.75" customHeight="1">
      <c r="A765" s="111"/>
    </row>
    <row r="766" ht="12.75" customHeight="1">
      <c r="A766" s="111"/>
    </row>
    <row r="767" ht="12.75" customHeight="1">
      <c r="A767" s="111"/>
    </row>
    <row r="768" ht="12.75" customHeight="1">
      <c r="A768" s="111"/>
    </row>
    <row r="769" ht="12.75" customHeight="1">
      <c r="A769" s="111"/>
    </row>
    <row r="770" ht="12.75" customHeight="1">
      <c r="A770" s="111"/>
    </row>
    <row r="771" ht="12.75" customHeight="1">
      <c r="A771" s="111"/>
    </row>
    <row r="772" ht="12.75" customHeight="1">
      <c r="A772" s="111"/>
    </row>
    <row r="773" ht="12.75" customHeight="1">
      <c r="A773" s="111"/>
    </row>
    <row r="774" ht="12.75" customHeight="1">
      <c r="A774" s="111"/>
    </row>
    <row r="775" ht="12.75" customHeight="1">
      <c r="A775" s="111"/>
    </row>
    <row r="776" ht="12.75" customHeight="1">
      <c r="A776" s="111"/>
    </row>
    <row r="777" ht="12.75" customHeight="1">
      <c r="A777" s="111"/>
    </row>
    <row r="778" ht="12.75" customHeight="1">
      <c r="A778" s="111"/>
    </row>
    <row r="779" ht="12.75" customHeight="1">
      <c r="A779" s="111"/>
    </row>
    <row r="780" ht="12.75" customHeight="1">
      <c r="A780" s="111"/>
    </row>
    <row r="781" ht="12.75" customHeight="1">
      <c r="A781" s="111"/>
    </row>
    <row r="782" ht="12.75" customHeight="1">
      <c r="A782" s="111"/>
    </row>
    <row r="783" ht="12.75" customHeight="1">
      <c r="A783" s="111"/>
    </row>
    <row r="784" ht="12.75" customHeight="1">
      <c r="A784" s="111"/>
    </row>
    <row r="785" ht="12.75" customHeight="1">
      <c r="A785" s="111"/>
    </row>
    <row r="786" ht="12.75" customHeight="1">
      <c r="A786" s="111"/>
    </row>
    <row r="787" ht="12.75" customHeight="1">
      <c r="A787" s="111"/>
    </row>
    <row r="788" ht="12.75" customHeight="1">
      <c r="A788" s="111"/>
    </row>
    <row r="789" ht="12.75" customHeight="1">
      <c r="A789" s="111"/>
    </row>
    <row r="790" ht="12.75" customHeight="1">
      <c r="A790" s="111"/>
    </row>
    <row r="791" ht="12.75" customHeight="1">
      <c r="A791" s="111"/>
    </row>
    <row r="792" ht="12.75" customHeight="1">
      <c r="A792" s="111"/>
    </row>
    <row r="793" ht="12.75" customHeight="1">
      <c r="A793" s="111"/>
    </row>
    <row r="794" ht="12.75" customHeight="1">
      <c r="A794" s="111"/>
    </row>
    <row r="795" ht="12.75" customHeight="1">
      <c r="A795" s="111"/>
    </row>
    <row r="796" ht="12.75" customHeight="1">
      <c r="A796" s="111"/>
    </row>
    <row r="797" ht="12.75" customHeight="1">
      <c r="A797" s="111"/>
    </row>
    <row r="798" ht="12.75" customHeight="1">
      <c r="A798" s="111"/>
    </row>
    <row r="799" ht="12.75" customHeight="1">
      <c r="A799" s="111"/>
    </row>
    <row r="800" ht="12.75" customHeight="1">
      <c r="A800" s="111"/>
    </row>
    <row r="801" ht="12.75" customHeight="1">
      <c r="A801" s="111"/>
    </row>
    <row r="802" ht="12.75" customHeight="1">
      <c r="A802" s="111"/>
    </row>
    <row r="803" ht="12.75" customHeight="1">
      <c r="A803" s="111"/>
    </row>
    <row r="804" ht="12.75" customHeight="1">
      <c r="A804" s="111"/>
    </row>
    <row r="805" ht="12.75" customHeight="1">
      <c r="A805" s="111"/>
    </row>
    <row r="806" ht="12.75" customHeight="1">
      <c r="A806" s="111"/>
    </row>
    <row r="807" ht="12.75" customHeight="1">
      <c r="A807" s="111"/>
    </row>
    <row r="808" ht="12.75" customHeight="1">
      <c r="A808" s="111"/>
    </row>
    <row r="809" ht="12.75" customHeight="1">
      <c r="A809" s="111"/>
    </row>
    <row r="810" ht="12.75" customHeight="1">
      <c r="A810" s="111"/>
    </row>
    <row r="811" ht="12.75" customHeight="1">
      <c r="A811" s="111"/>
    </row>
    <row r="812" ht="12.75" customHeight="1">
      <c r="A812" s="111"/>
    </row>
    <row r="813" ht="12.75" customHeight="1">
      <c r="A813" s="111"/>
    </row>
    <row r="814" ht="12.75" customHeight="1">
      <c r="A814" s="111"/>
    </row>
    <row r="815" ht="12.75" customHeight="1">
      <c r="A815" s="111"/>
    </row>
    <row r="816" ht="12.75" customHeight="1">
      <c r="A816" s="111"/>
    </row>
    <row r="817" ht="12.75" customHeight="1">
      <c r="A817" s="111"/>
    </row>
    <row r="818" ht="12.75" customHeight="1">
      <c r="A818" s="111"/>
    </row>
    <row r="819" ht="12.75" customHeight="1">
      <c r="A819" s="111"/>
    </row>
    <row r="820" ht="12.75" customHeight="1">
      <c r="A820" s="111"/>
    </row>
    <row r="821" ht="12.75" customHeight="1">
      <c r="A821" s="111"/>
    </row>
    <row r="822" ht="12.75" customHeight="1">
      <c r="A822" s="111"/>
    </row>
    <row r="823" ht="12.75" customHeight="1">
      <c r="A823" s="111"/>
    </row>
    <row r="824" ht="12.75" customHeight="1">
      <c r="A824" s="111"/>
    </row>
    <row r="825" ht="12.75" customHeight="1">
      <c r="A825" s="111"/>
    </row>
    <row r="826" ht="12.75" customHeight="1">
      <c r="A826" s="111"/>
    </row>
    <row r="827" ht="12.75" customHeight="1">
      <c r="A827" s="111"/>
    </row>
    <row r="828" ht="12.75" customHeight="1">
      <c r="A828" s="111"/>
    </row>
    <row r="829" ht="12.75" customHeight="1">
      <c r="A829" s="111"/>
    </row>
    <row r="830" ht="12.75" customHeight="1">
      <c r="A830" s="111"/>
    </row>
    <row r="831" ht="12.75" customHeight="1">
      <c r="A831" s="111"/>
    </row>
    <row r="832" ht="12.75" customHeight="1">
      <c r="A832" s="111"/>
    </row>
    <row r="833" ht="12.75" customHeight="1">
      <c r="A833" s="111"/>
    </row>
    <row r="834" ht="12.75" customHeight="1">
      <c r="A834" s="111"/>
    </row>
    <row r="835" ht="12.75" customHeight="1">
      <c r="A835" s="111"/>
    </row>
    <row r="836" ht="12.75" customHeight="1">
      <c r="A836" s="111"/>
    </row>
    <row r="837" ht="12.75" customHeight="1">
      <c r="A837" s="111"/>
    </row>
    <row r="838" ht="12.75" customHeight="1">
      <c r="A838" s="111"/>
    </row>
    <row r="839" ht="12.75" customHeight="1">
      <c r="A839" s="111"/>
    </row>
    <row r="840" ht="12.75" customHeight="1">
      <c r="A840" s="111"/>
    </row>
    <row r="841" ht="12.75" customHeight="1">
      <c r="A841" s="111"/>
    </row>
    <row r="842" ht="12.75" customHeight="1">
      <c r="A842" s="111"/>
    </row>
    <row r="843" ht="12.75" customHeight="1">
      <c r="A843" s="111"/>
    </row>
    <row r="844" ht="12.75" customHeight="1">
      <c r="A844" s="111"/>
    </row>
    <row r="845" ht="12.75" customHeight="1">
      <c r="A845" s="111"/>
    </row>
    <row r="846" ht="12.75" customHeight="1">
      <c r="A846" s="111"/>
    </row>
    <row r="847" ht="12.75" customHeight="1">
      <c r="A847" s="111"/>
    </row>
    <row r="848" ht="12.75" customHeight="1">
      <c r="A848" s="111"/>
    </row>
    <row r="849" ht="12.75" customHeight="1">
      <c r="A849" s="111"/>
    </row>
    <row r="850" ht="12.75" customHeight="1">
      <c r="A850" s="111"/>
    </row>
    <row r="851" ht="12.75" customHeight="1">
      <c r="A851" s="111"/>
    </row>
    <row r="852" ht="12.75" customHeight="1">
      <c r="A852" s="111"/>
    </row>
    <row r="853" ht="12.75" customHeight="1">
      <c r="A853" s="111"/>
    </row>
    <row r="854" ht="12.75" customHeight="1">
      <c r="A854" s="111"/>
    </row>
    <row r="855" ht="12.75" customHeight="1">
      <c r="A855" s="111"/>
    </row>
    <row r="856" ht="12.75" customHeight="1">
      <c r="A856" s="111"/>
    </row>
    <row r="857" ht="12.75" customHeight="1">
      <c r="A857" s="111"/>
    </row>
    <row r="858" ht="12.75" customHeight="1">
      <c r="A858" s="111"/>
    </row>
    <row r="859" ht="12.75" customHeight="1">
      <c r="A859" s="111"/>
    </row>
    <row r="860" ht="12.75" customHeight="1">
      <c r="A860" s="111"/>
    </row>
    <row r="861" ht="12.75" customHeight="1">
      <c r="A861" s="111"/>
    </row>
    <row r="862" ht="12.75" customHeight="1">
      <c r="A862" s="111"/>
    </row>
    <row r="863" ht="12.75" customHeight="1">
      <c r="A863" s="111"/>
    </row>
    <row r="864" ht="12.75" customHeight="1">
      <c r="A864" s="111"/>
    </row>
    <row r="865" ht="12.75" customHeight="1">
      <c r="A865" s="111"/>
    </row>
    <row r="866" ht="12.75" customHeight="1">
      <c r="A866" s="111"/>
    </row>
    <row r="867" ht="12.75" customHeight="1">
      <c r="A867" s="111"/>
    </row>
    <row r="868" ht="12.75" customHeight="1">
      <c r="A868" s="111"/>
    </row>
    <row r="869" ht="12.75" customHeight="1">
      <c r="A869" s="111"/>
    </row>
    <row r="870" ht="12.75" customHeight="1">
      <c r="A870" s="111"/>
    </row>
    <row r="871" ht="12.75" customHeight="1">
      <c r="A871" s="111"/>
    </row>
    <row r="872" ht="12.75" customHeight="1">
      <c r="A872" s="111"/>
    </row>
    <row r="873" ht="12.75" customHeight="1">
      <c r="A873" s="111"/>
    </row>
    <row r="874" ht="12.75" customHeight="1">
      <c r="A874" s="111"/>
    </row>
    <row r="875" ht="12.75" customHeight="1">
      <c r="A875" s="111"/>
    </row>
    <row r="876" ht="12.75" customHeight="1">
      <c r="A876" s="111"/>
    </row>
    <row r="877" ht="12.75" customHeight="1">
      <c r="A877" s="111"/>
    </row>
    <row r="878" ht="12.75" customHeight="1">
      <c r="A878" s="111"/>
    </row>
    <row r="879" ht="12.75" customHeight="1">
      <c r="A879" s="111"/>
    </row>
    <row r="880" ht="12.75" customHeight="1">
      <c r="A880" s="111"/>
    </row>
    <row r="881" ht="12.75" customHeight="1">
      <c r="A881" s="111"/>
    </row>
    <row r="882" ht="12.75" customHeight="1">
      <c r="A882" s="111"/>
    </row>
    <row r="883" ht="12.75" customHeight="1">
      <c r="A883" s="111"/>
    </row>
    <row r="884" ht="12.75" customHeight="1">
      <c r="A884" s="111"/>
    </row>
    <row r="885" ht="12.75" customHeight="1">
      <c r="A885" s="111"/>
    </row>
    <row r="886" ht="12.75" customHeight="1">
      <c r="A886" s="111"/>
    </row>
    <row r="887" ht="12.75" customHeight="1">
      <c r="A887" s="111"/>
    </row>
    <row r="888" ht="12.75" customHeight="1">
      <c r="A888" s="111"/>
    </row>
    <row r="889" ht="12.75" customHeight="1">
      <c r="A889" s="111"/>
    </row>
    <row r="890" ht="12.75" customHeight="1">
      <c r="A890" s="111"/>
    </row>
    <row r="891" ht="12.75" customHeight="1">
      <c r="A891" s="111"/>
    </row>
    <row r="892" ht="12.75" customHeight="1">
      <c r="A892" s="111"/>
    </row>
    <row r="893" ht="12.75" customHeight="1">
      <c r="A893" s="111"/>
    </row>
    <row r="894" ht="12.75" customHeight="1">
      <c r="A894" s="111"/>
    </row>
    <row r="895" ht="12.75" customHeight="1">
      <c r="A895" s="111"/>
    </row>
    <row r="896" ht="12.75" customHeight="1">
      <c r="A896" s="111"/>
    </row>
    <row r="897" ht="12.75" customHeight="1">
      <c r="A897" s="111"/>
    </row>
    <row r="898" ht="12.75" customHeight="1">
      <c r="A898" s="111"/>
    </row>
    <row r="899" ht="12.75" customHeight="1">
      <c r="A899" s="111"/>
    </row>
    <row r="900" ht="12.75" customHeight="1">
      <c r="A900" s="111"/>
    </row>
    <row r="901" ht="12.75" customHeight="1">
      <c r="A901" s="111"/>
    </row>
    <row r="902" ht="12.75" customHeight="1">
      <c r="A902" s="111"/>
    </row>
    <row r="903" ht="12.75" customHeight="1">
      <c r="A903" s="111"/>
    </row>
    <row r="904" ht="12.75" customHeight="1">
      <c r="A904" s="111"/>
    </row>
    <row r="905" ht="12.75" customHeight="1">
      <c r="A905" s="111"/>
    </row>
    <row r="906" ht="12.75" customHeight="1">
      <c r="A906" s="111"/>
    </row>
    <row r="907" ht="12.75" customHeight="1">
      <c r="A907" s="111"/>
    </row>
    <row r="908" ht="12.75" customHeight="1">
      <c r="A908" s="111"/>
    </row>
    <row r="909" ht="12.75" customHeight="1">
      <c r="A909" s="111"/>
    </row>
    <row r="910" ht="12.75" customHeight="1">
      <c r="A910" s="111"/>
    </row>
    <row r="911" ht="12.75" customHeight="1">
      <c r="A911" s="111"/>
    </row>
    <row r="912" ht="12.75" customHeight="1">
      <c r="A912" s="111"/>
    </row>
    <row r="913" ht="12.75" customHeight="1">
      <c r="A913" s="111"/>
    </row>
    <row r="914" ht="12.75" customHeight="1">
      <c r="A914" s="111"/>
    </row>
    <row r="915" ht="12.75" customHeight="1">
      <c r="A915" s="111"/>
    </row>
    <row r="916" ht="12.75" customHeight="1">
      <c r="A916" s="111"/>
    </row>
    <row r="917" ht="12.75" customHeight="1">
      <c r="A917" s="111"/>
    </row>
    <row r="918" ht="12.75" customHeight="1">
      <c r="A918" s="111"/>
    </row>
    <row r="919" ht="12.75" customHeight="1">
      <c r="A919" s="111"/>
    </row>
    <row r="920" ht="12.75" customHeight="1">
      <c r="A920" s="111"/>
    </row>
    <row r="921" ht="12.75" customHeight="1">
      <c r="A921" s="111"/>
    </row>
    <row r="922" ht="12.75" customHeight="1">
      <c r="A922" s="111"/>
    </row>
    <row r="923" ht="12.75" customHeight="1">
      <c r="A923" s="111"/>
    </row>
    <row r="924" ht="12.75" customHeight="1">
      <c r="A924" s="111"/>
    </row>
    <row r="925" ht="12.75" customHeight="1">
      <c r="A925" s="111"/>
    </row>
    <row r="926" ht="12.75" customHeight="1">
      <c r="A926" s="111"/>
    </row>
    <row r="927" ht="12.75" customHeight="1">
      <c r="A927" s="111"/>
    </row>
    <row r="928" ht="12.75" customHeight="1">
      <c r="A928" s="111"/>
    </row>
    <row r="929" ht="12.75" customHeight="1">
      <c r="A929" s="111"/>
    </row>
    <row r="930" ht="12.75" customHeight="1">
      <c r="A930" s="111"/>
    </row>
    <row r="931" ht="12.75" customHeight="1">
      <c r="A931" s="111"/>
    </row>
    <row r="932" ht="12.75" customHeight="1">
      <c r="A932" s="111"/>
    </row>
    <row r="933" ht="12.75" customHeight="1">
      <c r="A933" s="111"/>
    </row>
    <row r="934" ht="12.75" customHeight="1">
      <c r="A934" s="111"/>
    </row>
    <row r="935" ht="12.75" customHeight="1">
      <c r="A935" s="111"/>
    </row>
    <row r="936" ht="12.75" customHeight="1">
      <c r="A936" s="111"/>
    </row>
    <row r="937" ht="12.75" customHeight="1">
      <c r="A937" s="111"/>
    </row>
    <row r="938" ht="12.75" customHeight="1">
      <c r="A938" s="111"/>
    </row>
    <row r="939" ht="12.75" customHeight="1">
      <c r="A939" s="111"/>
    </row>
    <row r="940" ht="12.75" customHeight="1">
      <c r="A940" s="111"/>
    </row>
    <row r="941" ht="12.75" customHeight="1">
      <c r="A941" s="111"/>
    </row>
    <row r="942" ht="12.75" customHeight="1">
      <c r="A942" s="111"/>
    </row>
    <row r="943" ht="12.75" customHeight="1">
      <c r="A943" s="111"/>
    </row>
    <row r="944" ht="12.75" customHeight="1">
      <c r="A944" s="111"/>
    </row>
    <row r="945" ht="12.75" customHeight="1">
      <c r="A945" s="111"/>
    </row>
    <row r="946" ht="12.75" customHeight="1">
      <c r="A946" s="111"/>
    </row>
    <row r="947" ht="12.75" customHeight="1">
      <c r="A947" s="111"/>
    </row>
    <row r="948" ht="12.75" customHeight="1">
      <c r="A948" s="111"/>
    </row>
    <row r="949" ht="12.75" customHeight="1">
      <c r="A949" s="111"/>
    </row>
    <row r="950" ht="12.75" customHeight="1">
      <c r="A950" s="111"/>
    </row>
    <row r="951" ht="12.75" customHeight="1">
      <c r="A951" s="111"/>
    </row>
    <row r="952" ht="12.75" customHeight="1">
      <c r="A952" s="111"/>
    </row>
    <row r="953" ht="12.75" customHeight="1">
      <c r="A953" s="111"/>
    </row>
    <row r="954" ht="12.75" customHeight="1">
      <c r="A954" s="111"/>
    </row>
    <row r="955" ht="12.75" customHeight="1">
      <c r="A955" s="111"/>
    </row>
    <row r="956" ht="12.75" customHeight="1">
      <c r="A956" s="111"/>
    </row>
    <row r="957" ht="12.75" customHeight="1">
      <c r="A957" s="111"/>
    </row>
    <row r="958" ht="12.75" customHeight="1">
      <c r="A958" s="111"/>
    </row>
    <row r="959" ht="12.75" customHeight="1">
      <c r="A959" s="111"/>
    </row>
    <row r="960" ht="12.75" customHeight="1">
      <c r="A960" s="111"/>
    </row>
    <row r="961" ht="12.75" customHeight="1">
      <c r="A961" s="111"/>
    </row>
    <row r="962" ht="12.75" customHeight="1">
      <c r="A962" s="111"/>
    </row>
    <row r="963" ht="12.75" customHeight="1">
      <c r="A963" s="111"/>
    </row>
    <row r="964" ht="12.75" customHeight="1">
      <c r="A964" s="111"/>
    </row>
    <row r="965" ht="12.75" customHeight="1">
      <c r="A965" s="111"/>
    </row>
    <row r="966" ht="12.75" customHeight="1">
      <c r="A966" s="111"/>
    </row>
    <row r="967" ht="12.75" customHeight="1">
      <c r="A967" s="111"/>
    </row>
    <row r="968" ht="12.75" customHeight="1">
      <c r="A968" s="111"/>
    </row>
    <row r="969" ht="12.75" customHeight="1">
      <c r="A969" s="111"/>
    </row>
    <row r="970" ht="12.75" customHeight="1">
      <c r="A970" s="111"/>
    </row>
    <row r="971" ht="12.75" customHeight="1">
      <c r="A971" s="111"/>
    </row>
    <row r="972" ht="12.75" customHeight="1">
      <c r="A972" s="111"/>
    </row>
    <row r="973" ht="12.75" customHeight="1">
      <c r="A973" s="111"/>
    </row>
    <row r="974" ht="12.75" customHeight="1">
      <c r="A974" s="111"/>
    </row>
    <row r="975" ht="12.75" customHeight="1">
      <c r="A975" s="111"/>
    </row>
    <row r="976" ht="12.75" customHeight="1">
      <c r="A976" s="111"/>
    </row>
    <row r="977" ht="12.75" customHeight="1">
      <c r="A977" s="111"/>
    </row>
    <row r="978" ht="12.75" customHeight="1">
      <c r="A978" s="111"/>
    </row>
    <row r="979" ht="12.75" customHeight="1">
      <c r="A979" s="111"/>
    </row>
    <row r="980" ht="12.75" customHeight="1">
      <c r="A980" s="111"/>
    </row>
    <row r="981" ht="12.75" customHeight="1">
      <c r="A981" s="111"/>
    </row>
    <row r="982" ht="12.75" customHeight="1">
      <c r="A982" s="111"/>
    </row>
    <row r="983" ht="12.75" customHeight="1">
      <c r="A983" s="111"/>
    </row>
    <row r="984" ht="12.75" customHeight="1">
      <c r="A984" s="111"/>
    </row>
    <row r="985" ht="12.75" customHeight="1">
      <c r="A985" s="111"/>
    </row>
    <row r="986" ht="12.75" customHeight="1">
      <c r="A986" s="111"/>
    </row>
    <row r="987" ht="12.75" customHeight="1">
      <c r="A987" s="111"/>
    </row>
    <row r="988" ht="12.75" customHeight="1">
      <c r="A988" s="111"/>
    </row>
    <row r="989" ht="12.75" customHeight="1">
      <c r="A989" s="111"/>
    </row>
    <row r="990" ht="12.75" customHeight="1">
      <c r="A990" s="111"/>
    </row>
    <row r="991" ht="12.75" customHeight="1">
      <c r="A991" s="111"/>
    </row>
    <row r="992" ht="12.75" customHeight="1">
      <c r="A992" s="111"/>
    </row>
    <row r="993" ht="12.75" customHeight="1">
      <c r="A993" s="111"/>
    </row>
    <row r="994" ht="12.75" customHeight="1">
      <c r="A994" s="111"/>
    </row>
    <row r="995" ht="12.75" customHeight="1">
      <c r="A995" s="111"/>
    </row>
    <row r="996" ht="12.75" customHeight="1">
      <c r="A996" s="111"/>
    </row>
    <row r="997" ht="12.75" customHeight="1">
      <c r="A997" s="111"/>
    </row>
    <row r="998" ht="12.75" customHeight="1">
      <c r="A998" s="111"/>
    </row>
    <row r="999" ht="12.75" customHeight="1">
      <c r="A999" s="111"/>
    </row>
    <row r="1000" ht="12.75" customHeight="1">
      <c r="A1000" s="111"/>
    </row>
    <row r="1001" ht="12.75" customHeight="1">
      <c r="A1001" s="111"/>
    </row>
    <row r="1002" ht="12.75" customHeight="1">
      <c r="A1002" s="111"/>
    </row>
    <row r="1003" ht="12.75" customHeight="1">
      <c r="A1003" s="111"/>
    </row>
    <row r="1004" ht="12.75" customHeight="1">
      <c r="A1004" s="111"/>
    </row>
    <row r="1005" ht="12.75" customHeight="1">
      <c r="A1005" s="111"/>
    </row>
  </sheetData>
  <mergeCells count="1">
    <mergeCell ref="D19:D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5.0"/>
    <col customWidth="1" min="2" max="2" width="20.43"/>
    <col customWidth="1" min="3" max="3" width="70.43"/>
    <col customWidth="1" min="4" max="4" width="7.14"/>
    <col customWidth="1" min="5" max="5" width="28.14"/>
    <col customWidth="1" min="6" max="7" width="4.0"/>
    <col customWidth="1" min="9" max="9" width="13.14"/>
  </cols>
  <sheetData>
    <row r="1" ht="6.0" customHeight="1"/>
    <row r="2" ht="24.75" customHeight="1">
      <c r="A2" s="167" t="s">
        <v>91</v>
      </c>
      <c r="B2" s="167" t="s">
        <v>95</v>
      </c>
      <c r="C2" s="167" t="s">
        <v>96</v>
      </c>
      <c r="D2" s="167" t="s">
        <v>97</v>
      </c>
      <c r="E2" s="167" t="s">
        <v>98</v>
      </c>
      <c r="H2" s="168" t="s">
        <v>99</v>
      </c>
      <c r="I2" s="169" t="s">
        <v>100</v>
      </c>
      <c r="J2" s="37"/>
      <c r="K2" s="37"/>
      <c r="L2" s="38"/>
      <c r="M2" s="168" t="s">
        <v>97</v>
      </c>
    </row>
    <row r="3">
      <c r="A3" s="170" t="s">
        <v>101</v>
      </c>
      <c r="B3" s="171" t="s">
        <v>102</v>
      </c>
      <c r="C3" s="62" t="s">
        <v>103</v>
      </c>
      <c r="D3" s="171">
        <v>5.0</v>
      </c>
      <c r="E3" s="171" t="s">
        <v>104</v>
      </c>
      <c r="H3" s="172" t="s">
        <v>105</v>
      </c>
      <c r="I3" s="173" t="s">
        <v>106</v>
      </c>
      <c r="J3" s="37"/>
      <c r="K3" s="37"/>
      <c r="L3" s="38"/>
      <c r="M3" s="172" t="s">
        <v>107</v>
      </c>
    </row>
    <row r="4">
      <c r="A4" s="164"/>
      <c r="B4" s="171" t="s">
        <v>108</v>
      </c>
      <c r="C4" s="62" t="s">
        <v>109</v>
      </c>
      <c r="D4" s="171">
        <v>5.0</v>
      </c>
      <c r="E4" s="171" t="s">
        <v>110</v>
      </c>
      <c r="H4" s="174"/>
      <c r="I4" s="168" t="s">
        <v>111</v>
      </c>
      <c r="J4" s="168" t="s">
        <v>112</v>
      </c>
      <c r="K4" s="168" t="s">
        <v>113</v>
      </c>
      <c r="L4" s="168" t="s">
        <v>114</v>
      </c>
      <c r="M4" s="174"/>
    </row>
    <row r="5">
      <c r="A5" s="170" t="s">
        <v>115</v>
      </c>
      <c r="B5" s="171" t="s">
        <v>116</v>
      </c>
      <c r="C5" s="62" t="s">
        <v>117</v>
      </c>
      <c r="D5" s="171">
        <v>5.0</v>
      </c>
      <c r="E5" s="175" t="s">
        <v>118</v>
      </c>
      <c r="H5" s="164"/>
      <c r="I5" s="176">
        <v>5.0</v>
      </c>
      <c r="J5" s="176">
        <v>4.5</v>
      </c>
      <c r="K5" s="176">
        <v>4.0</v>
      </c>
      <c r="L5" s="176">
        <v>3.5</v>
      </c>
      <c r="M5" s="164"/>
    </row>
    <row r="6">
      <c r="A6" s="174"/>
      <c r="B6" s="171" t="s">
        <v>119</v>
      </c>
      <c r="C6" s="62" t="s">
        <v>120</v>
      </c>
      <c r="D6" s="171">
        <v>5.0</v>
      </c>
      <c r="E6" s="175" t="s">
        <v>121</v>
      </c>
      <c r="H6" s="177" t="s">
        <v>122</v>
      </c>
      <c r="I6" s="178"/>
      <c r="J6" s="178"/>
      <c r="K6" s="178"/>
      <c r="L6" s="178"/>
      <c r="M6" s="179"/>
    </row>
    <row r="7">
      <c r="A7" s="174"/>
      <c r="B7" s="171" t="s">
        <v>123</v>
      </c>
      <c r="C7" s="62" t="s">
        <v>124</v>
      </c>
      <c r="D7" s="171">
        <v>5.0</v>
      </c>
      <c r="E7" s="171" t="s">
        <v>125</v>
      </c>
      <c r="H7" s="180"/>
      <c r="M7" s="181"/>
    </row>
    <row r="8">
      <c r="A8" s="174"/>
      <c r="B8" s="171" t="s">
        <v>126</v>
      </c>
      <c r="C8" s="62" t="s">
        <v>127</v>
      </c>
      <c r="D8" s="171">
        <v>5.0</v>
      </c>
      <c r="E8" s="171" t="s">
        <v>128</v>
      </c>
      <c r="H8" s="180"/>
      <c r="M8" s="181"/>
    </row>
    <row r="9">
      <c r="A9" s="174"/>
      <c r="B9" s="171" t="s">
        <v>129</v>
      </c>
      <c r="C9" s="62" t="s">
        <v>130</v>
      </c>
      <c r="D9" s="171">
        <v>5.0</v>
      </c>
      <c r="E9" s="171" t="s">
        <v>131</v>
      </c>
      <c r="H9" s="180"/>
      <c r="M9" s="181"/>
    </row>
    <row r="10">
      <c r="A10" s="164"/>
      <c r="B10" s="171" t="s">
        <v>132</v>
      </c>
      <c r="C10" s="62" t="s">
        <v>133</v>
      </c>
      <c r="D10" s="171">
        <v>5.0</v>
      </c>
      <c r="E10" s="171" t="s">
        <v>134</v>
      </c>
      <c r="H10" s="180"/>
      <c r="M10" s="181"/>
    </row>
    <row r="11">
      <c r="A11" s="170" t="s">
        <v>135</v>
      </c>
      <c r="B11" s="171" t="s">
        <v>136</v>
      </c>
      <c r="C11" s="62" t="s">
        <v>137</v>
      </c>
      <c r="D11" s="171">
        <v>5.0</v>
      </c>
      <c r="E11" s="171" t="s">
        <v>138</v>
      </c>
      <c r="H11" s="180"/>
      <c r="M11" s="181"/>
    </row>
    <row r="12">
      <c r="A12" s="174"/>
      <c r="B12" s="171" t="s">
        <v>139</v>
      </c>
      <c r="C12" s="62" t="s">
        <v>140</v>
      </c>
      <c r="D12" s="171">
        <v>5.0</v>
      </c>
      <c r="E12" s="171" t="s">
        <v>141</v>
      </c>
      <c r="H12" s="182"/>
      <c r="I12" s="66"/>
      <c r="J12" s="66"/>
      <c r="K12" s="66"/>
      <c r="L12" s="66"/>
      <c r="M12" s="183"/>
    </row>
    <row r="13">
      <c r="A13" s="174"/>
      <c r="B13" s="171" t="s">
        <v>142</v>
      </c>
      <c r="C13" s="62" t="s">
        <v>143</v>
      </c>
      <c r="D13" s="171">
        <v>5.0</v>
      </c>
      <c r="E13" s="171" t="s">
        <v>144</v>
      </c>
    </row>
    <row r="14">
      <c r="A14" s="164"/>
      <c r="B14" s="171" t="s">
        <v>145</v>
      </c>
      <c r="C14" s="62" t="s">
        <v>146</v>
      </c>
      <c r="D14" s="171">
        <v>5.0</v>
      </c>
      <c r="E14" s="171"/>
    </row>
    <row r="15">
      <c r="A15" s="170" t="s">
        <v>147</v>
      </c>
      <c r="B15" s="171" t="s">
        <v>148</v>
      </c>
      <c r="C15" s="62" t="s">
        <v>149</v>
      </c>
      <c r="D15" s="171">
        <v>10.0</v>
      </c>
      <c r="E15" s="171" t="s">
        <v>150</v>
      </c>
    </row>
    <row r="16">
      <c r="A16" s="164"/>
      <c r="B16" s="171" t="s">
        <v>151</v>
      </c>
      <c r="C16" s="62" t="s">
        <v>152</v>
      </c>
      <c r="D16" s="171">
        <v>5.0</v>
      </c>
      <c r="E16" s="171"/>
    </row>
    <row r="17">
      <c r="A17" s="171" t="s">
        <v>153</v>
      </c>
      <c r="B17" s="171" t="s">
        <v>154</v>
      </c>
      <c r="C17" s="62" t="s">
        <v>155</v>
      </c>
      <c r="D17" s="171">
        <v>5.0</v>
      </c>
      <c r="E17" s="171" t="s">
        <v>156</v>
      </c>
    </row>
    <row r="18">
      <c r="A18" s="165"/>
      <c r="B18" s="165"/>
      <c r="C18" s="165"/>
      <c r="D18" s="184">
        <f>SUM(D3:D17)</f>
        <v>80</v>
      </c>
      <c r="E18" s="165"/>
    </row>
    <row r="19" ht="29.25" customHeight="1">
      <c r="A19" s="63"/>
      <c r="B19" s="63"/>
      <c r="C19" s="63"/>
      <c r="D19" s="63"/>
      <c r="E19" s="62" t="s">
        <v>157</v>
      </c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</row>
    <row r="20" ht="29.25" customHeight="1">
      <c r="A20" s="63"/>
      <c r="B20" s="63"/>
      <c r="C20" s="63"/>
      <c r="D20" s="63"/>
      <c r="E20" s="62" t="s">
        <v>158</v>
      </c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</row>
    <row r="21" ht="29.25" customHeight="1">
      <c r="A21" s="63"/>
      <c r="B21" s="63"/>
      <c r="C21" s="63"/>
      <c r="D21" s="63"/>
      <c r="E21" s="186" t="s">
        <v>159</v>
      </c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</row>
    <row r="22" ht="29.25" customHeight="1">
      <c r="A22" s="63"/>
      <c r="B22" s="63"/>
      <c r="C22" s="63"/>
      <c r="D22" s="63"/>
      <c r="E22" s="62" t="s">
        <v>160</v>
      </c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</row>
    <row r="23" ht="29.25" customHeight="1">
      <c r="A23" s="63"/>
      <c r="B23" s="63"/>
      <c r="C23" s="63"/>
      <c r="D23" s="63"/>
      <c r="E23" s="62" t="s">
        <v>161</v>
      </c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</row>
  </sheetData>
  <mergeCells count="9">
    <mergeCell ref="A11:A14"/>
    <mergeCell ref="A15:A16"/>
    <mergeCell ref="I2:L2"/>
    <mergeCell ref="A3:A4"/>
    <mergeCell ref="H3:H5"/>
    <mergeCell ref="I3:L3"/>
    <mergeCell ref="M3:M5"/>
    <mergeCell ref="A5:A10"/>
    <mergeCell ref="H6:M12"/>
  </mergeCells>
  <hyperlinks>
    <hyperlink r:id="rId1" ref="E2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9.14"/>
    <col customWidth="1" min="2" max="12" width="7.71"/>
  </cols>
  <sheetData>
    <row r="1" ht="23.25" customHeight="1">
      <c r="A1" s="187" t="s">
        <v>162</v>
      </c>
      <c r="B1" s="188" t="s">
        <v>163</v>
      </c>
      <c r="C1" s="188" t="s">
        <v>164</v>
      </c>
      <c r="D1" s="188" t="s">
        <v>165</v>
      </c>
      <c r="E1" s="188" t="s">
        <v>166</v>
      </c>
      <c r="F1" s="188" t="s">
        <v>167</v>
      </c>
      <c r="G1" s="188" t="s">
        <v>168</v>
      </c>
      <c r="H1" s="188" t="s">
        <v>169</v>
      </c>
      <c r="I1" s="188" t="s">
        <v>170</v>
      </c>
      <c r="J1" s="188" t="s">
        <v>171</v>
      </c>
      <c r="K1" s="188" t="s">
        <v>172</v>
      </c>
      <c r="L1" s="189" t="s">
        <v>173</v>
      </c>
    </row>
    <row r="2" ht="19.5" customHeight="1">
      <c r="A2" s="190" t="s">
        <v>174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</row>
    <row r="3" ht="19.5" customHeight="1">
      <c r="A3" s="192" t="s">
        <v>175</v>
      </c>
      <c r="B3" s="193"/>
      <c r="C3" s="193"/>
      <c r="D3" s="193"/>
      <c r="E3" s="193"/>
      <c r="F3" s="193"/>
      <c r="G3" s="194"/>
      <c r="H3" s="194"/>
      <c r="I3" s="194"/>
      <c r="J3" s="194"/>
      <c r="K3" s="194"/>
      <c r="L3" s="194"/>
    </row>
    <row r="4" ht="19.5" customHeight="1">
      <c r="A4" s="192" t="s">
        <v>176</v>
      </c>
      <c r="B4" s="193"/>
      <c r="C4" s="193"/>
      <c r="D4" s="193"/>
      <c r="E4" s="194"/>
      <c r="F4" s="194"/>
      <c r="G4" s="194"/>
      <c r="H4" s="194"/>
      <c r="I4" s="194"/>
      <c r="J4" s="194"/>
      <c r="K4" s="194"/>
      <c r="L4" s="194"/>
    </row>
    <row r="5" ht="19.5" customHeight="1">
      <c r="A5" s="192" t="s">
        <v>177</v>
      </c>
      <c r="B5" s="193"/>
      <c r="C5" s="193"/>
      <c r="D5" s="193"/>
      <c r="E5" s="193"/>
      <c r="F5" s="193"/>
      <c r="G5" s="193"/>
      <c r="H5" s="194"/>
      <c r="I5" s="194"/>
      <c r="J5" s="194"/>
      <c r="K5" s="194"/>
      <c r="L5" s="194"/>
    </row>
    <row r="6" ht="19.5" customHeight="1">
      <c r="A6" s="192" t="s">
        <v>178</v>
      </c>
      <c r="B6" s="195"/>
      <c r="C6" s="195"/>
      <c r="D6" s="193"/>
      <c r="E6" s="193"/>
      <c r="F6" s="193"/>
      <c r="G6" s="193"/>
      <c r="H6" s="194"/>
      <c r="I6" s="194"/>
      <c r="J6" s="194"/>
      <c r="K6" s="194"/>
      <c r="L6" s="194"/>
    </row>
    <row r="7" ht="19.5" customHeight="1">
      <c r="A7" s="192" t="s">
        <v>179</v>
      </c>
      <c r="B7" s="194"/>
      <c r="C7" s="194"/>
      <c r="D7" s="194"/>
      <c r="E7" s="194"/>
      <c r="F7" s="194"/>
      <c r="G7" s="193"/>
      <c r="H7" s="193"/>
      <c r="I7" s="193"/>
      <c r="J7" s="193"/>
      <c r="K7" s="195"/>
      <c r="L7" s="195"/>
    </row>
    <row r="8" ht="19.5" customHeight="1">
      <c r="A8" s="192" t="s">
        <v>180</v>
      </c>
      <c r="B8" s="195"/>
      <c r="C8" s="195"/>
      <c r="D8" s="195"/>
      <c r="E8" s="195"/>
      <c r="F8" s="195"/>
      <c r="G8" s="195"/>
      <c r="H8" s="193"/>
      <c r="I8" s="193"/>
      <c r="J8" s="193"/>
      <c r="K8" s="193"/>
      <c r="L8" s="19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0.71"/>
    <col customWidth="1" min="2" max="2" width="10.57"/>
    <col customWidth="1" min="3" max="3" width="18.43"/>
    <col customWidth="1" min="4" max="4" width="20.43"/>
    <col customWidth="1" min="5" max="5" width="8.43"/>
    <col customWidth="1" min="6" max="6" width="8.0"/>
    <col customWidth="1" min="7" max="7" width="14.57"/>
    <col customWidth="1" min="9" max="9" width="6.43"/>
    <col customWidth="1" min="10" max="10" width="1.29"/>
    <col customWidth="1" min="11" max="11" width="10.0"/>
    <col customWidth="1" min="12" max="12" width="12.43"/>
    <col customWidth="1" min="13" max="13" width="31.14"/>
    <col customWidth="1" min="14" max="14" width="7.43"/>
    <col customWidth="1" min="15" max="25" width="5.57"/>
    <col customWidth="1" min="26" max="26" width="7.86"/>
    <col customWidth="1" min="27" max="27" width="13.43"/>
  </cols>
  <sheetData>
    <row r="1" ht="21.75" customHeight="1">
      <c r="A1" s="159" t="s">
        <v>181</v>
      </c>
      <c r="B1" s="196" t="s">
        <v>6</v>
      </c>
      <c r="C1" s="196" t="s">
        <v>99</v>
      </c>
      <c r="D1" s="196" t="s">
        <v>182</v>
      </c>
      <c r="E1" s="196" t="s">
        <v>183</v>
      </c>
      <c r="F1" s="196" t="s">
        <v>184</v>
      </c>
      <c r="G1" s="196" t="s">
        <v>185</v>
      </c>
      <c r="H1" s="197" t="s">
        <v>186</v>
      </c>
      <c r="I1" s="196" t="s">
        <v>35</v>
      </c>
      <c r="K1" s="196" t="s">
        <v>6</v>
      </c>
      <c r="L1" s="196" t="s">
        <v>8</v>
      </c>
      <c r="M1" s="196" t="s">
        <v>187</v>
      </c>
      <c r="N1" s="196" t="s">
        <v>188</v>
      </c>
      <c r="O1" s="196" t="s">
        <v>189</v>
      </c>
      <c r="P1" s="196" t="s">
        <v>190</v>
      </c>
      <c r="Q1" s="196" t="s">
        <v>191</v>
      </c>
      <c r="R1" s="196" t="s">
        <v>192</v>
      </c>
      <c r="S1" s="196" t="s">
        <v>193</v>
      </c>
      <c r="T1" s="196" t="s">
        <v>194</v>
      </c>
      <c r="U1" s="196" t="s">
        <v>195</v>
      </c>
      <c r="V1" s="196" t="s">
        <v>196</v>
      </c>
      <c r="W1" s="196" t="s">
        <v>197</v>
      </c>
      <c r="X1" s="196" t="s">
        <v>198</v>
      </c>
      <c r="Y1" s="196" t="s">
        <v>199</v>
      </c>
      <c r="Z1" s="196" t="s">
        <v>200</v>
      </c>
      <c r="AA1" s="197" t="s">
        <v>201</v>
      </c>
      <c r="AB1" s="197" t="s">
        <v>185</v>
      </c>
      <c r="AC1" s="197" t="s">
        <v>35</v>
      </c>
    </row>
    <row r="2" ht="16.5" customHeight="1">
      <c r="B2" s="198" t="s">
        <v>202</v>
      </c>
      <c r="C2" s="199" t="s">
        <v>203</v>
      </c>
      <c r="D2" s="200"/>
      <c r="E2" s="200"/>
      <c r="F2" s="201"/>
      <c r="G2" s="202">
        <v>4.0E8</v>
      </c>
      <c r="H2" s="203">
        <v>1.06E9</v>
      </c>
      <c r="I2" s="200"/>
      <c r="K2" s="204" t="s">
        <v>204</v>
      </c>
      <c r="L2" s="199" t="s">
        <v>205</v>
      </c>
      <c r="M2" s="199" t="s">
        <v>206</v>
      </c>
      <c r="N2" s="199"/>
      <c r="O2" s="199"/>
      <c r="P2" s="199">
        <v>1.0</v>
      </c>
      <c r="Q2" s="199">
        <v>1.0</v>
      </c>
      <c r="R2" s="199">
        <v>1.0</v>
      </c>
      <c r="S2" s="199">
        <v>1.0</v>
      </c>
      <c r="T2" s="199">
        <v>1.0</v>
      </c>
      <c r="U2" s="199">
        <v>1.0</v>
      </c>
      <c r="V2" s="199">
        <v>1.0</v>
      </c>
      <c r="W2" s="199">
        <v>1.0</v>
      </c>
      <c r="X2" s="199">
        <v>1.0</v>
      </c>
      <c r="Y2" s="199">
        <v>1.0</v>
      </c>
      <c r="Z2" s="205">
        <f t="shared" ref="Z2:Z6" si="1">SUM(P2:Y2)</f>
        <v>10</v>
      </c>
      <c r="AA2" s="201">
        <v>8000000.0</v>
      </c>
      <c r="AB2" s="206">
        <f t="shared" ref="AB2:AB6" si="2">Z2*AA2</f>
        <v>80000000</v>
      </c>
      <c r="AC2" s="205"/>
    </row>
    <row r="3" ht="16.5" customHeight="1">
      <c r="B3" s="164"/>
      <c r="C3" s="199" t="s">
        <v>207</v>
      </c>
      <c r="D3" s="200"/>
      <c r="E3" s="200"/>
      <c r="F3" s="201"/>
      <c r="G3" s="202">
        <v>6.6E8</v>
      </c>
      <c r="H3" s="164"/>
      <c r="I3" s="200"/>
      <c r="K3" s="198" t="s">
        <v>208</v>
      </c>
      <c r="L3" s="199" t="s">
        <v>209</v>
      </c>
      <c r="M3" s="199" t="s">
        <v>210</v>
      </c>
      <c r="N3" s="205"/>
      <c r="O3" s="199"/>
      <c r="P3" s="199">
        <v>1.0</v>
      </c>
      <c r="Q3" s="199">
        <v>1.0</v>
      </c>
      <c r="R3" s="199">
        <v>1.0</v>
      </c>
      <c r="S3" s="199">
        <v>1.0</v>
      </c>
      <c r="T3" s="199">
        <v>1.0</v>
      </c>
      <c r="U3" s="199">
        <v>1.0</v>
      </c>
      <c r="V3" s="199">
        <v>1.0</v>
      </c>
      <c r="W3" s="199">
        <v>1.0</v>
      </c>
      <c r="X3" s="199">
        <v>1.0</v>
      </c>
      <c r="Y3" s="199">
        <v>1.0</v>
      </c>
      <c r="Z3" s="205">
        <f t="shared" si="1"/>
        <v>10</v>
      </c>
      <c r="AA3" s="201">
        <v>8000000.0</v>
      </c>
      <c r="AB3" s="206">
        <f t="shared" si="2"/>
        <v>80000000</v>
      </c>
      <c r="AC3" s="205"/>
    </row>
    <row r="4" ht="16.5" customHeight="1">
      <c r="B4" s="198" t="s">
        <v>211</v>
      </c>
      <c r="C4" s="199" t="s">
        <v>212</v>
      </c>
      <c r="D4" s="200"/>
      <c r="E4" s="200"/>
      <c r="F4" s="201"/>
      <c r="G4" s="202">
        <v>2.5E8</v>
      </c>
      <c r="H4" s="203">
        <v>8.38E8</v>
      </c>
      <c r="I4" s="200"/>
      <c r="K4" s="174"/>
      <c r="L4" s="199" t="s">
        <v>213</v>
      </c>
      <c r="M4" s="199" t="s">
        <v>214</v>
      </c>
      <c r="N4" s="205"/>
      <c r="O4" s="199"/>
      <c r="P4" s="199">
        <v>1.0</v>
      </c>
      <c r="Q4" s="199">
        <v>1.0</v>
      </c>
      <c r="R4" s="199">
        <v>1.0</v>
      </c>
      <c r="S4" s="199">
        <v>1.0</v>
      </c>
      <c r="T4" s="199">
        <v>1.0</v>
      </c>
      <c r="U4" s="199">
        <v>1.0</v>
      </c>
      <c r="V4" s="199">
        <v>1.0</v>
      </c>
      <c r="W4" s="199">
        <v>1.0</v>
      </c>
      <c r="X4" s="199">
        <v>1.0</v>
      </c>
      <c r="Y4" s="199">
        <v>1.0</v>
      </c>
      <c r="Z4" s="205">
        <f t="shared" si="1"/>
        <v>10</v>
      </c>
      <c r="AA4" s="201">
        <v>8000000.0</v>
      </c>
      <c r="AB4" s="206">
        <f t="shared" si="2"/>
        <v>80000000</v>
      </c>
      <c r="AC4" s="205"/>
    </row>
    <row r="5" ht="16.5" customHeight="1">
      <c r="B5" s="174"/>
      <c r="C5" s="199" t="s">
        <v>215</v>
      </c>
      <c r="D5" s="200"/>
      <c r="E5" s="200"/>
      <c r="F5" s="201"/>
      <c r="G5" s="202">
        <v>2.5E8</v>
      </c>
      <c r="H5" s="174"/>
      <c r="I5" s="200"/>
      <c r="K5" s="174"/>
      <c r="L5" s="205"/>
      <c r="M5" s="199" t="s">
        <v>216</v>
      </c>
      <c r="N5" s="205"/>
      <c r="O5" s="199"/>
      <c r="P5" s="199">
        <v>1.0</v>
      </c>
      <c r="Q5" s="199">
        <v>1.0</v>
      </c>
      <c r="R5" s="199">
        <v>1.0</v>
      </c>
      <c r="S5" s="199">
        <v>1.0</v>
      </c>
      <c r="T5" s="199">
        <v>1.0</v>
      </c>
      <c r="U5" s="199">
        <v>1.0</v>
      </c>
      <c r="V5" s="199">
        <v>1.0</v>
      </c>
      <c r="W5" s="199">
        <v>1.0</v>
      </c>
      <c r="X5" s="199">
        <v>1.0</v>
      </c>
      <c r="Y5" s="199">
        <v>1.0</v>
      </c>
      <c r="Z5" s="205">
        <f t="shared" si="1"/>
        <v>10</v>
      </c>
      <c r="AA5" s="201">
        <v>8000000.0</v>
      </c>
      <c r="AB5" s="206">
        <f t="shared" si="2"/>
        <v>80000000</v>
      </c>
      <c r="AC5" s="205"/>
    </row>
    <row r="6" ht="16.5" customHeight="1">
      <c r="B6" s="174"/>
      <c r="C6" s="199" t="s">
        <v>217</v>
      </c>
      <c r="D6" s="200"/>
      <c r="E6" s="200"/>
      <c r="F6" s="201"/>
      <c r="G6" s="202">
        <v>1.6E8</v>
      </c>
      <c r="H6" s="174"/>
      <c r="I6" s="200"/>
      <c r="K6" s="174"/>
      <c r="L6" s="199" t="s">
        <v>218</v>
      </c>
      <c r="M6" s="199" t="s">
        <v>219</v>
      </c>
      <c r="N6" s="199"/>
      <c r="O6" s="199"/>
      <c r="P6" s="199">
        <v>1.0</v>
      </c>
      <c r="Q6" s="199">
        <v>1.0</v>
      </c>
      <c r="R6" s="199">
        <v>1.0</v>
      </c>
      <c r="S6" s="199">
        <v>1.0</v>
      </c>
      <c r="T6" s="199">
        <v>1.0</v>
      </c>
      <c r="U6" s="199">
        <v>1.0</v>
      </c>
      <c r="V6" s="199">
        <v>1.0</v>
      </c>
      <c r="W6" s="199">
        <v>1.0</v>
      </c>
      <c r="X6" s="199">
        <v>1.0</v>
      </c>
      <c r="Y6" s="199">
        <v>1.0</v>
      </c>
      <c r="Z6" s="205">
        <f t="shared" si="1"/>
        <v>10</v>
      </c>
      <c r="AA6" s="201">
        <v>8000000.0</v>
      </c>
      <c r="AB6" s="206">
        <f t="shared" si="2"/>
        <v>80000000</v>
      </c>
      <c r="AC6" s="205"/>
    </row>
    <row r="7" ht="16.5" customHeight="1">
      <c r="B7" s="174"/>
      <c r="C7" s="199" t="s">
        <v>220</v>
      </c>
      <c r="D7" s="200"/>
      <c r="E7" s="200"/>
      <c r="F7" s="201"/>
      <c r="G7" s="202">
        <v>1.78E8</v>
      </c>
      <c r="H7" s="174"/>
      <c r="I7" s="200"/>
      <c r="K7" s="164"/>
      <c r="L7" s="207" t="s">
        <v>221</v>
      </c>
      <c r="M7" s="37"/>
      <c r="N7" s="38"/>
      <c r="O7" s="204"/>
      <c r="P7" s="204">
        <f t="shared" ref="P7:Z7" si="3">sum(P2:P6)</f>
        <v>5</v>
      </c>
      <c r="Q7" s="204">
        <f t="shared" si="3"/>
        <v>5</v>
      </c>
      <c r="R7" s="204">
        <f t="shared" si="3"/>
        <v>5</v>
      </c>
      <c r="S7" s="204">
        <f t="shared" si="3"/>
        <v>5</v>
      </c>
      <c r="T7" s="204">
        <f t="shared" si="3"/>
        <v>5</v>
      </c>
      <c r="U7" s="204">
        <f t="shared" si="3"/>
        <v>5</v>
      </c>
      <c r="V7" s="204">
        <f t="shared" si="3"/>
        <v>5</v>
      </c>
      <c r="W7" s="204">
        <f t="shared" si="3"/>
        <v>5</v>
      </c>
      <c r="X7" s="204">
        <f t="shared" si="3"/>
        <v>5</v>
      </c>
      <c r="Y7" s="204">
        <f t="shared" si="3"/>
        <v>5</v>
      </c>
      <c r="Z7" s="204">
        <f t="shared" si="3"/>
        <v>50</v>
      </c>
      <c r="AA7" s="208"/>
      <c r="AB7" s="208">
        <f>sum(AB2:AB6)</f>
        <v>400000000</v>
      </c>
      <c r="AC7" s="205"/>
    </row>
    <row r="8">
      <c r="B8" s="198" t="s">
        <v>222</v>
      </c>
      <c r="C8" s="199" t="s">
        <v>223</v>
      </c>
      <c r="D8" s="200"/>
      <c r="E8" s="200"/>
      <c r="F8" s="201"/>
      <c r="G8" s="202">
        <v>8.0E7</v>
      </c>
      <c r="H8" s="203">
        <v>8.4E7</v>
      </c>
      <c r="I8" s="200"/>
      <c r="K8" s="198" t="s">
        <v>224</v>
      </c>
      <c r="L8" s="199" t="s">
        <v>225</v>
      </c>
      <c r="M8" s="209" t="s">
        <v>226</v>
      </c>
      <c r="N8" s="199"/>
      <c r="O8" s="199"/>
      <c r="P8" s="210">
        <v>1.0</v>
      </c>
      <c r="Q8" s="210">
        <v>1.0</v>
      </c>
      <c r="R8" s="210">
        <v>1.0</v>
      </c>
      <c r="S8" s="210">
        <v>1.0</v>
      </c>
      <c r="T8" s="210">
        <v>1.0</v>
      </c>
      <c r="U8" s="210">
        <v>1.0</v>
      </c>
      <c r="V8" s="210">
        <v>1.0</v>
      </c>
      <c r="W8" s="210">
        <v>1.0</v>
      </c>
      <c r="X8" s="210">
        <v>1.0</v>
      </c>
      <c r="Y8" s="210">
        <v>1.0</v>
      </c>
      <c r="Z8" s="205">
        <f t="shared" ref="Z8:Z23" si="4">SUM(P8:Y8)</f>
        <v>10</v>
      </c>
      <c r="AA8" s="201">
        <v>8000000.0</v>
      </c>
      <c r="AB8" s="206">
        <f t="shared" ref="AB8:AB23" si="5">Z8*AA8</f>
        <v>80000000</v>
      </c>
      <c r="AC8" s="205"/>
    </row>
    <row r="9">
      <c r="B9" s="164"/>
      <c r="C9" s="199" t="s">
        <v>227</v>
      </c>
      <c r="D9" s="211" t="s">
        <v>228</v>
      </c>
      <c r="E9" s="200"/>
      <c r="F9" s="201"/>
      <c r="G9" s="202">
        <v>4000000.0</v>
      </c>
      <c r="H9" s="164"/>
      <c r="I9" s="200"/>
      <c r="K9" s="174"/>
      <c r="L9" s="199" t="s">
        <v>229</v>
      </c>
      <c r="M9" s="209" t="s">
        <v>230</v>
      </c>
      <c r="N9" s="199"/>
      <c r="O9" s="199"/>
      <c r="P9" s="210">
        <v>1.0</v>
      </c>
      <c r="Q9" s="210">
        <v>1.0</v>
      </c>
      <c r="R9" s="210">
        <v>1.0</v>
      </c>
      <c r="S9" s="210">
        <v>1.0</v>
      </c>
      <c r="T9" s="210">
        <v>1.0</v>
      </c>
      <c r="U9" s="210">
        <v>1.0</v>
      </c>
      <c r="V9" s="210">
        <v>1.0</v>
      </c>
      <c r="W9" s="210">
        <v>1.0</v>
      </c>
      <c r="X9" s="210">
        <v>1.0</v>
      </c>
      <c r="Y9" s="210">
        <v>1.0</v>
      </c>
      <c r="Z9" s="205">
        <f t="shared" si="4"/>
        <v>10</v>
      </c>
      <c r="AA9" s="201">
        <v>8000000.0</v>
      </c>
      <c r="AB9" s="206">
        <f t="shared" si="5"/>
        <v>80000000</v>
      </c>
      <c r="AC9" s="205"/>
    </row>
    <row r="10">
      <c r="B10" s="212" t="s">
        <v>60</v>
      </c>
      <c r="C10" s="213"/>
      <c r="D10" s="214"/>
      <c r="E10" s="214"/>
      <c r="F10" s="215"/>
      <c r="G10" s="216">
        <f t="shared" ref="G10:H10" si="6">SUM(G1:G9)</f>
        <v>1982000000</v>
      </c>
      <c r="H10" s="216">
        <f t="shared" si="6"/>
        <v>1982000000</v>
      </c>
      <c r="I10" s="214"/>
      <c r="K10" s="174"/>
      <c r="L10" s="199" t="s">
        <v>231</v>
      </c>
      <c r="M10" s="209" t="s">
        <v>232</v>
      </c>
      <c r="N10" s="199"/>
      <c r="O10" s="199"/>
      <c r="P10" s="210">
        <v>1.0</v>
      </c>
      <c r="Q10" s="210">
        <v>1.0</v>
      </c>
      <c r="R10" s="210">
        <v>1.0</v>
      </c>
      <c r="S10" s="210">
        <v>1.0</v>
      </c>
      <c r="T10" s="210">
        <v>1.0</v>
      </c>
      <c r="U10" s="210">
        <v>1.0</v>
      </c>
      <c r="V10" s="210">
        <v>1.0</v>
      </c>
      <c r="W10" s="210">
        <v>1.0</v>
      </c>
      <c r="X10" s="210">
        <v>1.0</v>
      </c>
      <c r="Y10" s="210">
        <v>1.0</v>
      </c>
      <c r="Z10" s="205">
        <f t="shared" si="4"/>
        <v>10</v>
      </c>
      <c r="AA10" s="201">
        <v>8000000.0</v>
      </c>
      <c r="AB10" s="206">
        <f t="shared" si="5"/>
        <v>80000000</v>
      </c>
      <c r="AC10" s="205"/>
    </row>
    <row r="11">
      <c r="A11" s="59"/>
      <c r="B11" s="59"/>
      <c r="C11" s="58"/>
      <c r="D11" s="59"/>
      <c r="E11" s="59"/>
      <c r="F11" s="58"/>
      <c r="G11" s="59"/>
      <c r="H11" s="217"/>
      <c r="I11" s="59"/>
      <c r="J11" s="59"/>
      <c r="K11" s="174"/>
      <c r="L11" s="61" t="s">
        <v>231</v>
      </c>
      <c r="M11" s="209" t="s">
        <v>233</v>
      </c>
      <c r="N11" s="61"/>
      <c r="O11" s="61"/>
      <c r="P11" s="218">
        <v>1.0</v>
      </c>
      <c r="Q11" s="218">
        <v>1.0</v>
      </c>
      <c r="R11" s="218">
        <v>1.0</v>
      </c>
      <c r="S11" s="218">
        <v>1.0</v>
      </c>
      <c r="T11" s="218">
        <v>1.0</v>
      </c>
      <c r="U11" s="218">
        <v>1.0</v>
      </c>
      <c r="V11" s="218">
        <v>1.0</v>
      </c>
      <c r="W11" s="218">
        <v>1.0</v>
      </c>
      <c r="X11" s="218">
        <v>1.0</v>
      </c>
      <c r="Y11" s="218">
        <v>1.0</v>
      </c>
      <c r="Z11" s="64">
        <f t="shared" si="4"/>
        <v>10</v>
      </c>
      <c r="AA11" s="219">
        <v>8000000.0</v>
      </c>
      <c r="AB11" s="220">
        <f t="shared" si="5"/>
        <v>80000000</v>
      </c>
      <c r="AC11" s="64"/>
    </row>
    <row r="12">
      <c r="A12" s="59"/>
      <c r="B12" s="59"/>
      <c r="C12" s="58"/>
      <c r="D12" s="59"/>
      <c r="E12" s="59"/>
      <c r="F12" s="58"/>
      <c r="G12" s="59"/>
      <c r="H12" s="217"/>
      <c r="I12" s="59"/>
      <c r="J12" s="59"/>
      <c r="K12" s="174"/>
      <c r="L12" s="61" t="s">
        <v>231</v>
      </c>
      <c r="M12" s="209" t="s">
        <v>233</v>
      </c>
      <c r="N12" s="61"/>
      <c r="O12" s="61"/>
      <c r="P12" s="218">
        <v>1.0</v>
      </c>
      <c r="Q12" s="218">
        <v>1.0</v>
      </c>
      <c r="R12" s="218">
        <v>1.0</v>
      </c>
      <c r="S12" s="218">
        <v>1.0</v>
      </c>
      <c r="T12" s="218">
        <v>1.0</v>
      </c>
      <c r="U12" s="218">
        <v>1.0</v>
      </c>
      <c r="V12" s="218">
        <v>1.0</v>
      </c>
      <c r="W12" s="218">
        <v>1.0</v>
      </c>
      <c r="X12" s="218">
        <v>1.0</v>
      </c>
      <c r="Y12" s="218">
        <v>1.0</v>
      </c>
      <c r="Z12" s="64">
        <f t="shared" si="4"/>
        <v>10</v>
      </c>
      <c r="AA12" s="219">
        <v>8000000.0</v>
      </c>
      <c r="AB12" s="220">
        <f t="shared" si="5"/>
        <v>80000000</v>
      </c>
      <c r="AC12" s="64"/>
    </row>
    <row r="13">
      <c r="A13" s="59"/>
      <c r="B13" s="59"/>
      <c r="C13" s="58"/>
      <c r="D13" s="59"/>
      <c r="E13" s="59"/>
      <c r="F13" s="58"/>
      <c r="G13" s="59"/>
      <c r="H13" s="217"/>
      <c r="I13" s="59"/>
      <c r="J13" s="59"/>
      <c r="K13" s="174"/>
      <c r="L13" s="61" t="s">
        <v>234</v>
      </c>
      <c r="M13" s="209" t="s">
        <v>235</v>
      </c>
      <c r="N13" s="61"/>
      <c r="O13" s="61"/>
      <c r="P13" s="221"/>
      <c r="Q13" s="221"/>
      <c r="R13" s="221"/>
      <c r="S13" s="218">
        <v>1.0</v>
      </c>
      <c r="T13" s="218">
        <v>1.0</v>
      </c>
      <c r="U13" s="218">
        <v>1.0</v>
      </c>
      <c r="V13" s="221"/>
      <c r="W13" s="221"/>
      <c r="X13" s="221"/>
      <c r="Y13" s="221"/>
      <c r="Z13" s="64">
        <f t="shared" si="4"/>
        <v>3</v>
      </c>
      <c r="AA13" s="219">
        <v>8000000.0</v>
      </c>
      <c r="AB13" s="220">
        <f t="shared" si="5"/>
        <v>24000000</v>
      </c>
      <c r="AC13" s="64"/>
    </row>
    <row r="14">
      <c r="A14" s="59"/>
      <c r="B14" s="59"/>
      <c r="C14" s="58"/>
      <c r="D14" s="59"/>
      <c r="E14" s="59"/>
      <c r="F14" s="58"/>
      <c r="G14" s="59"/>
      <c r="H14" s="217"/>
      <c r="I14" s="59"/>
      <c r="J14" s="59"/>
      <c r="K14" s="174"/>
      <c r="L14" s="61" t="s">
        <v>236</v>
      </c>
      <c r="M14" s="209" t="s">
        <v>237</v>
      </c>
      <c r="N14" s="61"/>
      <c r="O14" s="61"/>
      <c r="P14" s="221"/>
      <c r="Q14" s="221"/>
      <c r="R14" s="221"/>
      <c r="S14" s="218">
        <v>1.0</v>
      </c>
      <c r="T14" s="218">
        <v>1.0</v>
      </c>
      <c r="U14" s="218">
        <v>1.0</v>
      </c>
      <c r="V14" s="221"/>
      <c r="W14" s="221"/>
      <c r="X14" s="221"/>
      <c r="Y14" s="221"/>
      <c r="Z14" s="64">
        <f t="shared" si="4"/>
        <v>3</v>
      </c>
      <c r="AA14" s="219">
        <v>8000000.0</v>
      </c>
      <c r="AB14" s="220">
        <f t="shared" si="5"/>
        <v>24000000</v>
      </c>
      <c r="AC14" s="64"/>
    </row>
    <row r="15">
      <c r="A15" s="59"/>
      <c r="B15" s="59"/>
      <c r="C15" s="58"/>
      <c r="D15" s="59"/>
      <c r="E15" s="59"/>
      <c r="F15" s="58"/>
      <c r="G15" s="59"/>
      <c r="H15" s="217"/>
      <c r="I15" s="59"/>
      <c r="J15" s="59"/>
      <c r="K15" s="174"/>
      <c r="L15" s="61" t="s">
        <v>238</v>
      </c>
      <c r="M15" s="209" t="s">
        <v>239</v>
      </c>
      <c r="N15" s="61"/>
      <c r="O15" s="61"/>
      <c r="P15" s="221"/>
      <c r="Q15" s="221"/>
      <c r="R15" s="221"/>
      <c r="S15" s="218">
        <v>1.0</v>
      </c>
      <c r="T15" s="218">
        <v>1.0</v>
      </c>
      <c r="U15" s="218">
        <v>1.0</v>
      </c>
      <c r="V15" s="221"/>
      <c r="W15" s="221"/>
      <c r="X15" s="221"/>
      <c r="Y15" s="221"/>
      <c r="Z15" s="64">
        <f t="shared" si="4"/>
        <v>3</v>
      </c>
      <c r="AA15" s="219">
        <v>8000000.0</v>
      </c>
      <c r="AB15" s="220">
        <f t="shared" si="5"/>
        <v>24000000</v>
      </c>
      <c r="AC15" s="64"/>
    </row>
    <row r="16">
      <c r="A16" s="59"/>
      <c r="B16" s="59"/>
      <c r="C16" s="58"/>
      <c r="D16" s="59"/>
      <c r="E16" s="59"/>
      <c r="F16" s="58"/>
      <c r="G16" s="59"/>
      <c r="H16" s="217"/>
      <c r="I16" s="59"/>
      <c r="J16" s="59"/>
      <c r="K16" s="174"/>
      <c r="L16" s="61" t="s">
        <v>240</v>
      </c>
      <c r="M16" s="209" t="s">
        <v>241</v>
      </c>
      <c r="N16" s="61"/>
      <c r="O16" s="61"/>
      <c r="P16" s="221"/>
      <c r="Q16" s="221"/>
      <c r="R16" s="221"/>
      <c r="S16" s="218">
        <v>1.0</v>
      </c>
      <c r="T16" s="218">
        <v>1.0</v>
      </c>
      <c r="U16" s="218">
        <v>1.0</v>
      </c>
      <c r="V16" s="221"/>
      <c r="W16" s="221"/>
      <c r="X16" s="221"/>
      <c r="Y16" s="221"/>
      <c r="Z16" s="64">
        <f t="shared" si="4"/>
        <v>3</v>
      </c>
      <c r="AA16" s="219">
        <v>8000000.0</v>
      </c>
      <c r="AB16" s="220">
        <f t="shared" si="5"/>
        <v>24000000</v>
      </c>
      <c r="AC16" s="64"/>
    </row>
    <row r="17">
      <c r="A17" s="59"/>
      <c r="B17" s="59"/>
      <c r="C17" s="58"/>
      <c r="D17" s="59"/>
      <c r="E17" s="59"/>
      <c r="F17" s="58"/>
      <c r="G17" s="59"/>
      <c r="H17" s="217"/>
      <c r="I17" s="59"/>
      <c r="J17" s="59"/>
      <c r="K17" s="174"/>
      <c r="L17" s="61" t="s">
        <v>240</v>
      </c>
      <c r="M17" s="209" t="s">
        <v>241</v>
      </c>
      <c r="N17" s="61"/>
      <c r="O17" s="61"/>
      <c r="P17" s="221"/>
      <c r="Q17" s="221"/>
      <c r="R17" s="221"/>
      <c r="S17" s="218">
        <v>1.0</v>
      </c>
      <c r="T17" s="218">
        <v>1.0</v>
      </c>
      <c r="U17" s="218">
        <v>1.0</v>
      </c>
      <c r="V17" s="221"/>
      <c r="W17" s="221"/>
      <c r="X17" s="221"/>
      <c r="Y17" s="221"/>
      <c r="Z17" s="64">
        <f t="shared" si="4"/>
        <v>3</v>
      </c>
      <c r="AA17" s="219">
        <v>8000000.0</v>
      </c>
      <c r="AB17" s="220">
        <f t="shared" si="5"/>
        <v>24000000</v>
      </c>
      <c r="AC17" s="64"/>
    </row>
    <row r="18">
      <c r="A18" s="59"/>
      <c r="B18" s="59"/>
      <c r="C18" s="58"/>
      <c r="D18" s="59"/>
      <c r="E18" s="59"/>
      <c r="F18" s="58"/>
      <c r="G18" s="59"/>
      <c r="H18" s="217"/>
      <c r="I18" s="59"/>
      <c r="J18" s="59"/>
      <c r="K18" s="174"/>
      <c r="L18" s="61" t="s">
        <v>242</v>
      </c>
      <c r="M18" s="209" t="s">
        <v>243</v>
      </c>
      <c r="N18" s="61"/>
      <c r="O18" s="61"/>
      <c r="P18" s="218">
        <v>1.0</v>
      </c>
      <c r="Q18" s="218">
        <v>1.0</v>
      </c>
      <c r="R18" s="218">
        <v>1.0</v>
      </c>
      <c r="S18" s="218">
        <v>1.0</v>
      </c>
      <c r="T18" s="218">
        <v>1.0</v>
      </c>
      <c r="U18" s="218">
        <v>1.0</v>
      </c>
      <c r="V18" s="218">
        <v>1.0</v>
      </c>
      <c r="W18" s="218">
        <v>1.0</v>
      </c>
      <c r="X18" s="218">
        <v>1.0</v>
      </c>
      <c r="Y18" s="218">
        <v>1.0</v>
      </c>
      <c r="Z18" s="64">
        <f t="shared" si="4"/>
        <v>10</v>
      </c>
      <c r="AA18" s="219">
        <v>8000000.0</v>
      </c>
      <c r="AB18" s="220">
        <f t="shared" si="5"/>
        <v>80000000</v>
      </c>
      <c r="AC18" s="64"/>
    </row>
    <row r="19">
      <c r="A19" s="59"/>
      <c r="B19" s="59"/>
      <c r="C19" s="58"/>
      <c r="D19" s="59"/>
      <c r="E19" s="59"/>
      <c r="F19" s="58"/>
      <c r="G19" s="59"/>
      <c r="H19" s="217"/>
      <c r="I19" s="59"/>
      <c r="J19" s="59"/>
      <c r="K19" s="174"/>
      <c r="L19" s="61" t="s">
        <v>244</v>
      </c>
      <c r="M19" s="209" t="s">
        <v>245</v>
      </c>
      <c r="N19" s="61"/>
      <c r="O19" s="61"/>
      <c r="P19" s="218">
        <v>1.0</v>
      </c>
      <c r="Q19" s="218">
        <v>1.0</v>
      </c>
      <c r="R19" s="218">
        <v>1.0</v>
      </c>
      <c r="S19" s="218">
        <v>1.0</v>
      </c>
      <c r="T19" s="218">
        <v>1.0</v>
      </c>
      <c r="U19" s="218">
        <v>1.0</v>
      </c>
      <c r="V19" s="218">
        <v>1.0</v>
      </c>
      <c r="W19" s="218">
        <v>1.0</v>
      </c>
      <c r="X19" s="218">
        <v>1.0</v>
      </c>
      <c r="Y19" s="218">
        <v>1.0</v>
      </c>
      <c r="Z19" s="64">
        <f t="shared" si="4"/>
        <v>10</v>
      </c>
      <c r="AA19" s="219">
        <v>8000000.0</v>
      </c>
      <c r="AB19" s="220">
        <f t="shared" si="5"/>
        <v>80000000</v>
      </c>
      <c r="AC19" s="64"/>
    </row>
    <row r="20">
      <c r="A20" s="59"/>
      <c r="B20" s="59"/>
      <c r="C20" s="58"/>
      <c r="D20" s="59"/>
      <c r="E20" s="59"/>
      <c r="F20" s="58"/>
      <c r="G20" s="59"/>
      <c r="H20" s="217"/>
      <c r="I20" s="59"/>
      <c r="J20" s="59"/>
      <c r="K20" s="174"/>
      <c r="L20" s="61" t="s">
        <v>244</v>
      </c>
      <c r="M20" s="209" t="s">
        <v>246</v>
      </c>
      <c r="N20" s="61"/>
      <c r="O20" s="61"/>
      <c r="P20" s="218">
        <v>1.0</v>
      </c>
      <c r="Q20" s="218">
        <v>1.0</v>
      </c>
      <c r="R20" s="218">
        <v>1.0</v>
      </c>
      <c r="S20" s="218">
        <v>1.0</v>
      </c>
      <c r="T20" s="218">
        <v>1.0</v>
      </c>
      <c r="U20" s="218">
        <v>1.0</v>
      </c>
      <c r="V20" s="218">
        <v>1.0</v>
      </c>
      <c r="W20" s="218">
        <v>1.0</v>
      </c>
      <c r="X20" s="218">
        <v>1.0</v>
      </c>
      <c r="Y20" s="218">
        <v>1.0</v>
      </c>
      <c r="Z20" s="64">
        <f t="shared" si="4"/>
        <v>10</v>
      </c>
      <c r="AA20" s="219">
        <v>8000000.0</v>
      </c>
      <c r="AB20" s="220">
        <f t="shared" si="5"/>
        <v>80000000</v>
      </c>
      <c r="AC20" s="64"/>
    </row>
    <row r="21">
      <c r="A21" s="59"/>
      <c r="B21" s="59"/>
      <c r="C21" s="58"/>
      <c r="D21" s="59"/>
      <c r="E21" s="59"/>
      <c r="F21" s="58"/>
      <c r="G21" s="59"/>
      <c r="H21" s="217"/>
      <c r="I21" s="59"/>
      <c r="J21" s="59"/>
      <c r="K21" s="174"/>
      <c r="L21" s="61" t="s">
        <v>244</v>
      </c>
      <c r="M21" s="209" t="s">
        <v>246</v>
      </c>
      <c r="N21" s="61"/>
      <c r="O21" s="61"/>
      <c r="P21" s="218">
        <v>1.0</v>
      </c>
      <c r="Q21" s="218">
        <v>1.0</v>
      </c>
      <c r="R21" s="218">
        <v>1.0</v>
      </c>
      <c r="S21" s="218">
        <v>1.0</v>
      </c>
      <c r="T21" s="218">
        <v>1.0</v>
      </c>
      <c r="U21" s="218">
        <v>1.0</v>
      </c>
      <c r="V21" s="218">
        <v>1.0</v>
      </c>
      <c r="W21" s="218">
        <v>1.0</v>
      </c>
      <c r="X21" s="218">
        <v>1.0</v>
      </c>
      <c r="Y21" s="218">
        <v>1.0</v>
      </c>
      <c r="Z21" s="64">
        <f t="shared" si="4"/>
        <v>10</v>
      </c>
      <c r="AA21" s="219">
        <v>8000000.0</v>
      </c>
      <c r="AB21" s="220">
        <f t="shared" si="5"/>
        <v>80000000</v>
      </c>
      <c r="AC21" s="64"/>
    </row>
    <row r="22">
      <c r="A22" s="59"/>
      <c r="B22" s="59"/>
      <c r="C22" s="58"/>
      <c r="D22" s="59"/>
      <c r="E22" s="59"/>
      <c r="F22" s="58"/>
      <c r="G22" s="59"/>
      <c r="H22" s="217"/>
      <c r="I22" s="59"/>
      <c r="J22" s="59"/>
      <c r="K22" s="174"/>
      <c r="L22" s="61" t="s">
        <v>244</v>
      </c>
      <c r="M22" s="209" t="s">
        <v>246</v>
      </c>
      <c r="N22" s="64"/>
      <c r="O22" s="61"/>
      <c r="P22" s="221"/>
      <c r="Q22" s="221"/>
      <c r="R22" s="221"/>
      <c r="S22" s="221"/>
      <c r="T22" s="218">
        <v>1.0</v>
      </c>
      <c r="U22" s="218">
        <v>1.0</v>
      </c>
      <c r="V22" s="218">
        <v>1.0</v>
      </c>
      <c r="W22" s="218">
        <v>1.0</v>
      </c>
      <c r="X22" s="218">
        <v>1.0</v>
      </c>
      <c r="Y22" s="218">
        <v>1.0</v>
      </c>
      <c r="Z22" s="64">
        <f t="shared" si="4"/>
        <v>6</v>
      </c>
      <c r="AA22" s="219">
        <v>8000000.0</v>
      </c>
      <c r="AB22" s="220">
        <f t="shared" si="5"/>
        <v>48000000</v>
      </c>
      <c r="AC22" s="64"/>
    </row>
    <row r="23">
      <c r="A23" s="59"/>
      <c r="B23" s="59"/>
      <c r="C23" s="58"/>
      <c r="D23" s="59"/>
      <c r="E23" s="59"/>
      <c r="F23" s="58"/>
      <c r="G23" s="59"/>
      <c r="H23" s="217"/>
      <c r="I23" s="59"/>
      <c r="J23" s="59"/>
      <c r="K23" s="174"/>
      <c r="L23" s="61" t="s">
        <v>244</v>
      </c>
      <c r="M23" s="209" t="s">
        <v>246</v>
      </c>
      <c r="N23" s="64"/>
      <c r="O23" s="61"/>
      <c r="P23" s="221"/>
      <c r="Q23" s="221"/>
      <c r="R23" s="221"/>
      <c r="S23" s="221"/>
      <c r="T23" s="218">
        <v>1.0</v>
      </c>
      <c r="U23" s="218">
        <v>1.0</v>
      </c>
      <c r="V23" s="218">
        <v>1.0</v>
      </c>
      <c r="W23" s="218">
        <v>1.0</v>
      </c>
      <c r="X23" s="218">
        <v>1.0</v>
      </c>
      <c r="Y23" s="218">
        <v>1.0</v>
      </c>
      <c r="Z23" s="64">
        <f t="shared" si="4"/>
        <v>6</v>
      </c>
      <c r="AA23" s="219">
        <v>8000000.0</v>
      </c>
      <c r="AB23" s="220">
        <f t="shared" si="5"/>
        <v>48000000</v>
      </c>
      <c r="AC23" s="64"/>
    </row>
    <row r="24" ht="16.5" customHeight="1">
      <c r="C24" s="222"/>
      <c r="F24" s="222"/>
      <c r="H24" s="223"/>
      <c r="K24" s="164"/>
      <c r="L24" s="207" t="s">
        <v>221</v>
      </c>
      <c r="M24" s="37"/>
      <c r="N24" s="38"/>
      <c r="O24" s="204"/>
      <c r="P24" s="204">
        <f t="shared" ref="P24:Z24" si="7">sum(P8:P23)</f>
        <v>9</v>
      </c>
      <c r="Q24" s="204">
        <f t="shared" si="7"/>
        <v>9</v>
      </c>
      <c r="R24" s="204">
        <f t="shared" si="7"/>
        <v>9</v>
      </c>
      <c r="S24" s="204">
        <f t="shared" si="7"/>
        <v>14</v>
      </c>
      <c r="T24" s="204">
        <f t="shared" si="7"/>
        <v>16</v>
      </c>
      <c r="U24" s="204">
        <f t="shared" si="7"/>
        <v>16</v>
      </c>
      <c r="V24" s="204">
        <f t="shared" si="7"/>
        <v>11</v>
      </c>
      <c r="W24" s="204">
        <f t="shared" si="7"/>
        <v>11</v>
      </c>
      <c r="X24" s="204">
        <f t="shared" si="7"/>
        <v>11</v>
      </c>
      <c r="Y24" s="204">
        <f t="shared" si="7"/>
        <v>11</v>
      </c>
      <c r="Z24" s="204">
        <f t="shared" si="7"/>
        <v>117</v>
      </c>
      <c r="AA24" s="208"/>
      <c r="AB24" s="224">
        <f>sum(AB8:AB23)</f>
        <v>936000000</v>
      </c>
      <c r="AC24" s="64"/>
    </row>
    <row r="25" ht="16.5" customHeight="1">
      <c r="C25" s="222"/>
      <c r="F25" s="222"/>
      <c r="H25" s="223"/>
      <c r="K25" s="198" t="s">
        <v>247</v>
      </c>
      <c r="L25" s="199" t="s">
        <v>248</v>
      </c>
      <c r="M25" s="199" t="s">
        <v>249</v>
      </c>
      <c r="N25" s="199"/>
      <c r="O25" s="199"/>
      <c r="P25" s="199">
        <v>1.0</v>
      </c>
      <c r="Q25" s="199">
        <v>1.0</v>
      </c>
      <c r="R25" s="199">
        <v>1.0</v>
      </c>
      <c r="S25" s="199">
        <v>1.0</v>
      </c>
      <c r="T25" s="199">
        <v>1.0</v>
      </c>
      <c r="U25" s="199">
        <v>1.0</v>
      </c>
      <c r="V25" s="199">
        <v>1.0</v>
      </c>
      <c r="W25" s="199">
        <v>1.0</v>
      </c>
      <c r="X25" s="199">
        <v>1.0</v>
      </c>
      <c r="Y25" s="199">
        <v>1.0</v>
      </c>
      <c r="Z25" s="205">
        <f t="shared" ref="Z25:Z32" si="8">SUM(P25:Y25)</f>
        <v>10</v>
      </c>
      <c r="AA25" s="201">
        <v>8000000.0</v>
      </c>
      <c r="AB25" s="206">
        <f t="shared" ref="AB25:AB32" si="9">Z25*AA25</f>
        <v>80000000</v>
      </c>
      <c r="AC25" s="64"/>
    </row>
    <row r="26" ht="16.5" customHeight="1">
      <c r="C26" s="222"/>
      <c r="F26" s="222"/>
      <c r="H26" s="223"/>
      <c r="K26" s="174"/>
      <c r="L26" s="199" t="s">
        <v>248</v>
      </c>
      <c r="M26" s="199" t="s">
        <v>250</v>
      </c>
      <c r="N26" s="199"/>
      <c r="O26" s="199"/>
      <c r="P26" s="199">
        <v>1.0</v>
      </c>
      <c r="Q26" s="199">
        <v>1.0</v>
      </c>
      <c r="R26" s="199">
        <v>1.0</v>
      </c>
      <c r="S26" s="199">
        <v>1.0</v>
      </c>
      <c r="T26" s="199">
        <v>1.0</v>
      </c>
      <c r="U26" s="199">
        <v>1.0</v>
      </c>
      <c r="V26" s="199">
        <v>1.0</v>
      </c>
      <c r="W26" s="199">
        <v>1.0</v>
      </c>
      <c r="X26" s="199">
        <v>1.0</v>
      </c>
      <c r="Y26" s="199">
        <v>1.0</v>
      </c>
      <c r="Z26" s="205">
        <f t="shared" si="8"/>
        <v>10</v>
      </c>
      <c r="AA26" s="201">
        <v>8000000.0</v>
      </c>
      <c r="AB26" s="206">
        <f t="shared" si="9"/>
        <v>80000000</v>
      </c>
      <c r="AC26" s="205"/>
    </row>
    <row r="27" ht="16.5" customHeight="1">
      <c r="C27" s="222"/>
      <c r="F27" s="222"/>
      <c r="H27" s="223"/>
      <c r="K27" s="174"/>
      <c r="L27" s="199" t="s">
        <v>251</v>
      </c>
      <c r="M27" s="199" t="s">
        <v>252</v>
      </c>
      <c r="N27" s="199"/>
      <c r="O27" s="199"/>
      <c r="P27" s="199">
        <v>1.0</v>
      </c>
      <c r="Q27" s="199">
        <v>1.0</v>
      </c>
      <c r="R27" s="199">
        <v>1.0</v>
      </c>
      <c r="S27" s="199">
        <v>1.0</v>
      </c>
      <c r="T27" s="199">
        <v>1.0</v>
      </c>
      <c r="U27" s="199">
        <v>1.0</v>
      </c>
      <c r="V27" s="199">
        <v>1.0</v>
      </c>
      <c r="W27" s="199">
        <v>1.0</v>
      </c>
      <c r="X27" s="199">
        <v>1.0</v>
      </c>
      <c r="Y27" s="199">
        <v>1.0</v>
      </c>
      <c r="Z27" s="205">
        <f t="shared" si="8"/>
        <v>10</v>
      </c>
      <c r="AA27" s="201">
        <v>8000000.0</v>
      </c>
      <c r="AB27" s="206">
        <f t="shared" si="9"/>
        <v>80000000</v>
      </c>
      <c r="AC27" s="205"/>
    </row>
    <row r="28" ht="16.5" customHeight="1">
      <c r="C28" s="222"/>
      <c r="F28" s="222"/>
      <c r="H28" s="223"/>
      <c r="K28" s="164"/>
      <c r="L28" s="199" t="s">
        <v>251</v>
      </c>
      <c r="M28" s="199" t="s">
        <v>253</v>
      </c>
      <c r="N28" s="199"/>
      <c r="O28" s="199"/>
      <c r="P28" s="199">
        <v>1.0</v>
      </c>
      <c r="Q28" s="199">
        <v>1.0</v>
      </c>
      <c r="R28" s="199">
        <v>1.0</v>
      </c>
      <c r="S28" s="199">
        <v>1.0</v>
      </c>
      <c r="T28" s="199">
        <v>1.0</v>
      </c>
      <c r="U28" s="199">
        <v>1.0</v>
      </c>
      <c r="V28" s="199">
        <v>1.0</v>
      </c>
      <c r="W28" s="199">
        <v>1.0</v>
      </c>
      <c r="X28" s="199">
        <v>1.0</v>
      </c>
      <c r="Y28" s="199">
        <v>1.0</v>
      </c>
      <c r="Z28" s="205">
        <f t="shared" si="8"/>
        <v>10</v>
      </c>
      <c r="AA28" s="201">
        <v>8000000.0</v>
      </c>
      <c r="AB28" s="206">
        <f t="shared" si="9"/>
        <v>80000000</v>
      </c>
      <c r="AC28" s="205"/>
    </row>
    <row r="29" ht="16.5" customHeight="1">
      <c r="C29" s="222"/>
      <c r="F29" s="222"/>
      <c r="H29" s="223"/>
      <c r="K29" s="225" t="s">
        <v>254</v>
      </c>
      <c r="L29" s="199" t="s">
        <v>255</v>
      </c>
      <c r="M29" s="199" t="s">
        <v>253</v>
      </c>
      <c r="N29" s="199"/>
      <c r="O29" s="199"/>
      <c r="P29" s="199">
        <v>1.0</v>
      </c>
      <c r="Q29" s="199">
        <v>1.0</v>
      </c>
      <c r="R29" s="199">
        <v>1.0</v>
      </c>
      <c r="S29" s="226">
        <v>0.5</v>
      </c>
      <c r="T29" s="226">
        <v>0.5</v>
      </c>
      <c r="U29" s="226">
        <v>0.5</v>
      </c>
      <c r="V29" s="226">
        <v>0.5</v>
      </c>
      <c r="W29" s="226">
        <v>0.5</v>
      </c>
      <c r="X29" s="226">
        <v>0.5</v>
      </c>
      <c r="Y29" s="226">
        <v>0.5</v>
      </c>
      <c r="Z29" s="205">
        <f t="shared" si="8"/>
        <v>6.5</v>
      </c>
      <c r="AA29" s="201">
        <v>8000000.0</v>
      </c>
      <c r="AB29" s="206">
        <f t="shared" si="9"/>
        <v>52000000</v>
      </c>
      <c r="AC29" s="205"/>
    </row>
    <row r="30" ht="16.5" customHeight="1">
      <c r="C30" s="222"/>
      <c r="F30" s="222"/>
      <c r="H30" s="223"/>
      <c r="K30" s="174"/>
      <c r="L30" s="199" t="s">
        <v>255</v>
      </c>
      <c r="M30" s="199" t="s">
        <v>256</v>
      </c>
      <c r="N30" s="199"/>
      <c r="O30" s="199"/>
      <c r="P30" s="199">
        <v>1.0</v>
      </c>
      <c r="Q30" s="199">
        <v>1.0</v>
      </c>
      <c r="R30" s="199">
        <v>1.0</v>
      </c>
      <c r="S30" s="227"/>
      <c r="T30" s="227"/>
      <c r="U30" s="227"/>
      <c r="V30" s="227"/>
      <c r="W30" s="227"/>
      <c r="X30" s="227"/>
      <c r="Y30" s="227"/>
      <c r="Z30" s="205">
        <f t="shared" si="8"/>
        <v>3</v>
      </c>
      <c r="AA30" s="201">
        <v>8000000.0</v>
      </c>
      <c r="AB30" s="206">
        <f t="shared" si="9"/>
        <v>24000000</v>
      </c>
      <c r="AC30" s="205"/>
    </row>
    <row r="31" ht="16.5" customHeight="1">
      <c r="C31" s="222"/>
      <c r="F31" s="222"/>
      <c r="H31" s="223"/>
      <c r="K31" s="174"/>
      <c r="L31" s="199" t="s">
        <v>255</v>
      </c>
      <c r="M31" s="199" t="s">
        <v>257</v>
      </c>
      <c r="N31" s="199"/>
      <c r="O31" s="199"/>
      <c r="P31" s="199">
        <v>1.0</v>
      </c>
      <c r="Q31" s="199">
        <v>1.0</v>
      </c>
      <c r="R31" s="199">
        <v>1.0</v>
      </c>
      <c r="S31" s="227"/>
      <c r="T31" s="227"/>
      <c r="U31" s="227"/>
      <c r="V31" s="227"/>
      <c r="W31" s="227"/>
      <c r="X31" s="227"/>
      <c r="Y31" s="227"/>
      <c r="Z31" s="205">
        <f t="shared" si="8"/>
        <v>3</v>
      </c>
      <c r="AA31" s="201">
        <v>8000000.0</v>
      </c>
      <c r="AB31" s="206">
        <f t="shared" si="9"/>
        <v>24000000</v>
      </c>
      <c r="AC31" s="205"/>
    </row>
    <row r="32" ht="16.5" customHeight="1">
      <c r="C32" s="222"/>
      <c r="F32" s="222"/>
      <c r="H32" s="223"/>
      <c r="K32" s="174"/>
      <c r="L32" s="199" t="s">
        <v>255</v>
      </c>
      <c r="M32" s="199" t="s">
        <v>258</v>
      </c>
      <c r="N32" s="199"/>
      <c r="O32" s="199"/>
      <c r="P32" s="199">
        <v>1.0</v>
      </c>
      <c r="Q32" s="199">
        <v>1.0</v>
      </c>
      <c r="R32" s="199">
        <v>1.0</v>
      </c>
      <c r="S32" s="227"/>
      <c r="T32" s="227"/>
      <c r="U32" s="227"/>
      <c r="V32" s="227"/>
      <c r="W32" s="227"/>
      <c r="X32" s="227"/>
      <c r="Y32" s="227"/>
      <c r="Z32" s="205">
        <f t="shared" si="8"/>
        <v>3</v>
      </c>
      <c r="AA32" s="201">
        <v>8000000.0</v>
      </c>
      <c r="AB32" s="206">
        <f t="shared" si="9"/>
        <v>24000000</v>
      </c>
      <c r="AC32" s="205"/>
    </row>
    <row r="33">
      <c r="C33" s="222"/>
      <c r="F33" s="222"/>
      <c r="H33" s="223"/>
      <c r="K33" s="228"/>
      <c r="L33" s="207" t="s">
        <v>221</v>
      </c>
      <c r="M33" s="37"/>
      <c r="N33" s="38"/>
      <c r="O33" s="204"/>
      <c r="P33" s="204">
        <f t="shared" ref="P33:Z33" si="10">sum(P25:P32)</f>
        <v>8</v>
      </c>
      <c r="Q33" s="204">
        <f t="shared" si="10"/>
        <v>8</v>
      </c>
      <c r="R33" s="204">
        <f t="shared" si="10"/>
        <v>8</v>
      </c>
      <c r="S33" s="204">
        <f t="shared" si="10"/>
        <v>4.5</v>
      </c>
      <c r="T33" s="204">
        <f t="shared" si="10"/>
        <v>4.5</v>
      </c>
      <c r="U33" s="204">
        <f t="shared" si="10"/>
        <v>4.5</v>
      </c>
      <c r="V33" s="204">
        <f t="shared" si="10"/>
        <v>4.5</v>
      </c>
      <c r="W33" s="204">
        <f t="shared" si="10"/>
        <v>4.5</v>
      </c>
      <c r="X33" s="204">
        <f t="shared" si="10"/>
        <v>4.5</v>
      </c>
      <c r="Y33" s="204">
        <f t="shared" si="10"/>
        <v>4.5</v>
      </c>
      <c r="Z33" s="204">
        <f t="shared" si="10"/>
        <v>55.5</v>
      </c>
      <c r="AA33" s="208"/>
      <c r="AB33" s="208">
        <f>sum(AB25:AB32)</f>
        <v>444000000</v>
      </c>
      <c r="AC33" s="205"/>
    </row>
    <row r="34">
      <c r="C34" s="222"/>
      <c r="F34" s="222"/>
      <c r="H34" s="223"/>
      <c r="K34" s="225" t="s">
        <v>222</v>
      </c>
      <c r="L34" s="199" t="s">
        <v>222</v>
      </c>
      <c r="M34" s="199"/>
      <c r="N34" s="199" t="s">
        <v>259</v>
      </c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>
        <v>1.0</v>
      </c>
      <c r="AA34" s="201">
        <v>7.2E7</v>
      </c>
      <c r="AB34" s="206">
        <f t="shared" ref="AB34:AB35" si="11">Z34*AA34</f>
        <v>72000000</v>
      </c>
      <c r="AC34" s="205"/>
    </row>
    <row r="35">
      <c r="C35" s="222"/>
      <c r="F35" s="222"/>
      <c r="H35" s="223"/>
      <c r="K35" s="174"/>
      <c r="L35" s="199" t="s">
        <v>222</v>
      </c>
      <c r="M35" s="199"/>
      <c r="N35" s="199" t="s">
        <v>260</v>
      </c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>
        <v>1.0</v>
      </c>
      <c r="AA35" s="201">
        <v>3600000.0</v>
      </c>
      <c r="AB35" s="206">
        <f t="shared" si="11"/>
        <v>3600000</v>
      </c>
      <c r="AC35" s="205"/>
    </row>
    <row r="36">
      <c r="C36" s="222"/>
      <c r="F36" s="222"/>
      <c r="H36" s="223"/>
      <c r="K36" s="164"/>
      <c r="L36" s="207" t="s">
        <v>221</v>
      </c>
      <c r="M36" s="37"/>
      <c r="N36" s="38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30"/>
      <c r="AB36" s="230">
        <f>sum(AB34:AB35)</f>
        <v>75600000</v>
      </c>
      <c r="AC36" s="205"/>
    </row>
    <row r="37">
      <c r="C37" s="222"/>
      <c r="F37" s="222"/>
      <c r="H37" s="223"/>
      <c r="K37" s="207" t="s">
        <v>60</v>
      </c>
      <c r="L37" s="37"/>
      <c r="M37" s="37"/>
      <c r="N37" s="38"/>
      <c r="O37" s="229"/>
      <c r="P37" s="231">
        <f t="shared" ref="P37:Z37" si="12">SUM(P7,P24,P33,P36)</f>
        <v>22</v>
      </c>
      <c r="Q37" s="231">
        <f t="shared" si="12"/>
        <v>22</v>
      </c>
      <c r="R37" s="231">
        <f t="shared" si="12"/>
        <v>22</v>
      </c>
      <c r="S37" s="231">
        <f t="shared" si="12"/>
        <v>23.5</v>
      </c>
      <c r="T37" s="231">
        <f t="shared" si="12"/>
        <v>25.5</v>
      </c>
      <c r="U37" s="231">
        <f t="shared" si="12"/>
        <v>25.5</v>
      </c>
      <c r="V37" s="231">
        <f t="shared" si="12"/>
        <v>20.5</v>
      </c>
      <c r="W37" s="231">
        <f t="shared" si="12"/>
        <v>20.5</v>
      </c>
      <c r="X37" s="231">
        <f t="shared" si="12"/>
        <v>20.5</v>
      </c>
      <c r="Y37" s="231">
        <f t="shared" si="12"/>
        <v>20.5</v>
      </c>
      <c r="Z37" s="231">
        <f t="shared" si="12"/>
        <v>222.5</v>
      </c>
      <c r="AA37" s="230"/>
      <c r="AB37" s="230">
        <f>SUM(AB7,AB24,AB33,AB36)</f>
        <v>1855600000</v>
      </c>
      <c r="AC37" s="205"/>
    </row>
    <row r="38">
      <c r="C38" s="222"/>
      <c r="F38" s="222"/>
      <c r="H38" s="223"/>
      <c r="K38" s="207" t="s">
        <v>261</v>
      </c>
      <c r="L38" s="37"/>
      <c r="M38" s="37"/>
      <c r="N38" s="38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30"/>
      <c r="AB38" s="230">
        <f>AB37*1.1</f>
        <v>2041160000</v>
      </c>
      <c r="AC38" s="205"/>
    </row>
    <row r="39">
      <c r="C39" s="222"/>
      <c r="F39" s="222"/>
      <c r="H39" s="223"/>
      <c r="AA39" s="223"/>
      <c r="AB39" s="223"/>
      <c r="AC39" s="232"/>
    </row>
    <row r="40">
      <c r="C40" s="222"/>
      <c r="F40" s="222"/>
      <c r="H40" s="223"/>
      <c r="AA40" s="223"/>
      <c r="AB40" s="223"/>
      <c r="AC40" s="232"/>
    </row>
    <row r="41">
      <c r="C41" s="222"/>
      <c r="F41" s="222"/>
      <c r="H41" s="223"/>
      <c r="AA41" s="223"/>
      <c r="AB41" s="223"/>
      <c r="AC41" s="232"/>
    </row>
    <row r="42">
      <c r="C42" s="222"/>
      <c r="F42" s="222"/>
      <c r="H42" s="223"/>
      <c r="AA42" s="223"/>
      <c r="AB42" s="223"/>
      <c r="AC42" s="232"/>
    </row>
    <row r="43">
      <c r="C43" s="222"/>
      <c r="F43" s="222"/>
      <c r="H43" s="223"/>
      <c r="AA43" s="223"/>
      <c r="AB43" s="223"/>
      <c r="AC43" s="232"/>
    </row>
    <row r="44">
      <c r="C44" s="222"/>
      <c r="F44" s="222"/>
      <c r="H44" s="223"/>
      <c r="AA44" s="223"/>
      <c r="AB44" s="223"/>
      <c r="AC44" s="232"/>
    </row>
    <row r="45">
      <c r="C45" s="222"/>
      <c r="F45" s="222"/>
      <c r="H45" s="223"/>
      <c r="AA45" s="223"/>
      <c r="AB45" s="223"/>
      <c r="AC45" s="232"/>
    </row>
    <row r="46">
      <c r="C46" s="222"/>
      <c r="F46" s="222"/>
      <c r="H46" s="223"/>
      <c r="AA46" s="223"/>
      <c r="AB46" s="223"/>
      <c r="AC46" s="232"/>
    </row>
    <row r="47">
      <c r="C47" s="222"/>
      <c r="F47" s="222"/>
      <c r="H47" s="223"/>
      <c r="AA47" s="223"/>
      <c r="AB47" s="223"/>
      <c r="AC47" s="232"/>
    </row>
    <row r="48">
      <c r="C48" s="222"/>
      <c r="F48" s="222"/>
      <c r="H48" s="223"/>
      <c r="AA48" s="223"/>
      <c r="AB48" s="223"/>
      <c r="AC48" s="232"/>
    </row>
    <row r="49">
      <c r="C49" s="222"/>
      <c r="F49" s="222"/>
      <c r="H49" s="223"/>
      <c r="AA49" s="223"/>
      <c r="AB49" s="223"/>
      <c r="AC49" s="232"/>
    </row>
    <row r="50">
      <c r="C50" s="222"/>
      <c r="F50" s="222"/>
      <c r="H50" s="223"/>
      <c r="AA50" s="223"/>
      <c r="AB50" s="223"/>
      <c r="AC50" s="232"/>
    </row>
    <row r="51">
      <c r="C51" s="222"/>
      <c r="F51" s="222"/>
      <c r="H51" s="223"/>
      <c r="AA51" s="223"/>
      <c r="AB51" s="223"/>
      <c r="AC51" s="232"/>
    </row>
    <row r="52">
      <c r="C52" s="222"/>
      <c r="F52" s="222"/>
      <c r="H52" s="223"/>
      <c r="AA52" s="223"/>
      <c r="AB52" s="223"/>
      <c r="AC52" s="232"/>
    </row>
    <row r="53">
      <c r="C53" s="222"/>
      <c r="F53" s="222"/>
      <c r="H53" s="223"/>
      <c r="AA53" s="223"/>
      <c r="AB53" s="223"/>
      <c r="AC53" s="232"/>
    </row>
    <row r="54">
      <c r="C54" s="222"/>
      <c r="F54" s="222"/>
      <c r="H54" s="223"/>
      <c r="AA54" s="223"/>
      <c r="AB54" s="223"/>
      <c r="AC54" s="232"/>
    </row>
    <row r="55">
      <c r="C55" s="222"/>
      <c r="F55" s="222"/>
      <c r="H55" s="223"/>
      <c r="AA55" s="223"/>
      <c r="AB55" s="223"/>
      <c r="AC55" s="232"/>
    </row>
    <row r="56">
      <c r="C56" s="222"/>
      <c r="F56" s="222"/>
      <c r="H56" s="223"/>
      <c r="AA56" s="223"/>
      <c r="AB56" s="223"/>
      <c r="AC56" s="232"/>
    </row>
    <row r="57">
      <c r="C57" s="222"/>
      <c r="F57" s="222"/>
      <c r="H57" s="223"/>
      <c r="AA57" s="223"/>
      <c r="AB57" s="223"/>
      <c r="AC57" s="232"/>
    </row>
    <row r="58">
      <c r="C58" s="222"/>
      <c r="F58" s="222"/>
      <c r="H58" s="223"/>
      <c r="AA58" s="223"/>
      <c r="AB58" s="223"/>
      <c r="AC58" s="232"/>
    </row>
    <row r="59">
      <c r="C59" s="222"/>
      <c r="F59" s="222"/>
      <c r="H59" s="223"/>
      <c r="AA59" s="223"/>
      <c r="AB59" s="223"/>
      <c r="AC59" s="232"/>
    </row>
    <row r="60">
      <c r="C60" s="222"/>
      <c r="F60" s="222"/>
      <c r="H60" s="223"/>
      <c r="AA60" s="223"/>
      <c r="AB60" s="223"/>
      <c r="AC60" s="232"/>
    </row>
    <row r="61">
      <c r="C61" s="222"/>
      <c r="F61" s="222"/>
      <c r="H61" s="223"/>
      <c r="AA61" s="223"/>
      <c r="AB61" s="223"/>
      <c r="AC61" s="232"/>
    </row>
    <row r="62">
      <c r="C62" s="222"/>
      <c r="F62" s="222"/>
      <c r="H62" s="223"/>
      <c r="AA62" s="223"/>
      <c r="AB62" s="223"/>
      <c r="AC62" s="232"/>
    </row>
    <row r="63">
      <c r="C63" s="222"/>
      <c r="F63" s="222"/>
      <c r="H63" s="223"/>
      <c r="AA63" s="223"/>
      <c r="AB63" s="223"/>
      <c r="AC63" s="232"/>
    </row>
    <row r="64">
      <c r="C64" s="222"/>
      <c r="F64" s="222"/>
      <c r="H64" s="223"/>
      <c r="AA64" s="223"/>
      <c r="AB64" s="223"/>
      <c r="AC64" s="232"/>
    </row>
    <row r="65">
      <c r="C65" s="222"/>
      <c r="F65" s="222"/>
      <c r="H65" s="223"/>
      <c r="AA65" s="223"/>
      <c r="AB65" s="223"/>
      <c r="AC65" s="232"/>
    </row>
    <row r="66">
      <c r="C66" s="222"/>
      <c r="F66" s="222"/>
      <c r="H66" s="223"/>
      <c r="AA66" s="223"/>
      <c r="AB66" s="223"/>
      <c r="AC66" s="232"/>
    </row>
    <row r="67">
      <c r="C67" s="222"/>
      <c r="F67" s="222"/>
      <c r="H67" s="223"/>
      <c r="AA67" s="223"/>
      <c r="AB67" s="223"/>
      <c r="AC67" s="232"/>
    </row>
    <row r="68">
      <c r="C68" s="222"/>
      <c r="F68" s="222"/>
      <c r="H68" s="223"/>
      <c r="AA68" s="223"/>
      <c r="AB68" s="223"/>
      <c r="AC68" s="232"/>
    </row>
    <row r="69">
      <c r="C69" s="222"/>
      <c r="F69" s="222"/>
      <c r="H69" s="223"/>
      <c r="AA69" s="223"/>
      <c r="AB69" s="223"/>
      <c r="AC69" s="232"/>
    </row>
    <row r="70">
      <c r="C70" s="222"/>
      <c r="F70" s="222"/>
      <c r="H70" s="223"/>
      <c r="AA70" s="223"/>
      <c r="AB70" s="223"/>
      <c r="AC70" s="232"/>
    </row>
    <row r="71">
      <c r="C71" s="222"/>
      <c r="F71" s="222"/>
      <c r="H71" s="223"/>
      <c r="AA71" s="223"/>
      <c r="AB71" s="223"/>
      <c r="AC71" s="232"/>
    </row>
    <row r="72">
      <c r="C72" s="222"/>
      <c r="F72" s="222"/>
      <c r="H72" s="223"/>
      <c r="AA72" s="223"/>
      <c r="AB72" s="223"/>
      <c r="AC72" s="232"/>
    </row>
    <row r="73">
      <c r="C73" s="222"/>
      <c r="F73" s="222"/>
      <c r="H73" s="223"/>
      <c r="AA73" s="223"/>
      <c r="AB73" s="223"/>
      <c r="AC73" s="232"/>
    </row>
    <row r="74">
      <c r="C74" s="222"/>
      <c r="F74" s="222"/>
      <c r="H74" s="223"/>
      <c r="AA74" s="223"/>
      <c r="AB74" s="223"/>
      <c r="AC74" s="232"/>
    </row>
    <row r="75">
      <c r="C75" s="222"/>
      <c r="F75" s="222"/>
      <c r="H75" s="223"/>
      <c r="AA75" s="223"/>
      <c r="AB75" s="223"/>
      <c r="AC75" s="232"/>
    </row>
    <row r="76">
      <c r="C76" s="222"/>
      <c r="F76" s="222"/>
      <c r="H76" s="223"/>
      <c r="AA76" s="223"/>
      <c r="AB76" s="223"/>
      <c r="AC76" s="232"/>
    </row>
    <row r="77">
      <c r="C77" s="222"/>
      <c r="F77" s="222"/>
      <c r="H77" s="223"/>
      <c r="AA77" s="223"/>
      <c r="AB77" s="223"/>
      <c r="AC77" s="232"/>
    </row>
    <row r="78">
      <c r="C78" s="222"/>
      <c r="F78" s="222"/>
      <c r="H78" s="223"/>
      <c r="AA78" s="223"/>
      <c r="AB78" s="223"/>
      <c r="AC78" s="232"/>
    </row>
    <row r="79">
      <c r="C79" s="222"/>
      <c r="F79" s="222"/>
      <c r="H79" s="223"/>
      <c r="AA79" s="223"/>
      <c r="AB79" s="223"/>
      <c r="AC79" s="232"/>
    </row>
    <row r="80">
      <c r="C80" s="222"/>
      <c r="F80" s="222"/>
      <c r="H80" s="223"/>
      <c r="AA80" s="223"/>
      <c r="AB80" s="223"/>
      <c r="AC80" s="232"/>
    </row>
    <row r="81">
      <c r="C81" s="222"/>
      <c r="F81" s="222"/>
      <c r="H81" s="223"/>
      <c r="AA81" s="223"/>
      <c r="AB81" s="223"/>
      <c r="AC81" s="232"/>
    </row>
    <row r="82">
      <c r="C82" s="222"/>
      <c r="F82" s="222"/>
      <c r="H82" s="223"/>
      <c r="AA82" s="223"/>
      <c r="AB82" s="223"/>
      <c r="AC82" s="232"/>
    </row>
    <row r="83">
      <c r="C83" s="222"/>
      <c r="F83" s="222"/>
      <c r="H83" s="223"/>
      <c r="AA83" s="223"/>
      <c r="AB83" s="223"/>
      <c r="AC83" s="232"/>
    </row>
    <row r="84">
      <c r="C84" s="222"/>
      <c r="F84" s="222"/>
      <c r="H84" s="223"/>
      <c r="AA84" s="223"/>
      <c r="AB84" s="223"/>
      <c r="AC84" s="232"/>
    </row>
    <row r="85">
      <c r="C85" s="222"/>
      <c r="F85" s="222"/>
      <c r="H85" s="223"/>
      <c r="AA85" s="223"/>
      <c r="AB85" s="223"/>
      <c r="AC85" s="232"/>
    </row>
    <row r="86">
      <c r="C86" s="222"/>
      <c r="F86" s="222"/>
      <c r="H86" s="223"/>
      <c r="AA86" s="223"/>
      <c r="AB86" s="223"/>
      <c r="AC86" s="232"/>
    </row>
    <row r="87">
      <c r="C87" s="222"/>
      <c r="F87" s="222"/>
      <c r="H87" s="223"/>
      <c r="AA87" s="223"/>
      <c r="AB87" s="223"/>
      <c r="AC87" s="232"/>
    </row>
    <row r="88">
      <c r="C88" s="222"/>
      <c r="F88" s="222"/>
      <c r="H88" s="223"/>
      <c r="AA88" s="223"/>
      <c r="AB88" s="223"/>
      <c r="AC88" s="232"/>
    </row>
    <row r="89">
      <c r="C89" s="222"/>
      <c r="F89" s="222"/>
      <c r="H89" s="223"/>
      <c r="AA89" s="223"/>
      <c r="AB89" s="223"/>
      <c r="AC89" s="232"/>
    </row>
    <row r="90">
      <c r="C90" s="222"/>
      <c r="F90" s="222"/>
      <c r="H90" s="223"/>
      <c r="AA90" s="223"/>
      <c r="AB90" s="223"/>
      <c r="AC90" s="232"/>
    </row>
    <row r="91">
      <c r="C91" s="222"/>
      <c r="F91" s="222"/>
      <c r="H91" s="223"/>
      <c r="AA91" s="223"/>
      <c r="AB91" s="223"/>
      <c r="AC91" s="232"/>
    </row>
    <row r="92">
      <c r="C92" s="222"/>
      <c r="F92" s="222"/>
      <c r="H92" s="223"/>
      <c r="AA92" s="223"/>
      <c r="AB92" s="223"/>
      <c r="AC92" s="232"/>
    </row>
    <row r="93">
      <c r="C93" s="222"/>
      <c r="F93" s="222"/>
      <c r="H93" s="223"/>
      <c r="AA93" s="223"/>
      <c r="AB93" s="223"/>
      <c r="AC93" s="232"/>
    </row>
    <row r="94">
      <c r="C94" s="222"/>
      <c r="F94" s="222"/>
      <c r="H94" s="223"/>
      <c r="AA94" s="223"/>
      <c r="AB94" s="223"/>
      <c r="AC94" s="232"/>
    </row>
    <row r="95">
      <c r="C95" s="222"/>
      <c r="F95" s="222"/>
      <c r="H95" s="223"/>
      <c r="AA95" s="223"/>
      <c r="AB95" s="223"/>
      <c r="AC95" s="232"/>
    </row>
    <row r="96">
      <c r="C96" s="222"/>
      <c r="F96" s="222"/>
      <c r="H96" s="223"/>
      <c r="AA96" s="223"/>
      <c r="AB96" s="223"/>
      <c r="AC96" s="232"/>
    </row>
    <row r="97">
      <c r="C97" s="222"/>
      <c r="F97" s="222"/>
      <c r="H97" s="223"/>
      <c r="AA97" s="223"/>
      <c r="AB97" s="223"/>
      <c r="AC97" s="232"/>
    </row>
    <row r="98">
      <c r="C98" s="222"/>
      <c r="F98" s="222"/>
      <c r="H98" s="223"/>
      <c r="AA98" s="223"/>
      <c r="AB98" s="223"/>
      <c r="AC98" s="232"/>
    </row>
    <row r="99">
      <c r="C99" s="222"/>
      <c r="F99" s="222"/>
      <c r="H99" s="223"/>
      <c r="AA99" s="223"/>
      <c r="AB99" s="223"/>
      <c r="AC99" s="232"/>
    </row>
    <row r="100">
      <c r="C100" s="222"/>
      <c r="F100" s="222"/>
      <c r="H100" s="223"/>
      <c r="AA100" s="223"/>
      <c r="AB100" s="223"/>
      <c r="AC100" s="232"/>
    </row>
    <row r="101">
      <c r="C101" s="222"/>
      <c r="F101" s="222"/>
      <c r="H101" s="223"/>
      <c r="AA101" s="223"/>
      <c r="AB101" s="223"/>
      <c r="AC101" s="232"/>
    </row>
    <row r="102">
      <c r="C102" s="222"/>
      <c r="F102" s="222"/>
      <c r="H102" s="223"/>
      <c r="AA102" s="223"/>
      <c r="AB102" s="223"/>
      <c r="AC102" s="232"/>
    </row>
    <row r="103">
      <c r="C103" s="222"/>
      <c r="F103" s="222"/>
      <c r="H103" s="223"/>
      <c r="AA103" s="223"/>
      <c r="AB103" s="223"/>
      <c r="AC103" s="232"/>
    </row>
    <row r="104">
      <c r="C104" s="222"/>
      <c r="F104" s="222"/>
      <c r="H104" s="223"/>
      <c r="AA104" s="223"/>
      <c r="AB104" s="223"/>
      <c r="AC104" s="232"/>
    </row>
    <row r="105">
      <c r="C105" s="222"/>
      <c r="F105" s="222"/>
      <c r="H105" s="223"/>
      <c r="AA105" s="223"/>
      <c r="AB105" s="223"/>
      <c r="AC105" s="232"/>
    </row>
    <row r="106">
      <c r="C106" s="222"/>
      <c r="F106" s="222"/>
      <c r="H106" s="223"/>
      <c r="AA106" s="223"/>
      <c r="AB106" s="223"/>
      <c r="AC106" s="232"/>
    </row>
    <row r="107">
      <c r="C107" s="222"/>
      <c r="F107" s="222"/>
      <c r="H107" s="223"/>
      <c r="AA107" s="223"/>
      <c r="AB107" s="223"/>
      <c r="AC107" s="232"/>
    </row>
    <row r="108">
      <c r="C108" s="222"/>
      <c r="F108" s="222"/>
      <c r="H108" s="223"/>
      <c r="AA108" s="223"/>
      <c r="AB108" s="223"/>
      <c r="AC108" s="232"/>
    </row>
    <row r="109">
      <c r="C109" s="222"/>
      <c r="F109" s="222"/>
      <c r="H109" s="223"/>
      <c r="AA109" s="223"/>
      <c r="AB109" s="223"/>
      <c r="AC109" s="232"/>
    </row>
    <row r="110">
      <c r="C110" s="222"/>
      <c r="F110" s="222"/>
      <c r="H110" s="223"/>
      <c r="AA110" s="223"/>
      <c r="AB110" s="223"/>
      <c r="AC110" s="232"/>
    </row>
    <row r="111">
      <c r="C111" s="222"/>
      <c r="F111" s="222"/>
      <c r="H111" s="223"/>
      <c r="AA111" s="223"/>
      <c r="AB111" s="223"/>
      <c r="AC111" s="232"/>
    </row>
    <row r="112">
      <c r="C112" s="222"/>
      <c r="F112" s="222"/>
      <c r="H112" s="223"/>
      <c r="AA112" s="223"/>
      <c r="AB112" s="223"/>
      <c r="AC112" s="232"/>
    </row>
    <row r="113">
      <c r="C113" s="222"/>
      <c r="F113" s="222"/>
      <c r="H113" s="223"/>
      <c r="AA113" s="223"/>
      <c r="AB113" s="223"/>
      <c r="AC113" s="232"/>
    </row>
    <row r="114">
      <c r="C114" s="222"/>
      <c r="F114" s="222"/>
      <c r="H114" s="223"/>
      <c r="AA114" s="223"/>
      <c r="AB114" s="223"/>
      <c r="AC114" s="232"/>
    </row>
    <row r="115">
      <c r="C115" s="222"/>
      <c r="F115" s="222"/>
      <c r="H115" s="223"/>
      <c r="AA115" s="223"/>
      <c r="AB115" s="223"/>
      <c r="AC115" s="232"/>
    </row>
    <row r="116">
      <c r="C116" s="222"/>
      <c r="F116" s="222"/>
      <c r="H116" s="223"/>
      <c r="AA116" s="223"/>
      <c r="AB116" s="223"/>
      <c r="AC116" s="232"/>
    </row>
    <row r="117">
      <c r="C117" s="222"/>
      <c r="F117" s="222"/>
      <c r="H117" s="223"/>
      <c r="AA117" s="223"/>
      <c r="AB117" s="223"/>
      <c r="AC117" s="232"/>
    </row>
    <row r="118">
      <c r="C118" s="222"/>
      <c r="F118" s="222"/>
      <c r="H118" s="223"/>
      <c r="AA118" s="223"/>
      <c r="AB118" s="223"/>
      <c r="AC118" s="232"/>
    </row>
    <row r="119">
      <c r="C119" s="222"/>
      <c r="F119" s="222"/>
      <c r="H119" s="223"/>
      <c r="AA119" s="223"/>
      <c r="AB119" s="223"/>
      <c r="AC119" s="232"/>
    </row>
    <row r="120">
      <c r="C120" s="222"/>
      <c r="F120" s="222"/>
      <c r="H120" s="223"/>
      <c r="AA120" s="223"/>
      <c r="AB120" s="223"/>
      <c r="AC120" s="232"/>
    </row>
    <row r="121">
      <c r="C121" s="222"/>
      <c r="F121" s="222"/>
      <c r="H121" s="223"/>
      <c r="AA121" s="223"/>
      <c r="AB121" s="223"/>
      <c r="AC121" s="232"/>
    </row>
    <row r="122">
      <c r="C122" s="222"/>
      <c r="F122" s="222"/>
      <c r="H122" s="223"/>
      <c r="AA122" s="223"/>
      <c r="AB122" s="223"/>
      <c r="AC122" s="232"/>
    </row>
    <row r="123">
      <c r="C123" s="222"/>
      <c r="F123" s="222"/>
      <c r="H123" s="223"/>
      <c r="AA123" s="223"/>
      <c r="AB123" s="223"/>
      <c r="AC123" s="232"/>
    </row>
    <row r="124">
      <c r="C124" s="222"/>
      <c r="F124" s="222"/>
      <c r="H124" s="223"/>
      <c r="AA124" s="223"/>
      <c r="AB124" s="223"/>
      <c r="AC124" s="232"/>
    </row>
    <row r="125">
      <c r="C125" s="222"/>
      <c r="F125" s="222"/>
      <c r="H125" s="223"/>
      <c r="AA125" s="223"/>
      <c r="AB125" s="223"/>
      <c r="AC125" s="232"/>
    </row>
    <row r="126">
      <c r="C126" s="222"/>
      <c r="F126" s="222"/>
      <c r="H126" s="223"/>
      <c r="AA126" s="223"/>
      <c r="AB126" s="223"/>
      <c r="AC126" s="232"/>
    </row>
    <row r="127">
      <c r="C127" s="222"/>
      <c r="F127" s="222"/>
      <c r="H127" s="223"/>
      <c r="AA127" s="223"/>
      <c r="AB127" s="223"/>
      <c r="AC127" s="232"/>
    </row>
    <row r="128">
      <c r="C128" s="222"/>
      <c r="F128" s="222"/>
      <c r="H128" s="223"/>
      <c r="AA128" s="223"/>
      <c r="AB128" s="223"/>
      <c r="AC128" s="232"/>
    </row>
    <row r="129">
      <c r="C129" s="222"/>
      <c r="F129" s="222"/>
      <c r="H129" s="223"/>
      <c r="AA129" s="223"/>
      <c r="AB129" s="223"/>
      <c r="AC129" s="232"/>
    </row>
    <row r="130">
      <c r="C130" s="222"/>
      <c r="F130" s="222"/>
      <c r="H130" s="223"/>
      <c r="AA130" s="223"/>
      <c r="AB130" s="223"/>
      <c r="AC130" s="232"/>
    </row>
    <row r="131">
      <c r="C131" s="222"/>
      <c r="F131" s="222"/>
      <c r="H131" s="223"/>
      <c r="AA131" s="223"/>
      <c r="AB131" s="223"/>
      <c r="AC131" s="232"/>
    </row>
    <row r="132">
      <c r="C132" s="222"/>
      <c r="F132" s="222"/>
      <c r="H132" s="223"/>
      <c r="AA132" s="223"/>
      <c r="AB132" s="223"/>
      <c r="AC132" s="232"/>
    </row>
    <row r="133">
      <c r="C133" s="222"/>
      <c r="F133" s="222"/>
      <c r="H133" s="223"/>
      <c r="AA133" s="223"/>
      <c r="AB133" s="223"/>
      <c r="AC133" s="232"/>
    </row>
    <row r="134">
      <c r="C134" s="222"/>
      <c r="F134" s="222"/>
      <c r="H134" s="223"/>
      <c r="AA134" s="223"/>
      <c r="AB134" s="223"/>
      <c r="AC134" s="232"/>
    </row>
    <row r="135">
      <c r="C135" s="222"/>
      <c r="F135" s="222"/>
      <c r="H135" s="223"/>
      <c r="AA135" s="223"/>
      <c r="AB135" s="223"/>
      <c r="AC135" s="232"/>
    </row>
    <row r="136">
      <c r="C136" s="222"/>
      <c r="F136" s="222"/>
      <c r="H136" s="223"/>
      <c r="AA136" s="223"/>
      <c r="AB136" s="223"/>
      <c r="AC136" s="232"/>
    </row>
    <row r="137">
      <c r="C137" s="222"/>
      <c r="F137" s="222"/>
      <c r="H137" s="223"/>
      <c r="AA137" s="223"/>
      <c r="AB137" s="223"/>
      <c r="AC137" s="232"/>
    </row>
    <row r="138">
      <c r="C138" s="222"/>
      <c r="F138" s="222"/>
      <c r="H138" s="223"/>
      <c r="AA138" s="223"/>
      <c r="AB138" s="223"/>
      <c r="AC138" s="232"/>
    </row>
    <row r="139">
      <c r="C139" s="222"/>
      <c r="F139" s="222"/>
      <c r="H139" s="223"/>
      <c r="AA139" s="223"/>
      <c r="AB139" s="223"/>
      <c r="AC139" s="232"/>
    </row>
    <row r="140">
      <c r="C140" s="222"/>
      <c r="F140" s="222"/>
      <c r="H140" s="223"/>
      <c r="AA140" s="223"/>
      <c r="AB140" s="223"/>
      <c r="AC140" s="232"/>
    </row>
    <row r="141">
      <c r="C141" s="222"/>
      <c r="F141" s="222"/>
      <c r="H141" s="223"/>
      <c r="AA141" s="223"/>
      <c r="AB141" s="223"/>
      <c r="AC141" s="232"/>
    </row>
    <row r="142">
      <c r="C142" s="222"/>
      <c r="F142" s="222"/>
      <c r="H142" s="223"/>
      <c r="AA142" s="223"/>
      <c r="AB142" s="223"/>
      <c r="AC142" s="232"/>
    </row>
    <row r="143">
      <c r="C143" s="222"/>
      <c r="F143" s="222"/>
      <c r="H143" s="223"/>
      <c r="AA143" s="223"/>
      <c r="AB143" s="223"/>
      <c r="AC143" s="232"/>
    </row>
    <row r="144">
      <c r="C144" s="222"/>
      <c r="F144" s="222"/>
      <c r="H144" s="223"/>
      <c r="AA144" s="223"/>
      <c r="AB144" s="223"/>
      <c r="AC144" s="232"/>
    </row>
    <row r="145">
      <c r="C145" s="222"/>
      <c r="F145" s="222"/>
      <c r="H145" s="223"/>
      <c r="AA145" s="223"/>
      <c r="AB145" s="223"/>
      <c r="AC145" s="232"/>
    </row>
    <row r="146">
      <c r="C146" s="222"/>
      <c r="F146" s="222"/>
      <c r="H146" s="223"/>
      <c r="AA146" s="223"/>
      <c r="AB146" s="223"/>
      <c r="AC146" s="232"/>
    </row>
    <row r="147">
      <c r="C147" s="222"/>
      <c r="F147" s="222"/>
      <c r="H147" s="223"/>
      <c r="AA147" s="223"/>
      <c r="AB147" s="223"/>
      <c r="AC147" s="232"/>
    </row>
    <row r="148">
      <c r="C148" s="222"/>
      <c r="F148" s="222"/>
      <c r="H148" s="223"/>
      <c r="AA148" s="223"/>
      <c r="AB148" s="223"/>
      <c r="AC148" s="232"/>
    </row>
    <row r="149">
      <c r="C149" s="222"/>
      <c r="F149" s="222"/>
      <c r="H149" s="223"/>
      <c r="AA149" s="223"/>
      <c r="AB149" s="223"/>
      <c r="AC149" s="232"/>
    </row>
    <row r="150">
      <c r="C150" s="222"/>
      <c r="F150" s="222"/>
      <c r="H150" s="223"/>
      <c r="AA150" s="223"/>
      <c r="AB150" s="223"/>
      <c r="AC150" s="232"/>
    </row>
    <row r="151">
      <c r="C151" s="222"/>
      <c r="F151" s="222"/>
      <c r="H151" s="223"/>
      <c r="AA151" s="223"/>
      <c r="AB151" s="223"/>
      <c r="AC151" s="232"/>
    </row>
    <row r="152">
      <c r="C152" s="222"/>
      <c r="F152" s="222"/>
      <c r="H152" s="223"/>
      <c r="AA152" s="223"/>
      <c r="AB152" s="223"/>
      <c r="AC152" s="232"/>
    </row>
    <row r="153">
      <c r="C153" s="222"/>
      <c r="F153" s="222"/>
      <c r="H153" s="223"/>
      <c r="AA153" s="223"/>
      <c r="AB153" s="223"/>
      <c r="AC153" s="232"/>
    </row>
    <row r="154">
      <c r="C154" s="222"/>
      <c r="F154" s="222"/>
      <c r="H154" s="223"/>
      <c r="AA154" s="223"/>
      <c r="AB154" s="223"/>
      <c r="AC154" s="232"/>
    </row>
    <row r="155">
      <c r="C155" s="222"/>
      <c r="F155" s="222"/>
      <c r="H155" s="223"/>
      <c r="AA155" s="223"/>
      <c r="AB155" s="223"/>
      <c r="AC155" s="232"/>
    </row>
    <row r="156">
      <c r="C156" s="222"/>
      <c r="F156" s="222"/>
      <c r="H156" s="223"/>
      <c r="AA156" s="223"/>
      <c r="AB156" s="223"/>
      <c r="AC156" s="232"/>
    </row>
    <row r="157">
      <c r="C157" s="222"/>
      <c r="F157" s="222"/>
      <c r="H157" s="223"/>
      <c r="AA157" s="223"/>
      <c r="AB157" s="223"/>
      <c r="AC157" s="232"/>
    </row>
    <row r="158">
      <c r="C158" s="222"/>
      <c r="F158" s="222"/>
      <c r="H158" s="223"/>
      <c r="AA158" s="223"/>
      <c r="AB158" s="223"/>
      <c r="AC158" s="232"/>
    </row>
    <row r="159">
      <c r="C159" s="222"/>
      <c r="F159" s="222"/>
      <c r="H159" s="223"/>
      <c r="AA159" s="223"/>
      <c r="AB159" s="223"/>
      <c r="AC159" s="232"/>
    </row>
    <row r="160">
      <c r="C160" s="222"/>
      <c r="F160" s="222"/>
      <c r="H160" s="223"/>
      <c r="AA160" s="223"/>
      <c r="AB160" s="223"/>
      <c r="AC160" s="232"/>
    </row>
    <row r="161">
      <c r="C161" s="222"/>
      <c r="F161" s="222"/>
      <c r="H161" s="223"/>
      <c r="AA161" s="223"/>
      <c r="AB161" s="223"/>
      <c r="AC161" s="232"/>
    </row>
    <row r="162">
      <c r="C162" s="222"/>
      <c r="F162" s="222"/>
      <c r="H162" s="223"/>
      <c r="AA162" s="223"/>
      <c r="AB162" s="223"/>
      <c r="AC162" s="232"/>
    </row>
    <row r="163">
      <c r="C163" s="222"/>
      <c r="F163" s="222"/>
      <c r="H163" s="223"/>
      <c r="AA163" s="223"/>
      <c r="AB163" s="223"/>
      <c r="AC163" s="232"/>
    </row>
    <row r="164">
      <c r="C164" s="222"/>
      <c r="F164" s="222"/>
      <c r="H164" s="223"/>
      <c r="AA164" s="223"/>
      <c r="AB164" s="223"/>
      <c r="AC164" s="232"/>
    </row>
    <row r="165">
      <c r="C165" s="222"/>
      <c r="F165" s="222"/>
      <c r="H165" s="223"/>
      <c r="AA165" s="223"/>
      <c r="AB165" s="223"/>
      <c r="AC165" s="232"/>
    </row>
    <row r="166">
      <c r="C166" s="222"/>
      <c r="F166" s="222"/>
      <c r="H166" s="223"/>
      <c r="AA166" s="223"/>
      <c r="AB166" s="223"/>
      <c r="AC166" s="232"/>
    </row>
    <row r="167">
      <c r="C167" s="222"/>
      <c r="F167" s="222"/>
      <c r="H167" s="223"/>
      <c r="AA167" s="223"/>
      <c r="AB167" s="223"/>
      <c r="AC167" s="232"/>
    </row>
    <row r="168">
      <c r="C168" s="222"/>
      <c r="F168" s="222"/>
      <c r="H168" s="223"/>
      <c r="AA168" s="223"/>
      <c r="AB168" s="223"/>
      <c r="AC168" s="232"/>
    </row>
    <row r="169">
      <c r="C169" s="222"/>
      <c r="F169" s="222"/>
      <c r="H169" s="223"/>
      <c r="AA169" s="223"/>
      <c r="AB169" s="223"/>
      <c r="AC169" s="232"/>
    </row>
    <row r="170">
      <c r="C170" s="222"/>
      <c r="F170" s="222"/>
      <c r="H170" s="223"/>
      <c r="AA170" s="223"/>
      <c r="AB170" s="223"/>
      <c r="AC170" s="232"/>
    </row>
    <row r="171">
      <c r="C171" s="222"/>
      <c r="F171" s="222"/>
      <c r="H171" s="223"/>
      <c r="AA171" s="223"/>
      <c r="AB171" s="223"/>
      <c r="AC171" s="232"/>
    </row>
    <row r="172">
      <c r="C172" s="222"/>
      <c r="F172" s="222"/>
      <c r="H172" s="223"/>
      <c r="AA172" s="223"/>
      <c r="AB172" s="223"/>
      <c r="AC172" s="232"/>
    </row>
    <row r="173">
      <c r="C173" s="222"/>
      <c r="F173" s="222"/>
      <c r="H173" s="223"/>
      <c r="AA173" s="223"/>
      <c r="AB173" s="223"/>
      <c r="AC173" s="232"/>
    </row>
    <row r="174">
      <c r="C174" s="222"/>
      <c r="F174" s="222"/>
      <c r="H174" s="223"/>
      <c r="AA174" s="223"/>
      <c r="AB174" s="223"/>
      <c r="AC174" s="232"/>
    </row>
    <row r="175">
      <c r="C175" s="222"/>
      <c r="F175" s="222"/>
      <c r="H175" s="223"/>
      <c r="AA175" s="223"/>
      <c r="AB175" s="223"/>
      <c r="AC175" s="232"/>
    </row>
    <row r="176">
      <c r="C176" s="222"/>
      <c r="F176" s="222"/>
      <c r="H176" s="223"/>
      <c r="AA176" s="223"/>
      <c r="AB176" s="223"/>
      <c r="AC176" s="232"/>
    </row>
    <row r="177">
      <c r="C177" s="222"/>
      <c r="F177" s="222"/>
      <c r="H177" s="223"/>
      <c r="AA177" s="223"/>
      <c r="AB177" s="223"/>
      <c r="AC177" s="232"/>
    </row>
    <row r="178">
      <c r="C178" s="222"/>
      <c r="F178" s="222"/>
      <c r="H178" s="223"/>
      <c r="AA178" s="223"/>
      <c r="AB178" s="223"/>
      <c r="AC178" s="232"/>
    </row>
    <row r="179">
      <c r="C179" s="222"/>
      <c r="F179" s="222"/>
      <c r="H179" s="223"/>
      <c r="AA179" s="223"/>
      <c r="AB179" s="223"/>
      <c r="AC179" s="232"/>
    </row>
    <row r="180">
      <c r="C180" s="222"/>
      <c r="F180" s="222"/>
      <c r="H180" s="223"/>
      <c r="AA180" s="223"/>
      <c r="AB180" s="223"/>
      <c r="AC180" s="232"/>
    </row>
    <row r="181">
      <c r="C181" s="222"/>
      <c r="F181" s="222"/>
      <c r="H181" s="223"/>
      <c r="AA181" s="223"/>
      <c r="AB181" s="223"/>
      <c r="AC181" s="232"/>
    </row>
    <row r="182">
      <c r="C182" s="222"/>
      <c r="F182" s="222"/>
      <c r="H182" s="223"/>
      <c r="AA182" s="223"/>
      <c r="AB182" s="223"/>
      <c r="AC182" s="232"/>
    </row>
    <row r="183">
      <c r="C183" s="222"/>
      <c r="F183" s="222"/>
      <c r="H183" s="223"/>
      <c r="AA183" s="223"/>
      <c r="AB183" s="223"/>
      <c r="AC183" s="232"/>
    </row>
    <row r="184">
      <c r="C184" s="222"/>
      <c r="F184" s="222"/>
      <c r="H184" s="223"/>
      <c r="AA184" s="223"/>
      <c r="AB184" s="223"/>
      <c r="AC184" s="232"/>
    </row>
    <row r="185">
      <c r="C185" s="222"/>
      <c r="F185" s="222"/>
      <c r="H185" s="223"/>
      <c r="AA185" s="223"/>
      <c r="AB185" s="223"/>
      <c r="AC185" s="232"/>
    </row>
    <row r="186">
      <c r="C186" s="222"/>
      <c r="F186" s="222"/>
      <c r="H186" s="223"/>
      <c r="AA186" s="223"/>
      <c r="AB186" s="223"/>
      <c r="AC186" s="232"/>
    </row>
    <row r="187">
      <c r="C187" s="222"/>
      <c r="F187" s="222"/>
      <c r="H187" s="223"/>
      <c r="AA187" s="223"/>
      <c r="AB187" s="223"/>
      <c r="AC187" s="232"/>
    </row>
    <row r="188">
      <c r="C188" s="222"/>
      <c r="F188" s="222"/>
      <c r="H188" s="223"/>
      <c r="AA188" s="223"/>
      <c r="AB188" s="223"/>
      <c r="AC188" s="232"/>
    </row>
    <row r="189">
      <c r="C189" s="222"/>
      <c r="F189" s="222"/>
      <c r="H189" s="223"/>
      <c r="AA189" s="223"/>
      <c r="AB189" s="223"/>
      <c r="AC189" s="232"/>
    </row>
    <row r="190">
      <c r="C190" s="222"/>
      <c r="F190" s="222"/>
      <c r="H190" s="223"/>
      <c r="AA190" s="223"/>
      <c r="AB190" s="223"/>
      <c r="AC190" s="232"/>
    </row>
    <row r="191">
      <c r="C191" s="222"/>
      <c r="F191" s="222"/>
      <c r="H191" s="223"/>
      <c r="AA191" s="223"/>
      <c r="AB191" s="223"/>
      <c r="AC191" s="232"/>
    </row>
    <row r="192">
      <c r="C192" s="222"/>
      <c r="F192" s="222"/>
      <c r="H192" s="223"/>
      <c r="AA192" s="223"/>
      <c r="AB192" s="223"/>
      <c r="AC192" s="232"/>
    </row>
    <row r="193">
      <c r="C193" s="222"/>
      <c r="F193" s="222"/>
      <c r="H193" s="223"/>
      <c r="AA193" s="223"/>
      <c r="AB193" s="223"/>
      <c r="AC193" s="232"/>
    </row>
    <row r="194">
      <c r="C194" s="222"/>
      <c r="F194" s="222"/>
      <c r="H194" s="223"/>
      <c r="AA194" s="223"/>
      <c r="AB194" s="223"/>
      <c r="AC194" s="232"/>
    </row>
    <row r="195">
      <c r="C195" s="222"/>
      <c r="F195" s="222"/>
      <c r="H195" s="223"/>
      <c r="AA195" s="223"/>
      <c r="AB195" s="223"/>
      <c r="AC195" s="232"/>
    </row>
    <row r="196">
      <c r="C196" s="222"/>
      <c r="F196" s="222"/>
      <c r="H196" s="223"/>
      <c r="AA196" s="223"/>
      <c r="AB196" s="223"/>
      <c r="AC196" s="232"/>
    </row>
    <row r="197">
      <c r="C197" s="222"/>
      <c r="F197" s="222"/>
      <c r="H197" s="223"/>
      <c r="AA197" s="223"/>
      <c r="AB197" s="223"/>
      <c r="AC197" s="232"/>
    </row>
    <row r="198">
      <c r="C198" s="222"/>
      <c r="F198" s="222"/>
      <c r="H198" s="223"/>
      <c r="AA198" s="223"/>
      <c r="AB198" s="223"/>
      <c r="AC198" s="232"/>
    </row>
    <row r="199">
      <c r="C199" s="222"/>
      <c r="F199" s="222"/>
      <c r="H199" s="223"/>
      <c r="AA199" s="223"/>
      <c r="AB199" s="223"/>
      <c r="AC199" s="232"/>
    </row>
    <row r="200">
      <c r="C200" s="222"/>
      <c r="F200" s="222"/>
      <c r="H200" s="223"/>
      <c r="AA200" s="223"/>
      <c r="AB200" s="223"/>
      <c r="AC200" s="232"/>
    </row>
    <row r="201">
      <c r="C201" s="222"/>
      <c r="F201" s="222"/>
      <c r="H201" s="223"/>
      <c r="AA201" s="223"/>
      <c r="AB201" s="223"/>
      <c r="AC201" s="232"/>
    </row>
    <row r="202">
      <c r="C202" s="222"/>
      <c r="F202" s="222"/>
      <c r="H202" s="223"/>
      <c r="AA202" s="223"/>
      <c r="AB202" s="223"/>
      <c r="AC202" s="232"/>
    </row>
    <row r="203">
      <c r="C203" s="222"/>
      <c r="F203" s="222"/>
      <c r="H203" s="223"/>
      <c r="AA203" s="223"/>
      <c r="AB203" s="223"/>
      <c r="AC203" s="232"/>
    </row>
    <row r="204">
      <c r="C204" s="222"/>
      <c r="F204" s="222"/>
      <c r="H204" s="223"/>
      <c r="AA204" s="223"/>
      <c r="AB204" s="223"/>
      <c r="AC204" s="232"/>
    </row>
    <row r="205">
      <c r="C205" s="222"/>
      <c r="F205" s="222"/>
      <c r="H205" s="223"/>
      <c r="AA205" s="223"/>
      <c r="AB205" s="223"/>
      <c r="AC205" s="232"/>
    </row>
    <row r="206">
      <c r="C206" s="222"/>
      <c r="F206" s="222"/>
      <c r="H206" s="223"/>
      <c r="AA206" s="223"/>
      <c r="AB206" s="223"/>
      <c r="AC206" s="232"/>
    </row>
    <row r="207">
      <c r="C207" s="222"/>
      <c r="F207" s="222"/>
      <c r="H207" s="223"/>
      <c r="AA207" s="223"/>
      <c r="AB207" s="223"/>
      <c r="AC207" s="232"/>
    </row>
    <row r="208">
      <c r="C208" s="222"/>
      <c r="F208" s="222"/>
      <c r="H208" s="223"/>
      <c r="AA208" s="223"/>
      <c r="AB208" s="223"/>
      <c r="AC208" s="232"/>
    </row>
    <row r="209">
      <c r="C209" s="222"/>
      <c r="F209" s="222"/>
      <c r="H209" s="223"/>
      <c r="AA209" s="223"/>
      <c r="AB209" s="223"/>
      <c r="AC209" s="232"/>
    </row>
    <row r="210">
      <c r="C210" s="222"/>
      <c r="F210" s="222"/>
      <c r="H210" s="223"/>
      <c r="AA210" s="223"/>
      <c r="AB210" s="223"/>
      <c r="AC210" s="232"/>
    </row>
    <row r="211">
      <c r="C211" s="222"/>
      <c r="F211" s="222"/>
      <c r="H211" s="223"/>
      <c r="AA211" s="223"/>
      <c r="AB211" s="223"/>
      <c r="AC211" s="232"/>
    </row>
    <row r="212">
      <c r="C212" s="222"/>
      <c r="F212" s="222"/>
      <c r="H212" s="223"/>
      <c r="AA212" s="223"/>
      <c r="AB212" s="223"/>
      <c r="AC212" s="232"/>
    </row>
    <row r="213">
      <c r="C213" s="222"/>
      <c r="F213" s="222"/>
      <c r="H213" s="223"/>
      <c r="AA213" s="223"/>
      <c r="AB213" s="223"/>
      <c r="AC213" s="232"/>
    </row>
    <row r="214">
      <c r="C214" s="222"/>
      <c r="F214" s="222"/>
      <c r="H214" s="223"/>
      <c r="AA214" s="223"/>
      <c r="AB214" s="223"/>
      <c r="AC214" s="232"/>
    </row>
    <row r="215">
      <c r="C215" s="222"/>
      <c r="F215" s="222"/>
      <c r="H215" s="223"/>
      <c r="AA215" s="223"/>
      <c r="AB215" s="223"/>
      <c r="AC215" s="232"/>
    </row>
    <row r="216">
      <c r="C216" s="222"/>
      <c r="F216" s="222"/>
      <c r="H216" s="223"/>
      <c r="AA216" s="223"/>
      <c r="AB216" s="223"/>
      <c r="AC216" s="232"/>
    </row>
    <row r="217">
      <c r="C217" s="222"/>
      <c r="F217" s="222"/>
      <c r="H217" s="223"/>
      <c r="AA217" s="223"/>
      <c r="AB217" s="223"/>
      <c r="AC217" s="232"/>
    </row>
    <row r="218">
      <c r="C218" s="222"/>
      <c r="F218" s="222"/>
      <c r="H218" s="223"/>
      <c r="AA218" s="223"/>
      <c r="AB218" s="223"/>
      <c r="AC218" s="232"/>
    </row>
    <row r="219">
      <c r="C219" s="222"/>
      <c r="F219" s="222"/>
      <c r="H219" s="223"/>
      <c r="AA219" s="223"/>
      <c r="AB219" s="223"/>
      <c r="AC219" s="232"/>
    </row>
    <row r="220">
      <c r="C220" s="222"/>
      <c r="F220" s="222"/>
      <c r="H220" s="223"/>
      <c r="AA220" s="223"/>
      <c r="AB220" s="223"/>
      <c r="AC220" s="232"/>
    </row>
    <row r="221">
      <c r="C221" s="222"/>
      <c r="F221" s="222"/>
      <c r="H221" s="223"/>
      <c r="AA221" s="223"/>
      <c r="AB221" s="223"/>
      <c r="AC221" s="232"/>
    </row>
    <row r="222">
      <c r="C222" s="222"/>
      <c r="F222" s="222"/>
      <c r="H222" s="223"/>
      <c r="AA222" s="223"/>
      <c r="AB222" s="223"/>
      <c r="AC222" s="232"/>
    </row>
    <row r="223">
      <c r="C223" s="222"/>
      <c r="F223" s="222"/>
      <c r="H223" s="223"/>
      <c r="AA223" s="223"/>
      <c r="AB223" s="223"/>
      <c r="AC223" s="232"/>
    </row>
    <row r="224">
      <c r="C224" s="222"/>
      <c r="F224" s="222"/>
      <c r="H224" s="223"/>
      <c r="AA224" s="223"/>
      <c r="AB224" s="223"/>
      <c r="AC224" s="232"/>
    </row>
    <row r="225">
      <c r="C225" s="222"/>
      <c r="F225" s="222"/>
      <c r="H225" s="223"/>
      <c r="AA225" s="223"/>
      <c r="AB225" s="223"/>
      <c r="AC225" s="232"/>
    </row>
    <row r="226">
      <c r="C226" s="222"/>
      <c r="F226" s="222"/>
      <c r="H226" s="223"/>
      <c r="AA226" s="223"/>
      <c r="AB226" s="223"/>
      <c r="AC226" s="232"/>
    </row>
    <row r="227">
      <c r="C227" s="222"/>
      <c r="F227" s="222"/>
      <c r="H227" s="223"/>
      <c r="AA227" s="223"/>
      <c r="AB227" s="223"/>
      <c r="AC227" s="232"/>
    </row>
    <row r="228">
      <c r="C228" s="222"/>
      <c r="F228" s="222"/>
      <c r="H228" s="223"/>
      <c r="AA228" s="223"/>
      <c r="AB228" s="223"/>
      <c r="AC228" s="232"/>
    </row>
    <row r="229">
      <c r="C229" s="222"/>
      <c r="F229" s="222"/>
      <c r="H229" s="223"/>
      <c r="AA229" s="223"/>
      <c r="AB229" s="223"/>
      <c r="AC229" s="232"/>
    </row>
    <row r="230">
      <c r="C230" s="222"/>
      <c r="F230" s="222"/>
      <c r="H230" s="223"/>
      <c r="AA230" s="223"/>
      <c r="AB230" s="223"/>
      <c r="AC230" s="232"/>
    </row>
    <row r="231">
      <c r="C231" s="222"/>
      <c r="F231" s="222"/>
      <c r="H231" s="223"/>
      <c r="AA231" s="223"/>
      <c r="AB231" s="223"/>
      <c r="AC231" s="232"/>
    </row>
    <row r="232">
      <c r="C232" s="222"/>
      <c r="F232" s="222"/>
      <c r="H232" s="223"/>
      <c r="AA232" s="223"/>
      <c r="AB232" s="223"/>
      <c r="AC232" s="232"/>
    </row>
    <row r="233">
      <c r="C233" s="222"/>
      <c r="F233" s="222"/>
      <c r="H233" s="223"/>
      <c r="AA233" s="223"/>
      <c r="AB233" s="223"/>
      <c r="AC233" s="232"/>
    </row>
    <row r="234">
      <c r="C234" s="222"/>
      <c r="F234" s="222"/>
      <c r="H234" s="223"/>
      <c r="AA234" s="223"/>
      <c r="AB234" s="223"/>
      <c r="AC234" s="232"/>
    </row>
    <row r="235">
      <c r="C235" s="222"/>
      <c r="F235" s="222"/>
      <c r="H235" s="223"/>
      <c r="AA235" s="223"/>
      <c r="AB235" s="223"/>
      <c r="AC235" s="232"/>
    </row>
    <row r="236">
      <c r="C236" s="222"/>
      <c r="F236" s="222"/>
      <c r="H236" s="223"/>
      <c r="AA236" s="223"/>
      <c r="AB236" s="223"/>
      <c r="AC236" s="232"/>
    </row>
    <row r="237">
      <c r="C237" s="222"/>
      <c r="F237" s="222"/>
      <c r="H237" s="223"/>
      <c r="AA237" s="223"/>
      <c r="AB237" s="223"/>
      <c r="AC237" s="232"/>
    </row>
    <row r="238">
      <c r="C238" s="222"/>
      <c r="F238" s="222"/>
      <c r="H238" s="223"/>
      <c r="AA238" s="223"/>
      <c r="AB238" s="223"/>
      <c r="AC238" s="232"/>
    </row>
    <row r="239">
      <c r="C239" s="222"/>
      <c r="F239" s="222"/>
      <c r="H239" s="223"/>
      <c r="AA239" s="223"/>
      <c r="AB239" s="223"/>
      <c r="AC239" s="232"/>
    </row>
    <row r="240">
      <c r="C240" s="222"/>
      <c r="F240" s="222"/>
      <c r="H240" s="223"/>
      <c r="AA240" s="223"/>
      <c r="AB240" s="223"/>
      <c r="AC240" s="232"/>
    </row>
    <row r="241">
      <c r="C241" s="222"/>
      <c r="F241" s="222"/>
      <c r="H241" s="223"/>
      <c r="AA241" s="223"/>
      <c r="AB241" s="223"/>
      <c r="AC241" s="232"/>
    </row>
    <row r="242">
      <c r="C242" s="222"/>
      <c r="F242" s="222"/>
      <c r="H242" s="223"/>
      <c r="AA242" s="223"/>
      <c r="AB242" s="223"/>
      <c r="AC242" s="232"/>
    </row>
    <row r="243">
      <c r="C243" s="222"/>
      <c r="F243" s="222"/>
      <c r="H243" s="223"/>
      <c r="AA243" s="223"/>
      <c r="AB243" s="223"/>
      <c r="AC243" s="232"/>
    </row>
    <row r="244">
      <c r="C244" s="222"/>
      <c r="F244" s="222"/>
      <c r="H244" s="223"/>
      <c r="AA244" s="223"/>
      <c r="AB244" s="223"/>
      <c r="AC244" s="232"/>
    </row>
    <row r="245">
      <c r="C245" s="222"/>
      <c r="F245" s="222"/>
      <c r="H245" s="223"/>
      <c r="AA245" s="223"/>
      <c r="AB245" s="223"/>
      <c r="AC245" s="232"/>
    </row>
    <row r="246">
      <c r="C246" s="222"/>
      <c r="F246" s="222"/>
      <c r="H246" s="223"/>
      <c r="AA246" s="223"/>
      <c r="AB246" s="223"/>
      <c r="AC246" s="232"/>
    </row>
    <row r="247">
      <c r="C247" s="222"/>
      <c r="F247" s="222"/>
      <c r="H247" s="223"/>
      <c r="AA247" s="223"/>
      <c r="AB247" s="223"/>
      <c r="AC247" s="232"/>
    </row>
    <row r="248">
      <c r="C248" s="222"/>
      <c r="F248" s="222"/>
      <c r="H248" s="223"/>
      <c r="AA248" s="223"/>
      <c r="AB248" s="223"/>
      <c r="AC248" s="232"/>
    </row>
    <row r="249">
      <c r="C249" s="222"/>
      <c r="F249" s="222"/>
      <c r="H249" s="223"/>
      <c r="AA249" s="223"/>
      <c r="AB249" s="223"/>
      <c r="AC249" s="232"/>
    </row>
    <row r="250">
      <c r="C250" s="222"/>
      <c r="F250" s="222"/>
      <c r="H250" s="223"/>
      <c r="AA250" s="223"/>
      <c r="AB250" s="223"/>
      <c r="AC250" s="232"/>
    </row>
    <row r="251">
      <c r="C251" s="222"/>
      <c r="F251" s="222"/>
      <c r="H251" s="223"/>
      <c r="AA251" s="223"/>
      <c r="AB251" s="223"/>
      <c r="AC251" s="232"/>
    </row>
    <row r="252">
      <c r="C252" s="222"/>
      <c r="F252" s="222"/>
      <c r="H252" s="223"/>
      <c r="AA252" s="223"/>
      <c r="AB252" s="223"/>
      <c r="AC252" s="232"/>
    </row>
    <row r="253">
      <c r="C253" s="222"/>
      <c r="F253" s="222"/>
      <c r="H253" s="223"/>
      <c r="AA253" s="223"/>
      <c r="AB253" s="223"/>
      <c r="AC253" s="232"/>
    </row>
    <row r="254">
      <c r="C254" s="222"/>
      <c r="F254" s="222"/>
      <c r="H254" s="223"/>
      <c r="AA254" s="223"/>
      <c r="AB254" s="223"/>
      <c r="AC254" s="232"/>
    </row>
    <row r="255">
      <c r="C255" s="222"/>
      <c r="F255" s="222"/>
      <c r="H255" s="223"/>
      <c r="AA255" s="223"/>
      <c r="AB255" s="223"/>
      <c r="AC255" s="232"/>
    </row>
    <row r="256">
      <c r="C256" s="222"/>
      <c r="F256" s="222"/>
      <c r="H256" s="223"/>
      <c r="AA256" s="223"/>
      <c r="AB256" s="223"/>
      <c r="AC256" s="232"/>
    </row>
    <row r="257">
      <c r="C257" s="222"/>
      <c r="F257" s="222"/>
      <c r="H257" s="223"/>
      <c r="AA257" s="223"/>
      <c r="AB257" s="223"/>
      <c r="AC257" s="232"/>
    </row>
    <row r="258">
      <c r="C258" s="222"/>
      <c r="F258" s="222"/>
      <c r="H258" s="223"/>
      <c r="AA258" s="223"/>
      <c r="AB258" s="223"/>
      <c r="AC258" s="232"/>
    </row>
    <row r="259">
      <c r="C259" s="222"/>
      <c r="F259" s="222"/>
      <c r="H259" s="223"/>
      <c r="AA259" s="223"/>
      <c r="AB259" s="223"/>
      <c r="AC259" s="232"/>
    </row>
    <row r="260">
      <c r="C260" s="222"/>
      <c r="F260" s="222"/>
      <c r="H260" s="223"/>
      <c r="AA260" s="223"/>
      <c r="AB260" s="223"/>
      <c r="AC260" s="232"/>
    </row>
    <row r="261">
      <c r="C261" s="222"/>
      <c r="F261" s="222"/>
      <c r="H261" s="223"/>
      <c r="AA261" s="223"/>
      <c r="AB261" s="223"/>
      <c r="AC261" s="232"/>
    </row>
    <row r="262">
      <c r="C262" s="222"/>
      <c r="F262" s="222"/>
      <c r="H262" s="223"/>
      <c r="AA262" s="223"/>
      <c r="AB262" s="223"/>
      <c r="AC262" s="232"/>
    </row>
    <row r="263">
      <c r="C263" s="222"/>
      <c r="F263" s="222"/>
      <c r="H263" s="223"/>
      <c r="AA263" s="223"/>
      <c r="AB263" s="223"/>
      <c r="AC263" s="232"/>
    </row>
    <row r="264">
      <c r="C264" s="222"/>
      <c r="F264" s="222"/>
      <c r="H264" s="223"/>
      <c r="AA264" s="223"/>
      <c r="AB264" s="223"/>
      <c r="AC264" s="232"/>
    </row>
    <row r="265">
      <c r="C265" s="222"/>
      <c r="F265" s="222"/>
      <c r="H265" s="223"/>
      <c r="AA265" s="223"/>
      <c r="AB265" s="223"/>
      <c r="AC265" s="232"/>
    </row>
    <row r="266">
      <c r="C266" s="222"/>
      <c r="F266" s="222"/>
      <c r="H266" s="223"/>
      <c r="AA266" s="223"/>
      <c r="AB266" s="223"/>
      <c r="AC266" s="232"/>
    </row>
    <row r="267">
      <c r="C267" s="222"/>
      <c r="F267" s="222"/>
      <c r="H267" s="223"/>
      <c r="AA267" s="223"/>
      <c r="AB267" s="223"/>
      <c r="AC267" s="232"/>
    </row>
    <row r="268">
      <c r="C268" s="222"/>
      <c r="F268" s="222"/>
      <c r="H268" s="223"/>
      <c r="AA268" s="223"/>
      <c r="AB268" s="223"/>
      <c r="AC268" s="232"/>
    </row>
    <row r="269">
      <c r="C269" s="222"/>
      <c r="F269" s="222"/>
      <c r="H269" s="223"/>
      <c r="AA269" s="223"/>
      <c r="AB269" s="223"/>
      <c r="AC269" s="232"/>
    </row>
    <row r="270">
      <c r="C270" s="222"/>
      <c r="F270" s="222"/>
      <c r="H270" s="223"/>
      <c r="AA270" s="223"/>
      <c r="AB270" s="223"/>
      <c r="AC270" s="232"/>
    </row>
    <row r="271">
      <c r="C271" s="222"/>
      <c r="F271" s="222"/>
      <c r="H271" s="223"/>
      <c r="AA271" s="223"/>
      <c r="AB271" s="223"/>
      <c r="AC271" s="232"/>
    </row>
    <row r="272">
      <c r="C272" s="222"/>
      <c r="F272" s="222"/>
      <c r="H272" s="223"/>
      <c r="AA272" s="223"/>
      <c r="AB272" s="223"/>
      <c r="AC272" s="232"/>
    </row>
    <row r="273">
      <c r="C273" s="222"/>
      <c r="F273" s="222"/>
      <c r="H273" s="223"/>
      <c r="AA273" s="223"/>
      <c r="AB273" s="223"/>
      <c r="AC273" s="232"/>
    </row>
    <row r="274">
      <c r="C274" s="222"/>
      <c r="F274" s="222"/>
      <c r="H274" s="223"/>
      <c r="AA274" s="223"/>
      <c r="AB274" s="223"/>
      <c r="AC274" s="232"/>
    </row>
    <row r="275">
      <c r="C275" s="222"/>
      <c r="F275" s="222"/>
      <c r="H275" s="223"/>
      <c r="AA275" s="223"/>
      <c r="AB275" s="223"/>
      <c r="AC275" s="232"/>
    </row>
    <row r="276">
      <c r="C276" s="222"/>
      <c r="F276" s="222"/>
      <c r="H276" s="223"/>
      <c r="AA276" s="223"/>
      <c r="AB276" s="223"/>
      <c r="AC276" s="232"/>
    </row>
    <row r="277">
      <c r="C277" s="222"/>
      <c r="F277" s="222"/>
      <c r="H277" s="223"/>
      <c r="AA277" s="223"/>
      <c r="AB277" s="223"/>
      <c r="AC277" s="232"/>
    </row>
    <row r="278">
      <c r="C278" s="222"/>
      <c r="F278" s="222"/>
      <c r="H278" s="223"/>
      <c r="AA278" s="223"/>
      <c r="AB278" s="223"/>
      <c r="AC278" s="232"/>
    </row>
    <row r="279">
      <c r="C279" s="222"/>
      <c r="F279" s="222"/>
      <c r="H279" s="223"/>
      <c r="AA279" s="223"/>
      <c r="AB279" s="223"/>
      <c r="AC279" s="232"/>
    </row>
    <row r="280">
      <c r="C280" s="222"/>
      <c r="F280" s="222"/>
      <c r="H280" s="223"/>
      <c r="AA280" s="223"/>
      <c r="AB280" s="223"/>
      <c r="AC280" s="232"/>
    </row>
    <row r="281">
      <c r="C281" s="222"/>
      <c r="F281" s="222"/>
      <c r="H281" s="223"/>
      <c r="AA281" s="223"/>
      <c r="AB281" s="223"/>
      <c r="AC281" s="232"/>
    </row>
    <row r="282">
      <c r="C282" s="222"/>
      <c r="F282" s="222"/>
      <c r="H282" s="223"/>
      <c r="AA282" s="223"/>
      <c r="AB282" s="223"/>
      <c r="AC282" s="232"/>
    </row>
    <row r="283">
      <c r="C283" s="222"/>
      <c r="F283" s="222"/>
      <c r="H283" s="223"/>
      <c r="AA283" s="223"/>
      <c r="AB283" s="223"/>
      <c r="AC283" s="232"/>
    </row>
    <row r="284">
      <c r="C284" s="222"/>
      <c r="F284" s="222"/>
      <c r="H284" s="223"/>
      <c r="AA284" s="223"/>
      <c r="AB284" s="223"/>
      <c r="AC284" s="232"/>
    </row>
    <row r="285">
      <c r="C285" s="222"/>
      <c r="F285" s="222"/>
      <c r="H285" s="223"/>
      <c r="AA285" s="223"/>
      <c r="AB285" s="223"/>
      <c r="AC285" s="232"/>
    </row>
    <row r="286">
      <c r="C286" s="222"/>
      <c r="F286" s="222"/>
      <c r="H286" s="223"/>
      <c r="AA286" s="223"/>
      <c r="AB286" s="223"/>
      <c r="AC286" s="232"/>
    </row>
    <row r="287">
      <c r="C287" s="222"/>
      <c r="F287" s="222"/>
      <c r="H287" s="223"/>
      <c r="AA287" s="223"/>
      <c r="AB287" s="223"/>
      <c r="AC287" s="232"/>
    </row>
    <row r="288">
      <c r="C288" s="222"/>
      <c r="F288" s="222"/>
      <c r="H288" s="223"/>
      <c r="AA288" s="223"/>
      <c r="AB288" s="223"/>
      <c r="AC288" s="232"/>
    </row>
    <row r="289">
      <c r="C289" s="222"/>
      <c r="F289" s="222"/>
      <c r="H289" s="223"/>
      <c r="AA289" s="223"/>
      <c r="AB289" s="223"/>
      <c r="AC289" s="232"/>
    </row>
    <row r="290">
      <c r="C290" s="222"/>
      <c r="F290" s="222"/>
      <c r="H290" s="223"/>
      <c r="AA290" s="223"/>
      <c r="AB290" s="223"/>
      <c r="AC290" s="232"/>
    </row>
    <row r="291">
      <c r="C291" s="222"/>
      <c r="F291" s="222"/>
      <c r="H291" s="223"/>
      <c r="AA291" s="223"/>
      <c r="AB291" s="223"/>
      <c r="AC291" s="232"/>
    </row>
    <row r="292">
      <c r="C292" s="222"/>
      <c r="F292" s="222"/>
      <c r="H292" s="223"/>
      <c r="AA292" s="223"/>
      <c r="AB292" s="223"/>
      <c r="AC292" s="232"/>
    </row>
    <row r="293">
      <c r="C293" s="222"/>
      <c r="F293" s="222"/>
      <c r="H293" s="223"/>
      <c r="AA293" s="223"/>
      <c r="AB293" s="223"/>
      <c r="AC293" s="232"/>
    </row>
    <row r="294">
      <c r="C294" s="222"/>
      <c r="F294" s="222"/>
      <c r="H294" s="223"/>
      <c r="AA294" s="223"/>
      <c r="AB294" s="223"/>
      <c r="AC294" s="232"/>
    </row>
    <row r="295">
      <c r="C295" s="222"/>
      <c r="F295" s="222"/>
      <c r="H295" s="223"/>
      <c r="AA295" s="223"/>
      <c r="AB295" s="223"/>
      <c r="AC295" s="232"/>
    </row>
    <row r="296">
      <c r="C296" s="222"/>
      <c r="F296" s="222"/>
      <c r="H296" s="223"/>
      <c r="AA296" s="223"/>
      <c r="AB296" s="223"/>
      <c r="AC296" s="232"/>
    </row>
    <row r="297">
      <c r="C297" s="222"/>
      <c r="F297" s="222"/>
      <c r="H297" s="223"/>
      <c r="AA297" s="223"/>
      <c r="AB297" s="223"/>
      <c r="AC297" s="232"/>
    </row>
    <row r="298">
      <c r="C298" s="222"/>
      <c r="F298" s="222"/>
      <c r="H298" s="223"/>
      <c r="AA298" s="223"/>
      <c r="AB298" s="223"/>
      <c r="AC298" s="232"/>
    </row>
    <row r="299">
      <c r="C299" s="222"/>
      <c r="F299" s="222"/>
      <c r="H299" s="223"/>
      <c r="AA299" s="223"/>
      <c r="AB299" s="223"/>
      <c r="AC299" s="232"/>
    </row>
    <row r="300">
      <c r="C300" s="222"/>
      <c r="F300" s="222"/>
      <c r="H300" s="223"/>
      <c r="AA300" s="223"/>
      <c r="AB300" s="223"/>
      <c r="AC300" s="232"/>
    </row>
    <row r="301">
      <c r="C301" s="222"/>
      <c r="F301" s="222"/>
      <c r="H301" s="223"/>
      <c r="AA301" s="223"/>
      <c r="AB301" s="223"/>
      <c r="AC301" s="232"/>
    </row>
    <row r="302">
      <c r="C302" s="222"/>
      <c r="F302" s="222"/>
      <c r="H302" s="223"/>
      <c r="AA302" s="223"/>
      <c r="AB302" s="223"/>
      <c r="AC302" s="232"/>
    </row>
    <row r="303">
      <c r="C303" s="222"/>
      <c r="F303" s="222"/>
      <c r="H303" s="223"/>
      <c r="AA303" s="223"/>
      <c r="AB303" s="223"/>
      <c r="AC303" s="232"/>
    </row>
    <row r="304">
      <c r="C304" s="222"/>
      <c r="F304" s="222"/>
      <c r="H304" s="223"/>
      <c r="AA304" s="223"/>
      <c r="AB304" s="223"/>
      <c r="AC304" s="232"/>
    </row>
    <row r="305">
      <c r="C305" s="222"/>
      <c r="F305" s="222"/>
      <c r="H305" s="223"/>
      <c r="AA305" s="223"/>
      <c r="AB305" s="223"/>
      <c r="AC305" s="232"/>
    </row>
    <row r="306">
      <c r="C306" s="222"/>
      <c r="F306" s="222"/>
      <c r="H306" s="223"/>
      <c r="AA306" s="223"/>
      <c r="AB306" s="223"/>
      <c r="AC306" s="232"/>
    </row>
    <row r="307">
      <c r="C307" s="222"/>
      <c r="F307" s="222"/>
      <c r="H307" s="223"/>
      <c r="AA307" s="223"/>
      <c r="AB307" s="223"/>
      <c r="AC307" s="232"/>
    </row>
    <row r="308">
      <c r="C308" s="222"/>
      <c r="F308" s="222"/>
      <c r="H308" s="223"/>
      <c r="AA308" s="223"/>
      <c r="AB308" s="223"/>
      <c r="AC308" s="232"/>
    </row>
    <row r="309">
      <c r="C309" s="222"/>
      <c r="F309" s="222"/>
      <c r="H309" s="223"/>
      <c r="AA309" s="223"/>
      <c r="AB309" s="223"/>
      <c r="AC309" s="232"/>
    </row>
    <row r="310">
      <c r="C310" s="222"/>
      <c r="F310" s="222"/>
      <c r="H310" s="223"/>
      <c r="AA310" s="223"/>
      <c r="AB310" s="223"/>
      <c r="AC310" s="232"/>
    </row>
    <row r="311">
      <c r="C311" s="222"/>
      <c r="F311" s="222"/>
      <c r="H311" s="223"/>
      <c r="AA311" s="223"/>
      <c r="AB311" s="223"/>
      <c r="AC311" s="232"/>
    </row>
    <row r="312">
      <c r="C312" s="222"/>
      <c r="F312" s="222"/>
      <c r="H312" s="223"/>
      <c r="AA312" s="223"/>
      <c r="AB312" s="223"/>
      <c r="AC312" s="232"/>
    </row>
    <row r="313">
      <c r="C313" s="222"/>
      <c r="F313" s="222"/>
      <c r="H313" s="223"/>
      <c r="AA313" s="223"/>
      <c r="AB313" s="223"/>
      <c r="AC313" s="232"/>
    </row>
    <row r="314">
      <c r="C314" s="222"/>
      <c r="F314" s="222"/>
      <c r="H314" s="223"/>
      <c r="AA314" s="223"/>
      <c r="AB314" s="223"/>
      <c r="AC314" s="232"/>
    </row>
    <row r="315">
      <c r="C315" s="222"/>
      <c r="F315" s="222"/>
      <c r="H315" s="223"/>
      <c r="AA315" s="223"/>
      <c r="AB315" s="223"/>
      <c r="AC315" s="232"/>
    </row>
    <row r="316">
      <c r="C316" s="222"/>
      <c r="F316" s="222"/>
      <c r="H316" s="223"/>
      <c r="AA316" s="223"/>
      <c r="AB316" s="223"/>
      <c r="AC316" s="232"/>
    </row>
    <row r="317">
      <c r="C317" s="222"/>
      <c r="F317" s="222"/>
      <c r="H317" s="223"/>
      <c r="AA317" s="223"/>
      <c r="AB317" s="223"/>
      <c r="AC317" s="232"/>
    </row>
    <row r="318">
      <c r="C318" s="222"/>
      <c r="F318" s="222"/>
      <c r="H318" s="223"/>
      <c r="AA318" s="223"/>
      <c r="AB318" s="223"/>
      <c r="AC318" s="232"/>
    </row>
    <row r="319">
      <c r="C319" s="222"/>
      <c r="F319" s="222"/>
      <c r="H319" s="223"/>
      <c r="AA319" s="223"/>
      <c r="AB319" s="223"/>
      <c r="AC319" s="232"/>
    </row>
    <row r="320">
      <c r="C320" s="222"/>
      <c r="F320" s="222"/>
      <c r="H320" s="223"/>
      <c r="AA320" s="223"/>
      <c r="AB320" s="223"/>
      <c r="AC320" s="232"/>
    </row>
    <row r="321">
      <c r="C321" s="222"/>
      <c r="F321" s="222"/>
      <c r="H321" s="223"/>
      <c r="AA321" s="223"/>
      <c r="AB321" s="223"/>
      <c r="AC321" s="232"/>
    </row>
    <row r="322">
      <c r="C322" s="222"/>
      <c r="F322" s="222"/>
      <c r="H322" s="223"/>
      <c r="AA322" s="223"/>
      <c r="AB322" s="223"/>
      <c r="AC322" s="232"/>
    </row>
    <row r="323">
      <c r="C323" s="222"/>
      <c r="F323" s="222"/>
      <c r="H323" s="223"/>
      <c r="AA323" s="223"/>
      <c r="AB323" s="223"/>
      <c r="AC323" s="232"/>
    </row>
    <row r="324">
      <c r="C324" s="222"/>
      <c r="F324" s="222"/>
      <c r="H324" s="223"/>
      <c r="AA324" s="223"/>
      <c r="AB324" s="223"/>
      <c r="AC324" s="232"/>
    </row>
    <row r="325">
      <c r="C325" s="222"/>
      <c r="F325" s="222"/>
      <c r="H325" s="223"/>
      <c r="AA325" s="223"/>
      <c r="AB325" s="223"/>
      <c r="AC325" s="232"/>
    </row>
    <row r="326">
      <c r="C326" s="222"/>
      <c r="F326" s="222"/>
      <c r="H326" s="223"/>
      <c r="AA326" s="223"/>
      <c r="AB326" s="223"/>
      <c r="AC326" s="232"/>
    </row>
    <row r="327">
      <c r="C327" s="222"/>
      <c r="F327" s="222"/>
      <c r="H327" s="223"/>
      <c r="AA327" s="223"/>
      <c r="AB327" s="223"/>
      <c r="AC327" s="232"/>
    </row>
    <row r="328">
      <c r="C328" s="222"/>
      <c r="F328" s="222"/>
      <c r="H328" s="223"/>
      <c r="AA328" s="223"/>
      <c r="AB328" s="223"/>
      <c r="AC328" s="232"/>
    </row>
    <row r="329">
      <c r="C329" s="222"/>
      <c r="F329" s="222"/>
      <c r="H329" s="223"/>
      <c r="AA329" s="223"/>
      <c r="AB329" s="223"/>
      <c r="AC329" s="232"/>
    </row>
    <row r="330">
      <c r="C330" s="222"/>
      <c r="F330" s="222"/>
      <c r="H330" s="223"/>
      <c r="AA330" s="223"/>
      <c r="AB330" s="223"/>
      <c r="AC330" s="232"/>
    </row>
    <row r="331">
      <c r="C331" s="222"/>
      <c r="F331" s="222"/>
      <c r="H331" s="223"/>
      <c r="AA331" s="223"/>
      <c r="AB331" s="223"/>
      <c r="AC331" s="232"/>
    </row>
    <row r="332">
      <c r="C332" s="222"/>
      <c r="F332" s="222"/>
      <c r="H332" s="223"/>
      <c r="AA332" s="223"/>
      <c r="AB332" s="223"/>
      <c r="AC332" s="232"/>
    </row>
    <row r="333">
      <c r="C333" s="222"/>
      <c r="F333" s="222"/>
      <c r="H333" s="223"/>
      <c r="AA333" s="223"/>
      <c r="AB333" s="223"/>
      <c r="AC333" s="232"/>
    </row>
    <row r="334">
      <c r="C334" s="222"/>
      <c r="F334" s="222"/>
      <c r="H334" s="223"/>
      <c r="AA334" s="223"/>
      <c r="AB334" s="223"/>
      <c r="AC334" s="232"/>
    </row>
    <row r="335">
      <c r="C335" s="222"/>
      <c r="F335" s="222"/>
      <c r="H335" s="223"/>
      <c r="AA335" s="223"/>
      <c r="AB335" s="223"/>
      <c r="AC335" s="232"/>
    </row>
    <row r="336">
      <c r="C336" s="222"/>
      <c r="F336" s="222"/>
      <c r="H336" s="223"/>
      <c r="AA336" s="223"/>
      <c r="AB336" s="223"/>
      <c r="AC336" s="232"/>
    </row>
    <row r="337">
      <c r="C337" s="222"/>
      <c r="F337" s="222"/>
      <c r="H337" s="223"/>
      <c r="AA337" s="223"/>
      <c r="AB337" s="223"/>
      <c r="AC337" s="232"/>
    </row>
    <row r="338">
      <c r="C338" s="222"/>
      <c r="F338" s="222"/>
      <c r="H338" s="223"/>
      <c r="AA338" s="223"/>
      <c r="AB338" s="223"/>
      <c r="AC338" s="232"/>
    </row>
    <row r="339">
      <c r="C339" s="222"/>
      <c r="F339" s="222"/>
      <c r="H339" s="223"/>
      <c r="AA339" s="223"/>
      <c r="AB339" s="223"/>
      <c r="AC339" s="232"/>
    </row>
    <row r="340">
      <c r="C340" s="222"/>
      <c r="F340" s="222"/>
      <c r="H340" s="223"/>
      <c r="AA340" s="223"/>
      <c r="AB340" s="223"/>
      <c r="AC340" s="232"/>
    </row>
    <row r="341">
      <c r="C341" s="222"/>
      <c r="F341" s="222"/>
      <c r="H341" s="223"/>
      <c r="AA341" s="223"/>
      <c r="AB341" s="223"/>
      <c r="AC341" s="232"/>
    </row>
    <row r="342">
      <c r="C342" s="222"/>
      <c r="F342" s="222"/>
      <c r="H342" s="223"/>
      <c r="AA342" s="223"/>
      <c r="AB342" s="223"/>
      <c r="AC342" s="232"/>
    </row>
    <row r="343">
      <c r="C343" s="222"/>
      <c r="F343" s="222"/>
      <c r="H343" s="223"/>
      <c r="AA343" s="223"/>
      <c r="AB343" s="223"/>
      <c r="AC343" s="232"/>
    </row>
    <row r="344">
      <c r="C344" s="222"/>
      <c r="F344" s="222"/>
      <c r="H344" s="223"/>
      <c r="AA344" s="223"/>
      <c r="AB344" s="223"/>
      <c r="AC344" s="232"/>
    </row>
    <row r="345">
      <c r="C345" s="222"/>
      <c r="F345" s="222"/>
      <c r="H345" s="223"/>
      <c r="AA345" s="223"/>
      <c r="AB345" s="223"/>
      <c r="AC345" s="232"/>
    </row>
    <row r="346">
      <c r="C346" s="222"/>
      <c r="F346" s="222"/>
      <c r="H346" s="223"/>
      <c r="AA346" s="223"/>
      <c r="AB346" s="223"/>
      <c r="AC346" s="232"/>
    </row>
    <row r="347">
      <c r="C347" s="222"/>
      <c r="F347" s="222"/>
      <c r="H347" s="223"/>
      <c r="AA347" s="223"/>
      <c r="AB347" s="223"/>
      <c r="AC347" s="232"/>
    </row>
    <row r="348">
      <c r="C348" s="222"/>
      <c r="F348" s="222"/>
      <c r="H348" s="223"/>
      <c r="AA348" s="223"/>
      <c r="AB348" s="223"/>
      <c r="AC348" s="232"/>
    </row>
    <row r="349">
      <c r="C349" s="222"/>
      <c r="F349" s="222"/>
      <c r="H349" s="223"/>
      <c r="AA349" s="223"/>
      <c r="AB349" s="223"/>
      <c r="AC349" s="232"/>
    </row>
    <row r="350">
      <c r="C350" s="222"/>
      <c r="F350" s="222"/>
      <c r="H350" s="223"/>
      <c r="AA350" s="223"/>
      <c r="AB350" s="223"/>
      <c r="AC350" s="232"/>
    </row>
    <row r="351">
      <c r="C351" s="222"/>
      <c r="F351" s="222"/>
      <c r="H351" s="223"/>
      <c r="AA351" s="223"/>
      <c r="AB351" s="223"/>
      <c r="AC351" s="232"/>
    </row>
    <row r="352">
      <c r="C352" s="222"/>
      <c r="F352" s="222"/>
      <c r="H352" s="223"/>
      <c r="AA352" s="223"/>
      <c r="AB352" s="223"/>
      <c r="AC352" s="232"/>
    </row>
    <row r="353">
      <c r="C353" s="222"/>
      <c r="F353" s="222"/>
      <c r="H353" s="223"/>
      <c r="AA353" s="223"/>
      <c r="AB353" s="223"/>
      <c r="AC353" s="232"/>
    </row>
    <row r="354">
      <c r="C354" s="222"/>
      <c r="F354" s="222"/>
      <c r="H354" s="223"/>
      <c r="AA354" s="223"/>
      <c r="AB354" s="223"/>
      <c r="AC354" s="232"/>
    </row>
    <row r="355">
      <c r="C355" s="222"/>
      <c r="F355" s="222"/>
      <c r="H355" s="223"/>
      <c r="AA355" s="223"/>
      <c r="AB355" s="223"/>
      <c r="AC355" s="232"/>
    </row>
    <row r="356">
      <c r="C356" s="222"/>
      <c r="F356" s="222"/>
      <c r="H356" s="223"/>
      <c r="AA356" s="223"/>
      <c r="AB356" s="223"/>
      <c r="AC356" s="232"/>
    </row>
    <row r="357">
      <c r="C357" s="222"/>
      <c r="F357" s="222"/>
      <c r="H357" s="223"/>
      <c r="AA357" s="223"/>
      <c r="AB357" s="223"/>
      <c r="AC357" s="232"/>
    </row>
    <row r="358">
      <c r="C358" s="222"/>
      <c r="F358" s="222"/>
      <c r="H358" s="223"/>
      <c r="AA358" s="223"/>
      <c r="AB358" s="223"/>
      <c r="AC358" s="232"/>
    </row>
    <row r="359">
      <c r="C359" s="222"/>
      <c r="F359" s="222"/>
      <c r="H359" s="223"/>
      <c r="AA359" s="223"/>
      <c r="AB359" s="223"/>
      <c r="AC359" s="232"/>
    </row>
    <row r="360">
      <c r="C360" s="222"/>
      <c r="F360" s="222"/>
      <c r="H360" s="223"/>
      <c r="AA360" s="223"/>
      <c r="AB360" s="223"/>
      <c r="AC360" s="232"/>
    </row>
    <row r="361">
      <c r="C361" s="222"/>
      <c r="F361" s="222"/>
      <c r="H361" s="223"/>
      <c r="AA361" s="223"/>
      <c r="AB361" s="223"/>
      <c r="AC361" s="232"/>
    </row>
    <row r="362">
      <c r="C362" s="222"/>
      <c r="F362" s="222"/>
      <c r="H362" s="223"/>
      <c r="AA362" s="223"/>
      <c r="AB362" s="223"/>
      <c r="AC362" s="232"/>
    </row>
    <row r="363">
      <c r="C363" s="222"/>
      <c r="F363" s="222"/>
      <c r="H363" s="223"/>
      <c r="AA363" s="223"/>
      <c r="AB363" s="223"/>
      <c r="AC363" s="232"/>
    </row>
    <row r="364">
      <c r="C364" s="222"/>
      <c r="F364" s="222"/>
      <c r="H364" s="223"/>
      <c r="AA364" s="223"/>
      <c r="AB364" s="223"/>
      <c r="AC364" s="232"/>
    </row>
    <row r="365">
      <c r="C365" s="222"/>
      <c r="F365" s="222"/>
      <c r="H365" s="223"/>
      <c r="AA365" s="223"/>
      <c r="AB365" s="223"/>
      <c r="AC365" s="232"/>
    </row>
    <row r="366">
      <c r="C366" s="222"/>
      <c r="F366" s="222"/>
      <c r="H366" s="223"/>
      <c r="AA366" s="223"/>
      <c r="AB366" s="223"/>
      <c r="AC366" s="232"/>
    </row>
    <row r="367">
      <c r="C367" s="222"/>
      <c r="F367" s="222"/>
      <c r="H367" s="223"/>
      <c r="AA367" s="223"/>
      <c r="AB367" s="223"/>
      <c r="AC367" s="232"/>
    </row>
    <row r="368">
      <c r="C368" s="222"/>
      <c r="F368" s="222"/>
      <c r="H368" s="223"/>
      <c r="AA368" s="223"/>
      <c r="AB368" s="223"/>
      <c r="AC368" s="232"/>
    </row>
    <row r="369">
      <c r="C369" s="222"/>
      <c r="F369" s="222"/>
      <c r="H369" s="223"/>
      <c r="AA369" s="223"/>
      <c r="AB369" s="223"/>
      <c r="AC369" s="232"/>
    </row>
    <row r="370">
      <c r="C370" s="222"/>
      <c r="F370" s="222"/>
      <c r="H370" s="223"/>
      <c r="AA370" s="223"/>
      <c r="AB370" s="223"/>
      <c r="AC370" s="232"/>
    </row>
    <row r="371">
      <c r="C371" s="222"/>
      <c r="F371" s="222"/>
      <c r="H371" s="223"/>
      <c r="AA371" s="223"/>
      <c r="AB371" s="223"/>
      <c r="AC371" s="232"/>
    </row>
    <row r="372">
      <c r="C372" s="222"/>
      <c r="F372" s="222"/>
      <c r="H372" s="223"/>
      <c r="AA372" s="223"/>
      <c r="AB372" s="223"/>
      <c r="AC372" s="232"/>
    </row>
    <row r="373">
      <c r="C373" s="222"/>
      <c r="F373" s="222"/>
      <c r="H373" s="223"/>
      <c r="AA373" s="223"/>
      <c r="AB373" s="223"/>
      <c r="AC373" s="232"/>
    </row>
    <row r="374">
      <c r="C374" s="222"/>
      <c r="F374" s="222"/>
      <c r="H374" s="223"/>
      <c r="AA374" s="223"/>
      <c r="AB374" s="223"/>
      <c r="AC374" s="232"/>
    </row>
    <row r="375">
      <c r="C375" s="222"/>
      <c r="F375" s="222"/>
      <c r="H375" s="223"/>
      <c r="AA375" s="223"/>
      <c r="AB375" s="223"/>
      <c r="AC375" s="232"/>
    </row>
    <row r="376">
      <c r="C376" s="222"/>
      <c r="F376" s="222"/>
      <c r="H376" s="223"/>
      <c r="AA376" s="223"/>
      <c r="AB376" s="223"/>
      <c r="AC376" s="232"/>
    </row>
    <row r="377">
      <c r="C377" s="222"/>
      <c r="F377" s="222"/>
      <c r="H377" s="223"/>
      <c r="AA377" s="223"/>
      <c r="AB377" s="223"/>
      <c r="AC377" s="232"/>
    </row>
    <row r="378">
      <c r="C378" s="222"/>
      <c r="F378" s="222"/>
      <c r="H378" s="223"/>
      <c r="AA378" s="223"/>
      <c r="AB378" s="223"/>
      <c r="AC378" s="232"/>
    </row>
    <row r="379">
      <c r="C379" s="222"/>
      <c r="F379" s="222"/>
      <c r="H379" s="223"/>
      <c r="AA379" s="223"/>
      <c r="AB379" s="223"/>
      <c r="AC379" s="232"/>
    </row>
    <row r="380">
      <c r="C380" s="222"/>
      <c r="F380" s="222"/>
      <c r="H380" s="223"/>
      <c r="AA380" s="223"/>
      <c r="AB380" s="223"/>
      <c r="AC380" s="232"/>
    </row>
    <row r="381">
      <c r="C381" s="222"/>
      <c r="F381" s="222"/>
      <c r="H381" s="223"/>
      <c r="AA381" s="223"/>
      <c r="AB381" s="223"/>
      <c r="AC381" s="232"/>
    </row>
    <row r="382">
      <c r="C382" s="222"/>
      <c r="F382" s="222"/>
      <c r="H382" s="223"/>
      <c r="AA382" s="223"/>
      <c r="AB382" s="223"/>
      <c r="AC382" s="232"/>
    </row>
    <row r="383">
      <c r="C383" s="222"/>
      <c r="F383" s="222"/>
      <c r="H383" s="223"/>
      <c r="AA383" s="223"/>
      <c r="AB383" s="223"/>
      <c r="AC383" s="232"/>
    </row>
    <row r="384">
      <c r="C384" s="222"/>
      <c r="F384" s="222"/>
      <c r="H384" s="223"/>
      <c r="AA384" s="223"/>
      <c r="AB384" s="223"/>
      <c r="AC384" s="232"/>
    </row>
    <row r="385">
      <c r="C385" s="222"/>
      <c r="F385" s="222"/>
      <c r="H385" s="223"/>
      <c r="AA385" s="223"/>
      <c r="AB385" s="223"/>
      <c r="AC385" s="232"/>
    </row>
    <row r="386">
      <c r="C386" s="222"/>
      <c r="F386" s="222"/>
      <c r="H386" s="223"/>
      <c r="AA386" s="223"/>
      <c r="AB386" s="223"/>
      <c r="AC386" s="232"/>
    </row>
    <row r="387">
      <c r="C387" s="222"/>
      <c r="F387" s="222"/>
      <c r="H387" s="223"/>
      <c r="AA387" s="223"/>
      <c r="AB387" s="223"/>
      <c r="AC387" s="232"/>
    </row>
    <row r="388">
      <c r="C388" s="222"/>
      <c r="F388" s="222"/>
      <c r="H388" s="223"/>
      <c r="AA388" s="223"/>
      <c r="AB388" s="223"/>
      <c r="AC388" s="232"/>
    </row>
    <row r="389">
      <c r="C389" s="222"/>
      <c r="F389" s="222"/>
      <c r="H389" s="223"/>
      <c r="AA389" s="223"/>
      <c r="AB389" s="223"/>
      <c r="AC389" s="232"/>
    </row>
    <row r="390">
      <c r="C390" s="222"/>
      <c r="F390" s="222"/>
      <c r="H390" s="223"/>
      <c r="AA390" s="223"/>
      <c r="AB390" s="223"/>
      <c r="AC390" s="232"/>
    </row>
    <row r="391">
      <c r="C391" s="222"/>
      <c r="F391" s="222"/>
      <c r="H391" s="223"/>
      <c r="AA391" s="223"/>
      <c r="AB391" s="223"/>
      <c r="AC391" s="232"/>
    </row>
    <row r="392">
      <c r="C392" s="222"/>
      <c r="F392" s="222"/>
      <c r="H392" s="223"/>
      <c r="AA392" s="223"/>
      <c r="AB392" s="223"/>
      <c r="AC392" s="232"/>
    </row>
    <row r="393">
      <c r="C393" s="222"/>
      <c r="F393" s="222"/>
      <c r="H393" s="223"/>
      <c r="AA393" s="223"/>
      <c r="AB393" s="223"/>
      <c r="AC393" s="232"/>
    </row>
    <row r="394">
      <c r="C394" s="222"/>
      <c r="F394" s="222"/>
      <c r="H394" s="223"/>
      <c r="AA394" s="223"/>
      <c r="AB394" s="223"/>
      <c r="AC394" s="232"/>
    </row>
    <row r="395">
      <c r="C395" s="222"/>
      <c r="F395" s="222"/>
      <c r="H395" s="223"/>
      <c r="AA395" s="223"/>
      <c r="AB395" s="223"/>
      <c r="AC395" s="232"/>
    </row>
    <row r="396">
      <c r="C396" s="222"/>
      <c r="F396" s="222"/>
      <c r="H396" s="223"/>
      <c r="AA396" s="223"/>
      <c r="AB396" s="223"/>
      <c r="AC396" s="232"/>
    </row>
    <row r="397">
      <c r="C397" s="222"/>
      <c r="F397" s="222"/>
      <c r="H397" s="223"/>
      <c r="AA397" s="223"/>
      <c r="AB397" s="223"/>
      <c r="AC397" s="232"/>
    </row>
    <row r="398">
      <c r="C398" s="222"/>
      <c r="F398" s="222"/>
      <c r="H398" s="223"/>
      <c r="AA398" s="223"/>
      <c r="AB398" s="223"/>
      <c r="AC398" s="232"/>
    </row>
    <row r="399">
      <c r="C399" s="222"/>
      <c r="F399" s="222"/>
      <c r="H399" s="223"/>
      <c r="AA399" s="223"/>
      <c r="AB399" s="223"/>
      <c r="AC399" s="232"/>
    </row>
    <row r="400">
      <c r="C400" s="222"/>
      <c r="F400" s="222"/>
      <c r="H400" s="223"/>
      <c r="AA400" s="223"/>
      <c r="AB400" s="223"/>
      <c r="AC400" s="232"/>
    </row>
    <row r="401">
      <c r="C401" s="222"/>
      <c r="F401" s="222"/>
      <c r="H401" s="223"/>
      <c r="AA401" s="223"/>
      <c r="AB401" s="223"/>
      <c r="AC401" s="232"/>
    </row>
    <row r="402">
      <c r="C402" s="222"/>
      <c r="F402" s="222"/>
      <c r="H402" s="223"/>
      <c r="AA402" s="223"/>
      <c r="AB402" s="223"/>
      <c r="AC402" s="232"/>
    </row>
    <row r="403">
      <c r="C403" s="222"/>
      <c r="F403" s="222"/>
      <c r="H403" s="223"/>
      <c r="AA403" s="223"/>
      <c r="AB403" s="223"/>
      <c r="AC403" s="232"/>
    </row>
    <row r="404">
      <c r="C404" s="222"/>
      <c r="F404" s="222"/>
      <c r="H404" s="223"/>
      <c r="AA404" s="223"/>
      <c r="AB404" s="223"/>
      <c r="AC404" s="232"/>
    </row>
    <row r="405">
      <c r="C405" s="222"/>
      <c r="F405" s="222"/>
      <c r="H405" s="223"/>
      <c r="AA405" s="223"/>
      <c r="AB405" s="223"/>
      <c r="AC405" s="232"/>
    </row>
    <row r="406">
      <c r="C406" s="222"/>
      <c r="F406" s="222"/>
      <c r="H406" s="223"/>
      <c r="AA406" s="223"/>
      <c r="AB406" s="223"/>
      <c r="AC406" s="232"/>
    </row>
    <row r="407">
      <c r="C407" s="222"/>
      <c r="F407" s="222"/>
      <c r="H407" s="223"/>
      <c r="AA407" s="223"/>
      <c r="AB407" s="223"/>
      <c r="AC407" s="232"/>
    </row>
    <row r="408">
      <c r="C408" s="222"/>
      <c r="F408" s="222"/>
      <c r="H408" s="223"/>
      <c r="AA408" s="223"/>
      <c r="AB408" s="223"/>
      <c r="AC408" s="232"/>
    </row>
    <row r="409">
      <c r="C409" s="222"/>
      <c r="F409" s="222"/>
      <c r="H409" s="223"/>
      <c r="AA409" s="223"/>
      <c r="AB409" s="223"/>
      <c r="AC409" s="232"/>
    </row>
    <row r="410">
      <c r="C410" s="222"/>
      <c r="F410" s="222"/>
      <c r="H410" s="223"/>
      <c r="AA410" s="223"/>
      <c r="AB410" s="223"/>
      <c r="AC410" s="232"/>
    </row>
    <row r="411">
      <c r="C411" s="222"/>
      <c r="F411" s="222"/>
      <c r="H411" s="223"/>
      <c r="AA411" s="223"/>
      <c r="AB411" s="223"/>
      <c r="AC411" s="232"/>
    </row>
    <row r="412">
      <c r="C412" s="222"/>
      <c r="F412" s="222"/>
      <c r="H412" s="223"/>
      <c r="AA412" s="223"/>
      <c r="AB412" s="223"/>
      <c r="AC412" s="232"/>
    </row>
    <row r="413">
      <c r="C413" s="222"/>
      <c r="F413" s="222"/>
      <c r="H413" s="223"/>
      <c r="AA413" s="223"/>
      <c r="AB413" s="223"/>
      <c r="AC413" s="232"/>
    </row>
    <row r="414">
      <c r="C414" s="222"/>
      <c r="F414" s="222"/>
      <c r="H414" s="223"/>
      <c r="AA414" s="223"/>
      <c r="AB414" s="223"/>
      <c r="AC414" s="232"/>
    </row>
    <row r="415">
      <c r="C415" s="222"/>
      <c r="F415" s="222"/>
      <c r="H415" s="223"/>
      <c r="AA415" s="223"/>
      <c r="AB415" s="223"/>
      <c r="AC415" s="232"/>
    </row>
    <row r="416">
      <c r="C416" s="222"/>
      <c r="F416" s="222"/>
      <c r="H416" s="223"/>
      <c r="AA416" s="223"/>
      <c r="AB416" s="223"/>
      <c r="AC416" s="232"/>
    </row>
    <row r="417">
      <c r="C417" s="222"/>
      <c r="F417" s="222"/>
      <c r="H417" s="223"/>
      <c r="AA417" s="223"/>
      <c r="AB417" s="223"/>
      <c r="AC417" s="232"/>
    </row>
    <row r="418">
      <c r="C418" s="222"/>
      <c r="F418" s="222"/>
      <c r="H418" s="223"/>
      <c r="AA418" s="223"/>
      <c r="AB418" s="223"/>
      <c r="AC418" s="232"/>
    </row>
    <row r="419">
      <c r="C419" s="222"/>
      <c r="F419" s="222"/>
      <c r="H419" s="223"/>
      <c r="AA419" s="223"/>
      <c r="AB419" s="223"/>
      <c r="AC419" s="232"/>
    </row>
    <row r="420">
      <c r="C420" s="222"/>
      <c r="F420" s="222"/>
      <c r="H420" s="223"/>
      <c r="AA420" s="223"/>
      <c r="AB420" s="223"/>
      <c r="AC420" s="232"/>
    </row>
    <row r="421">
      <c r="C421" s="222"/>
      <c r="F421" s="222"/>
      <c r="H421" s="223"/>
      <c r="AA421" s="223"/>
      <c r="AB421" s="223"/>
      <c r="AC421" s="232"/>
    </row>
    <row r="422">
      <c r="C422" s="222"/>
      <c r="F422" s="222"/>
      <c r="H422" s="223"/>
      <c r="AA422" s="223"/>
      <c r="AB422" s="223"/>
      <c r="AC422" s="232"/>
    </row>
    <row r="423">
      <c r="C423" s="222"/>
      <c r="F423" s="222"/>
      <c r="H423" s="223"/>
      <c r="AA423" s="223"/>
      <c r="AB423" s="223"/>
      <c r="AC423" s="232"/>
    </row>
    <row r="424">
      <c r="C424" s="222"/>
      <c r="F424" s="222"/>
      <c r="H424" s="223"/>
      <c r="AA424" s="223"/>
      <c r="AB424" s="223"/>
      <c r="AC424" s="232"/>
    </row>
    <row r="425">
      <c r="C425" s="222"/>
      <c r="F425" s="222"/>
      <c r="H425" s="223"/>
      <c r="AA425" s="223"/>
      <c r="AB425" s="223"/>
      <c r="AC425" s="232"/>
    </row>
    <row r="426">
      <c r="C426" s="222"/>
      <c r="F426" s="222"/>
      <c r="H426" s="223"/>
      <c r="AA426" s="223"/>
      <c r="AB426" s="223"/>
      <c r="AC426" s="232"/>
    </row>
    <row r="427">
      <c r="C427" s="222"/>
      <c r="F427" s="222"/>
      <c r="H427" s="223"/>
      <c r="AA427" s="223"/>
      <c r="AB427" s="223"/>
      <c r="AC427" s="232"/>
    </row>
    <row r="428">
      <c r="C428" s="222"/>
      <c r="F428" s="222"/>
      <c r="H428" s="223"/>
      <c r="AA428" s="223"/>
      <c r="AB428" s="223"/>
      <c r="AC428" s="232"/>
    </row>
    <row r="429">
      <c r="C429" s="222"/>
      <c r="F429" s="222"/>
      <c r="H429" s="223"/>
      <c r="AA429" s="223"/>
      <c r="AB429" s="223"/>
      <c r="AC429" s="232"/>
    </row>
    <row r="430">
      <c r="C430" s="222"/>
      <c r="F430" s="222"/>
      <c r="H430" s="223"/>
      <c r="AA430" s="223"/>
      <c r="AB430" s="223"/>
      <c r="AC430" s="232"/>
    </row>
    <row r="431">
      <c r="C431" s="222"/>
      <c r="F431" s="222"/>
      <c r="H431" s="223"/>
      <c r="AA431" s="223"/>
      <c r="AB431" s="223"/>
      <c r="AC431" s="232"/>
    </row>
    <row r="432">
      <c r="C432" s="222"/>
      <c r="F432" s="222"/>
      <c r="H432" s="223"/>
      <c r="AA432" s="223"/>
      <c r="AB432" s="223"/>
      <c r="AC432" s="232"/>
    </row>
    <row r="433">
      <c r="C433" s="222"/>
      <c r="F433" s="222"/>
      <c r="H433" s="223"/>
      <c r="AA433" s="223"/>
      <c r="AB433" s="223"/>
      <c r="AC433" s="232"/>
    </row>
    <row r="434">
      <c r="C434" s="222"/>
      <c r="F434" s="222"/>
      <c r="H434" s="223"/>
      <c r="AA434" s="223"/>
      <c r="AB434" s="223"/>
      <c r="AC434" s="232"/>
    </row>
    <row r="435">
      <c r="C435" s="222"/>
      <c r="F435" s="222"/>
      <c r="H435" s="223"/>
      <c r="AA435" s="223"/>
      <c r="AB435" s="223"/>
      <c r="AC435" s="232"/>
    </row>
    <row r="436">
      <c r="C436" s="222"/>
      <c r="F436" s="222"/>
      <c r="H436" s="223"/>
      <c r="AA436" s="223"/>
      <c r="AB436" s="223"/>
      <c r="AC436" s="232"/>
    </row>
    <row r="437">
      <c r="C437" s="222"/>
      <c r="F437" s="222"/>
      <c r="H437" s="223"/>
      <c r="AA437" s="223"/>
      <c r="AB437" s="223"/>
      <c r="AC437" s="232"/>
    </row>
    <row r="438">
      <c r="C438" s="222"/>
      <c r="F438" s="222"/>
      <c r="H438" s="223"/>
      <c r="AA438" s="223"/>
      <c r="AB438" s="223"/>
      <c r="AC438" s="232"/>
    </row>
    <row r="439">
      <c r="C439" s="222"/>
      <c r="F439" s="222"/>
      <c r="H439" s="223"/>
      <c r="AA439" s="223"/>
      <c r="AB439" s="223"/>
      <c r="AC439" s="232"/>
    </row>
    <row r="440">
      <c r="C440" s="222"/>
      <c r="F440" s="222"/>
      <c r="H440" s="223"/>
      <c r="AA440" s="223"/>
      <c r="AB440" s="223"/>
      <c r="AC440" s="232"/>
    </row>
    <row r="441">
      <c r="C441" s="222"/>
      <c r="F441" s="222"/>
      <c r="H441" s="223"/>
      <c r="AA441" s="223"/>
      <c r="AB441" s="223"/>
      <c r="AC441" s="232"/>
    </row>
    <row r="442">
      <c r="C442" s="222"/>
      <c r="F442" s="222"/>
      <c r="H442" s="223"/>
      <c r="AA442" s="223"/>
      <c r="AB442" s="223"/>
      <c r="AC442" s="232"/>
    </row>
    <row r="443">
      <c r="C443" s="222"/>
      <c r="F443" s="222"/>
      <c r="H443" s="223"/>
      <c r="AA443" s="223"/>
      <c r="AB443" s="223"/>
      <c r="AC443" s="232"/>
    </row>
    <row r="444">
      <c r="C444" s="222"/>
      <c r="F444" s="222"/>
      <c r="H444" s="223"/>
      <c r="AA444" s="223"/>
      <c r="AB444" s="223"/>
      <c r="AC444" s="232"/>
    </row>
    <row r="445">
      <c r="C445" s="222"/>
      <c r="F445" s="222"/>
      <c r="H445" s="223"/>
      <c r="AA445" s="223"/>
      <c r="AB445" s="223"/>
      <c r="AC445" s="232"/>
    </row>
    <row r="446">
      <c r="C446" s="222"/>
      <c r="F446" s="222"/>
      <c r="H446" s="223"/>
      <c r="AA446" s="223"/>
      <c r="AB446" s="223"/>
      <c r="AC446" s="232"/>
    </row>
    <row r="447">
      <c r="C447" s="222"/>
      <c r="F447" s="222"/>
      <c r="H447" s="223"/>
      <c r="AA447" s="223"/>
      <c r="AB447" s="223"/>
      <c r="AC447" s="232"/>
    </row>
    <row r="448">
      <c r="C448" s="222"/>
      <c r="F448" s="222"/>
      <c r="H448" s="223"/>
      <c r="AA448" s="223"/>
      <c r="AB448" s="223"/>
      <c r="AC448" s="232"/>
    </row>
    <row r="449">
      <c r="C449" s="222"/>
      <c r="F449" s="222"/>
      <c r="H449" s="223"/>
      <c r="AA449" s="223"/>
      <c r="AB449" s="223"/>
      <c r="AC449" s="232"/>
    </row>
    <row r="450">
      <c r="C450" s="222"/>
      <c r="F450" s="222"/>
      <c r="H450" s="223"/>
      <c r="AA450" s="223"/>
      <c r="AB450" s="223"/>
      <c r="AC450" s="232"/>
    </row>
    <row r="451">
      <c r="C451" s="222"/>
      <c r="F451" s="222"/>
      <c r="H451" s="223"/>
      <c r="AA451" s="223"/>
      <c r="AB451" s="223"/>
      <c r="AC451" s="232"/>
    </row>
    <row r="452">
      <c r="C452" s="222"/>
      <c r="F452" s="222"/>
      <c r="H452" s="223"/>
      <c r="AA452" s="223"/>
      <c r="AB452" s="223"/>
      <c r="AC452" s="232"/>
    </row>
    <row r="453">
      <c r="C453" s="222"/>
      <c r="F453" s="222"/>
      <c r="H453" s="223"/>
      <c r="AA453" s="223"/>
      <c r="AB453" s="223"/>
      <c r="AC453" s="232"/>
    </row>
    <row r="454">
      <c r="C454" s="222"/>
      <c r="F454" s="222"/>
      <c r="H454" s="223"/>
      <c r="AA454" s="223"/>
      <c r="AB454" s="223"/>
      <c r="AC454" s="232"/>
    </row>
    <row r="455">
      <c r="C455" s="222"/>
      <c r="F455" s="222"/>
      <c r="H455" s="223"/>
      <c r="AA455" s="223"/>
      <c r="AB455" s="223"/>
      <c r="AC455" s="232"/>
    </row>
    <row r="456">
      <c r="C456" s="222"/>
      <c r="F456" s="222"/>
      <c r="H456" s="223"/>
      <c r="AA456" s="223"/>
      <c r="AB456" s="223"/>
      <c r="AC456" s="232"/>
    </row>
    <row r="457">
      <c r="C457" s="222"/>
      <c r="F457" s="222"/>
      <c r="H457" s="223"/>
      <c r="AA457" s="223"/>
      <c r="AB457" s="223"/>
      <c r="AC457" s="232"/>
    </row>
    <row r="458">
      <c r="C458" s="222"/>
      <c r="F458" s="222"/>
      <c r="H458" s="223"/>
      <c r="AA458" s="223"/>
      <c r="AB458" s="223"/>
      <c r="AC458" s="232"/>
    </row>
    <row r="459">
      <c r="C459" s="222"/>
      <c r="F459" s="222"/>
      <c r="H459" s="223"/>
      <c r="AA459" s="223"/>
      <c r="AB459" s="223"/>
      <c r="AC459" s="232"/>
    </row>
    <row r="460">
      <c r="C460" s="222"/>
      <c r="F460" s="222"/>
      <c r="H460" s="223"/>
      <c r="AA460" s="223"/>
      <c r="AB460" s="223"/>
      <c r="AC460" s="232"/>
    </row>
    <row r="461">
      <c r="C461" s="222"/>
      <c r="F461" s="222"/>
      <c r="H461" s="223"/>
      <c r="AA461" s="223"/>
      <c r="AB461" s="223"/>
      <c r="AC461" s="232"/>
    </row>
    <row r="462">
      <c r="C462" s="222"/>
      <c r="F462" s="222"/>
      <c r="H462" s="223"/>
      <c r="AA462" s="223"/>
      <c r="AB462" s="223"/>
      <c r="AC462" s="232"/>
    </row>
    <row r="463">
      <c r="C463" s="222"/>
      <c r="F463" s="222"/>
      <c r="H463" s="223"/>
      <c r="AA463" s="223"/>
      <c r="AB463" s="223"/>
      <c r="AC463" s="232"/>
    </row>
    <row r="464">
      <c r="C464" s="222"/>
      <c r="F464" s="222"/>
      <c r="H464" s="223"/>
      <c r="AA464" s="223"/>
      <c r="AB464" s="223"/>
      <c r="AC464" s="232"/>
    </row>
    <row r="465">
      <c r="C465" s="222"/>
      <c r="F465" s="222"/>
      <c r="H465" s="223"/>
      <c r="AA465" s="223"/>
      <c r="AB465" s="223"/>
      <c r="AC465" s="232"/>
    </row>
    <row r="466">
      <c r="C466" s="222"/>
      <c r="F466" s="222"/>
      <c r="H466" s="223"/>
      <c r="AA466" s="223"/>
      <c r="AB466" s="223"/>
      <c r="AC466" s="232"/>
    </row>
    <row r="467">
      <c r="C467" s="222"/>
      <c r="F467" s="222"/>
      <c r="H467" s="223"/>
      <c r="AA467" s="223"/>
      <c r="AB467" s="223"/>
      <c r="AC467" s="232"/>
    </row>
    <row r="468">
      <c r="C468" s="222"/>
      <c r="F468" s="222"/>
      <c r="H468" s="223"/>
      <c r="AA468" s="223"/>
      <c r="AB468" s="223"/>
      <c r="AC468" s="232"/>
    </row>
    <row r="469">
      <c r="C469" s="222"/>
      <c r="F469" s="222"/>
      <c r="H469" s="223"/>
      <c r="AA469" s="223"/>
      <c r="AB469" s="223"/>
      <c r="AC469" s="232"/>
    </row>
    <row r="470">
      <c r="C470" s="222"/>
      <c r="F470" s="222"/>
      <c r="H470" s="223"/>
      <c r="AA470" s="223"/>
      <c r="AB470" s="223"/>
      <c r="AC470" s="232"/>
    </row>
    <row r="471">
      <c r="C471" s="222"/>
      <c r="F471" s="222"/>
      <c r="H471" s="223"/>
      <c r="AA471" s="223"/>
      <c r="AB471" s="223"/>
      <c r="AC471" s="232"/>
    </row>
    <row r="472">
      <c r="C472" s="222"/>
      <c r="F472" s="222"/>
      <c r="H472" s="223"/>
      <c r="AA472" s="223"/>
      <c r="AB472" s="223"/>
      <c r="AC472" s="232"/>
    </row>
    <row r="473">
      <c r="C473" s="222"/>
      <c r="F473" s="222"/>
      <c r="H473" s="223"/>
      <c r="AA473" s="223"/>
      <c r="AB473" s="223"/>
      <c r="AC473" s="232"/>
    </row>
    <row r="474">
      <c r="C474" s="222"/>
      <c r="F474" s="222"/>
      <c r="H474" s="223"/>
      <c r="AA474" s="223"/>
      <c r="AB474" s="223"/>
      <c r="AC474" s="232"/>
    </row>
    <row r="475">
      <c r="C475" s="222"/>
      <c r="F475" s="222"/>
      <c r="H475" s="223"/>
      <c r="AA475" s="223"/>
      <c r="AB475" s="223"/>
      <c r="AC475" s="232"/>
    </row>
    <row r="476">
      <c r="C476" s="222"/>
      <c r="F476" s="222"/>
      <c r="H476" s="223"/>
      <c r="AA476" s="223"/>
      <c r="AB476" s="223"/>
      <c r="AC476" s="232"/>
    </row>
    <row r="477">
      <c r="C477" s="222"/>
      <c r="F477" s="222"/>
      <c r="H477" s="223"/>
      <c r="AA477" s="223"/>
      <c r="AB477" s="223"/>
      <c r="AC477" s="232"/>
    </row>
    <row r="478">
      <c r="C478" s="222"/>
      <c r="F478" s="222"/>
      <c r="H478" s="223"/>
      <c r="AA478" s="223"/>
      <c r="AB478" s="223"/>
      <c r="AC478" s="232"/>
    </row>
    <row r="479">
      <c r="C479" s="222"/>
      <c r="F479" s="222"/>
      <c r="H479" s="223"/>
      <c r="AA479" s="223"/>
      <c r="AB479" s="223"/>
      <c r="AC479" s="232"/>
    </row>
    <row r="480">
      <c r="C480" s="222"/>
      <c r="F480" s="222"/>
      <c r="H480" s="223"/>
      <c r="AA480" s="223"/>
      <c r="AB480" s="223"/>
      <c r="AC480" s="232"/>
    </row>
    <row r="481">
      <c r="C481" s="222"/>
      <c r="F481" s="222"/>
      <c r="H481" s="223"/>
      <c r="AA481" s="223"/>
      <c r="AB481" s="223"/>
      <c r="AC481" s="232"/>
    </row>
    <row r="482">
      <c r="C482" s="222"/>
      <c r="F482" s="222"/>
      <c r="H482" s="223"/>
      <c r="AA482" s="223"/>
      <c r="AB482" s="223"/>
      <c r="AC482" s="232"/>
    </row>
    <row r="483">
      <c r="C483" s="222"/>
      <c r="F483" s="222"/>
      <c r="H483" s="223"/>
      <c r="AA483" s="223"/>
      <c r="AB483" s="223"/>
      <c r="AC483" s="232"/>
    </row>
    <row r="484">
      <c r="C484" s="222"/>
      <c r="F484" s="222"/>
      <c r="H484" s="223"/>
      <c r="AA484" s="223"/>
      <c r="AB484" s="223"/>
      <c r="AC484" s="232"/>
    </row>
    <row r="485">
      <c r="C485" s="222"/>
      <c r="F485" s="222"/>
      <c r="H485" s="223"/>
      <c r="AA485" s="223"/>
      <c r="AB485" s="223"/>
      <c r="AC485" s="232"/>
    </row>
    <row r="486">
      <c r="C486" s="222"/>
      <c r="F486" s="222"/>
      <c r="H486" s="223"/>
      <c r="AA486" s="223"/>
      <c r="AB486" s="223"/>
      <c r="AC486" s="232"/>
    </row>
    <row r="487">
      <c r="C487" s="222"/>
      <c r="F487" s="222"/>
      <c r="H487" s="223"/>
      <c r="AA487" s="223"/>
      <c r="AB487" s="223"/>
      <c r="AC487" s="232"/>
    </row>
    <row r="488">
      <c r="C488" s="222"/>
      <c r="F488" s="222"/>
      <c r="H488" s="223"/>
      <c r="AA488" s="223"/>
      <c r="AB488" s="223"/>
      <c r="AC488" s="232"/>
    </row>
    <row r="489">
      <c r="C489" s="222"/>
      <c r="F489" s="222"/>
      <c r="H489" s="223"/>
      <c r="AA489" s="223"/>
      <c r="AB489" s="223"/>
      <c r="AC489" s="232"/>
    </row>
    <row r="490">
      <c r="C490" s="222"/>
      <c r="F490" s="222"/>
      <c r="H490" s="223"/>
      <c r="AA490" s="223"/>
      <c r="AB490" s="223"/>
      <c r="AC490" s="232"/>
    </row>
    <row r="491">
      <c r="C491" s="222"/>
      <c r="F491" s="222"/>
      <c r="H491" s="223"/>
      <c r="AA491" s="223"/>
      <c r="AB491" s="223"/>
      <c r="AC491" s="232"/>
    </row>
    <row r="492">
      <c r="C492" s="222"/>
      <c r="F492" s="222"/>
      <c r="H492" s="223"/>
      <c r="AA492" s="223"/>
      <c r="AB492" s="223"/>
      <c r="AC492" s="232"/>
    </row>
    <row r="493">
      <c r="C493" s="222"/>
      <c r="F493" s="222"/>
      <c r="H493" s="223"/>
      <c r="AA493" s="223"/>
      <c r="AB493" s="223"/>
      <c r="AC493" s="232"/>
    </row>
    <row r="494">
      <c r="C494" s="222"/>
      <c r="F494" s="222"/>
      <c r="H494" s="223"/>
      <c r="AA494" s="223"/>
      <c r="AB494" s="223"/>
      <c r="AC494" s="232"/>
    </row>
    <row r="495">
      <c r="C495" s="222"/>
      <c r="F495" s="222"/>
      <c r="H495" s="223"/>
      <c r="AA495" s="223"/>
      <c r="AB495" s="223"/>
      <c r="AC495" s="232"/>
    </row>
    <row r="496">
      <c r="C496" s="222"/>
      <c r="F496" s="222"/>
      <c r="H496" s="223"/>
      <c r="AA496" s="223"/>
      <c r="AB496" s="223"/>
      <c r="AC496" s="232"/>
    </row>
    <row r="497">
      <c r="C497" s="222"/>
      <c r="F497" s="222"/>
      <c r="H497" s="223"/>
      <c r="AA497" s="223"/>
      <c r="AB497" s="223"/>
      <c r="AC497" s="232"/>
    </row>
    <row r="498">
      <c r="C498" s="222"/>
      <c r="F498" s="222"/>
      <c r="H498" s="223"/>
      <c r="AA498" s="223"/>
      <c r="AB498" s="223"/>
      <c r="AC498" s="232"/>
    </row>
    <row r="499">
      <c r="C499" s="222"/>
      <c r="F499" s="222"/>
      <c r="H499" s="223"/>
      <c r="AA499" s="223"/>
      <c r="AB499" s="223"/>
      <c r="AC499" s="232"/>
    </row>
    <row r="500">
      <c r="C500" s="222"/>
      <c r="F500" s="222"/>
      <c r="H500" s="223"/>
      <c r="AA500" s="223"/>
      <c r="AB500" s="223"/>
      <c r="AC500" s="232"/>
    </row>
    <row r="501">
      <c r="C501" s="222"/>
      <c r="F501" s="222"/>
      <c r="H501" s="223"/>
      <c r="AA501" s="223"/>
      <c r="AB501" s="223"/>
      <c r="AC501" s="232"/>
    </row>
    <row r="502">
      <c r="C502" s="222"/>
      <c r="F502" s="222"/>
      <c r="H502" s="223"/>
      <c r="AA502" s="223"/>
      <c r="AB502" s="223"/>
      <c r="AC502" s="232"/>
    </row>
    <row r="503">
      <c r="C503" s="222"/>
      <c r="F503" s="222"/>
      <c r="H503" s="223"/>
      <c r="AA503" s="223"/>
      <c r="AB503" s="223"/>
      <c r="AC503" s="232"/>
    </row>
    <row r="504">
      <c r="C504" s="222"/>
      <c r="F504" s="222"/>
      <c r="H504" s="223"/>
      <c r="AA504" s="223"/>
      <c r="AB504" s="223"/>
      <c r="AC504" s="232"/>
    </row>
    <row r="505">
      <c r="C505" s="222"/>
      <c r="F505" s="222"/>
      <c r="H505" s="223"/>
      <c r="AA505" s="223"/>
      <c r="AB505" s="223"/>
      <c r="AC505" s="232"/>
    </row>
    <row r="506">
      <c r="C506" s="222"/>
      <c r="F506" s="222"/>
      <c r="H506" s="223"/>
      <c r="AA506" s="223"/>
      <c r="AB506" s="223"/>
      <c r="AC506" s="232"/>
    </row>
    <row r="507">
      <c r="C507" s="222"/>
      <c r="F507" s="222"/>
      <c r="H507" s="223"/>
      <c r="AA507" s="223"/>
      <c r="AB507" s="223"/>
      <c r="AC507" s="232"/>
    </row>
    <row r="508">
      <c r="C508" s="222"/>
      <c r="F508" s="222"/>
      <c r="H508" s="223"/>
      <c r="AA508" s="223"/>
      <c r="AB508" s="223"/>
      <c r="AC508" s="232"/>
    </row>
    <row r="509">
      <c r="C509" s="222"/>
      <c r="F509" s="222"/>
      <c r="H509" s="223"/>
      <c r="AA509" s="223"/>
      <c r="AB509" s="223"/>
      <c r="AC509" s="232"/>
    </row>
    <row r="510">
      <c r="C510" s="222"/>
      <c r="F510" s="222"/>
      <c r="H510" s="223"/>
      <c r="AA510" s="223"/>
      <c r="AB510" s="223"/>
      <c r="AC510" s="232"/>
    </row>
    <row r="511">
      <c r="C511" s="222"/>
      <c r="F511" s="222"/>
      <c r="H511" s="223"/>
      <c r="AA511" s="223"/>
      <c r="AB511" s="223"/>
      <c r="AC511" s="232"/>
    </row>
    <row r="512">
      <c r="C512" s="222"/>
      <c r="F512" s="222"/>
      <c r="H512" s="223"/>
      <c r="AA512" s="223"/>
      <c r="AB512" s="223"/>
      <c r="AC512" s="232"/>
    </row>
    <row r="513">
      <c r="C513" s="222"/>
      <c r="F513" s="222"/>
      <c r="H513" s="223"/>
      <c r="AA513" s="223"/>
      <c r="AB513" s="223"/>
      <c r="AC513" s="232"/>
    </row>
    <row r="514">
      <c r="C514" s="222"/>
      <c r="F514" s="222"/>
      <c r="H514" s="223"/>
      <c r="AA514" s="223"/>
      <c r="AB514" s="223"/>
      <c r="AC514" s="232"/>
    </row>
    <row r="515">
      <c r="C515" s="222"/>
      <c r="F515" s="222"/>
      <c r="H515" s="223"/>
      <c r="AA515" s="223"/>
      <c r="AB515" s="223"/>
      <c r="AC515" s="232"/>
    </row>
    <row r="516">
      <c r="C516" s="222"/>
      <c r="F516" s="222"/>
      <c r="H516" s="223"/>
      <c r="AA516" s="223"/>
      <c r="AB516" s="223"/>
      <c r="AC516" s="232"/>
    </row>
    <row r="517">
      <c r="C517" s="222"/>
      <c r="F517" s="222"/>
      <c r="H517" s="223"/>
      <c r="AA517" s="223"/>
      <c r="AB517" s="223"/>
      <c r="AC517" s="232"/>
    </row>
    <row r="518">
      <c r="C518" s="222"/>
      <c r="F518" s="222"/>
      <c r="H518" s="223"/>
      <c r="AA518" s="223"/>
      <c r="AB518" s="223"/>
      <c r="AC518" s="232"/>
    </row>
    <row r="519">
      <c r="C519" s="222"/>
      <c r="F519" s="222"/>
      <c r="H519" s="223"/>
      <c r="AA519" s="223"/>
      <c r="AB519" s="223"/>
      <c r="AC519" s="232"/>
    </row>
    <row r="520">
      <c r="C520" s="222"/>
      <c r="F520" s="222"/>
      <c r="H520" s="223"/>
      <c r="AA520" s="223"/>
      <c r="AB520" s="223"/>
      <c r="AC520" s="232"/>
    </row>
    <row r="521">
      <c r="C521" s="222"/>
      <c r="F521" s="222"/>
      <c r="H521" s="223"/>
      <c r="AA521" s="223"/>
      <c r="AB521" s="223"/>
      <c r="AC521" s="232"/>
    </row>
    <row r="522">
      <c r="C522" s="222"/>
      <c r="F522" s="222"/>
      <c r="H522" s="223"/>
      <c r="AA522" s="223"/>
      <c r="AB522" s="223"/>
      <c r="AC522" s="232"/>
    </row>
    <row r="523">
      <c r="C523" s="222"/>
      <c r="F523" s="222"/>
      <c r="H523" s="223"/>
      <c r="AA523" s="223"/>
      <c r="AB523" s="223"/>
      <c r="AC523" s="232"/>
    </row>
    <row r="524">
      <c r="C524" s="222"/>
      <c r="F524" s="222"/>
      <c r="H524" s="223"/>
      <c r="AA524" s="223"/>
      <c r="AB524" s="223"/>
      <c r="AC524" s="232"/>
    </row>
    <row r="525">
      <c r="C525" s="222"/>
      <c r="F525" s="222"/>
      <c r="H525" s="223"/>
      <c r="AA525" s="223"/>
      <c r="AB525" s="223"/>
      <c r="AC525" s="232"/>
    </row>
    <row r="526">
      <c r="C526" s="222"/>
      <c r="F526" s="222"/>
      <c r="H526" s="223"/>
      <c r="AA526" s="223"/>
      <c r="AB526" s="223"/>
      <c r="AC526" s="232"/>
    </row>
    <row r="527">
      <c r="C527" s="222"/>
      <c r="F527" s="222"/>
      <c r="H527" s="223"/>
      <c r="AA527" s="223"/>
      <c r="AB527" s="223"/>
      <c r="AC527" s="232"/>
    </row>
    <row r="528">
      <c r="C528" s="222"/>
      <c r="F528" s="222"/>
      <c r="H528" s="223"/>
      <c r="AA528" s="223"/>
      <c r="AB528" s="223"/>
      <c r="AC528" s="232"/>
    </row>
    <row r="529">
      <c r="C529" s="222"/>
      <c r="F529" s="222"/>
      <c r="H529" s="223"/>
      <c r="AA529" s="223"/>
      <c r="AB529" s="223"/>
      <c r="AC529" s="232"/>
    </row>
    <row r="530">
      <c r="C530" s="222"/>
      <c r="F530" s="222"/>
      <c r="H530" s="223"/>
      <c r="AA530" s="223"/>
      <c r="AB530" s="223"/>
      <c r="AC530" s="232"/>
    </row>
    <row r="531">
      <c r="C531" s="222"/>
      <c r="F531" s="222"/>
      <c r="H531" s="223"/>
      <c r="AA531" s="223"/>
      <c r="AB531" s="223"/>
      <c r="AC531" s="232"/>
    </row>
    <row r="532">
      <c r="C532" s="222"/>
      <c r="F532" s="222"/>
      <c r="H532" s="223"/>
      <c r="AA532" s="223"/>
      <c r="AB532" s="223"/>
      <c r="AC532" s="232"/>
    </row>
    <row r="533">
      <c r="C533" s="222"/>
      <c r="F533" s="222"/>
      <c r="H533" s="223"/>
      <c r="AA533" s="223"/>
      <c r="AB533" s="223"/>
      <c r="AC533" s="232"/>
    </row>
    <row r="534">
      <c r="C534" s="222"/>
      <c r="F534" s="222"/>
      <c r="H534" s="223"/>
      <c r="AA534" s="223"/>
      <c r="AB534" s="223"/>
      <c r="AC534" s="232"/>
    </row>
    <row r="535">
      <c r="C535" s="222"/>
      <c r="F535" s="222"/>
      <c r="H535" s="223"/>
      <c r="AA535" s="223"/>
      <c r="AB535" s="223"/>
      <c r="AC535" s="232"/>
    </row>
    <row r="536">
      <c r="C536" s="222"/>
      <c r="F536" s="222"/>
      <c r="H536" s="223"/>
      <c r="AA536" s="223"/>
      <c r="AB536" s="223"/>
      <c r="AC536" s="232"/>
    </row>
    <row r="537">
      <c r="C537" s="222"/>
      <c r="F537" s="222"/>
      <c r="H537" s="223"/>
      <c r="AA537" s="223"/>
      <c r="AB537" s="223"/>
      <c r="AC537" s="232"/>
    </row>
    <row r="538">
      <c r="C538" s="222"/>
      <c r="F538" s="222"/>
      <c r="H538" s="223"/>
      <c r="AA538" s="223"/>
      <c r="AB538" s="223"/>
      <c r="AC538" s="232"/>
    </row>
    <row r="539">
      <c r="C539" s="222"/>
      <c r="F539" s="222"/>
      <c r="H539" s="223"/>
      <c r="AA539" s="223"/>
      <c r="AB539" s="223"/>
      <c r="AC539" s="232"/>
    </row>
    <row r="540">
      <c r="C540" s="222"/>
      <c r="F540" s="222"/>
      <c r="H540" s="223"/>
      <c r="AA540" s="223"/>
      <c r="AB540" s="223"/>
      <c r="AC540" s="232"/>
    </row>
    <row r="541">
      <c r="C541" s="222"/>
      <c r="F541" s="222"/>
      <c r="H541" s="223"/>
      <c r="AA541" s="223"/>
      <c r="AB541" s="223"/>
      <c r="AC541" s="232"/>
    </row>
    <row r="542">
      <c r="C542" s="222"/>
      <c r="F542" s="222"/>
      <c r="H542" s="223"/>
      <c r="AA542" s="223"/>
      <c r="AB542" s="223"/>
      <c r="AC542" s="232"/>
    </row>
    <row r="543">
      <c r="C543" s="222"/>
      <c r="F543" s="222"/>
      <c r="H543" s="223"/>
      <c r="AA543" s="223"/>
      <c r="AB543" s="223"/>
      <c r="AC543" s="232"/>
    </row>
    <row r="544">
      <c r="C544" s="222"/>
      <c r="F544" s="222"/>
      <c r="H544" s="223"/>
      <c r="AA544" s="223"/>
      <c r="AB544" s="223"/>
      <c r="AC544" s="232"/>
    </row>
    <row r="545">
      <c r="C545" s="222"/>
      <c r="F545" s="222"/>
      <c r="H545" s="223"/>
      <c r="AA545" s="223"/>
      <c r="AB545" s="223"/>
      <c r="AC545" s="232"/>
    </row>
    <row r="546">
      <c r="C546" s="222"/>
      <c r="F546" s="222"/>
      <c r="H546" s="223"/>
      <c r="AA546" s="223"/>
      <c r="AB546" s="223"/>
      <c r="AC546" s="232"/>
    </row>
    <row r="547">
      <c r="C547" s="222"/>
      <c r="F547" s="222"/>
      <c r="H547" s="223"/>
      <c r="AA547" s="223"/>
      <c r="AB547" s="223"/>
      <c r="AC547" s="232"/>
    </row>
    <row r="548">
      <c r="C548" s="222"/>
      <c r="F548" s="222"/>
      <c r="H548" s="223"/>
      <c r="AA548" s="223"/>
      <c r="AB548" s="223"/>
      <c r="AC548" s="232"/>
    </row>
    <row r="549">
      <c r="C549" s="222"/>
      <c r="F549" s="222"/>
      <c r="H549" s="223"/>
      <c r="AA549" s="223"/>
      <c r="AB549" s="223"/>
      <c r="AC549" s="232"/>
    </row>
    <row r="550">
      <c r="C550" s="222"/>
      <c r="F550" s="222"/>
      <c r="H550" s="223"/>
      <c r="AA550" s="223"/>
      <c r="AB550" s="223"/>
      <c r="AC550" s="232"/>
    </row>
    <row r="551">
      <c r="C551" s="222"/>
      <c r="F551" s="222"/>
      <c r="H551" s="223"/>
      <c r="AA551" s="223"/>
      <c r="AB551" s="223"/>
      <c r="AC551" s="232"/>
    </row>
    <row r="552">
      <c r="C552" s="222"/>
      <c r="F552" s="222"/>
      <c r="H552" s="223"/>
      <c r="AA552" s="223"/>
      <c r="AB552" s="223"/>
      <c r="AC552" s="232"/>
    </row>
    <row r="553">
      <c r="C553" s="222"/>
      <c r="F553" s="222"/>
      <c r="H553" s="223"/>
      <c r="AA553" s="223"/>
      <c r="AB553" s="223"/>
      <c r="AC553" s="232"/>
    </row>
    <row r="554">
      <c r="C554" s="222"/>
      <c r="F554" s="222"/>
      <c r="H554" s="223"/>
      <c r="AA554" s="223"/>
      <c r="AB554" s="223"/>
      <c r="AC554" s="232"/>
    </row>
    <row r="555">
      <c r="C555" s="222"/>
      <c r="F555" s="222"/>
      <c r="H555" s="223"/>
      <c r="AA555" s="223"/>
      <c r="AB555" s="223"/>
      <c r="AC555" s="232"/>
    </row>
    <row r="556">
      <c r="C556" s="222"/>
      <c r="F556" s="222"/>
      <c r="H556" s="223"/>
      <c r="AA556" s="223"/>
      <c r="AB556" s="223"/>
      <c r="AC556" s="232"/>
    </row>
    <row r="557">
      <c r="C557" s="222"/>
      <c r="F557" s="222"/>
      <c r="H557" s="223"/>
      <c r="AA557" s="223"/>
      <c r="AB557" s="223"/>
      <c r="AC557" s="232"/>
    </row>
    <row r="558">
      <c r="C558" s="222"/>
      <c r="F558" s="222"/>
      <c r="H558" s="223"/>
      <c r="AA558" s="223"/>
      <c r="AB558" s="223"/>
      <c r="AC558" s="232"/>
    </row>
    <row r="559">
      <c r="C559" s="222"/>
      <c r="F559" s="222"/>
      <c r="H559" s="223"/>
      <c r="AA559" s="223"/>
      <c r="AB559" s="223"/>
      <c r="AC559" s="232"/>
    </row>
    <row r="560">
      <c r="C560" s="222"/>
      <c r="F560" s="222"/>
      <c r="H560" s="223"/>
      <c r="AA560" s="223"/>
      <c r="AB560" s="223"/>
      <c r="AC560" s="232"/>
    </row>
    <row r="561">
      <c r="C561" s="222"/>
      <c r="F561" s="222"/>
      <c r="H561" s="223"/>
      <c r="AA561" s="223"/>
      <c r="AB561" s="223"/>
      <c r="AC561" s="232"/>
    </row>
    <row r="562">
      <c r="C562" s="222"/>
      <c r="F562" s="222"/>
      <c r="H562" s="223"/>
      <c r="AA562" s="223"/>
      <c r="AB562" s="223"/>
      <c r="AC562" s="232"/>
    </row>
    <row r="563">
      <c r="C563" s="222"/>
      <c r="F563" s="222"/>
      <c r="H563" s="223"/>
      <c r="AA563" s="223"/>
      <c r="AB563" s="223"/>
      <c r="AC563" s="232"/>
    </row>
    <row r="564">
      <c r="C564" s="222"/>
      <c r="F564" s="222"/>
      <c r="H564" s="223"/>
      <c r="AA564" s="223"/>
      <c r="AB564" s="223"/>
      <c r="AC564" s="232"/>
    </row>
    <row r="565">
      <c r="C565" s="222"/>
      <c r="F565" s="222"/>
      <c r="H565" s="223"/>
      <c r="AA565" s="223"/>
      <c r="AB565" s="223"/>
      <c r="AC565" s="232"/>
    </row>
    <row r="566">
      <c r="C566" s="222"/>
      <c r="F566" s="222"/>
      <c r="H566" s="223"/>
      <c r="AA566" s="223"/>
      <c r="AB566" s="223"/>
      <c r="AC566" s="232"/>
    </row>
    <row r="567">
      <c r="C567" s="222"/>
      <c r="F567" s="222"/>
      <c r="H567" s="223"/>
      <c r="AA567" s="223"/>
      <c r="AB567" s="223"/>
      <c r="AC567" s="232"/>
    </row>
    <row r="568">
      <c r="C568" s="222"/>
      <c r="F568" s="222"/>
      <c r="H568" s="223"/>
      <c r="AA568" s="223"/>
      <c r="AB568" s="223"/>
      <c r="AC568" s="232"/>
    </row>
    <row r="569">
      <c r="C569" s="222"/>
      <c r="F569" s="222"/>
      <c r="H569" s="223"/>
      <c r="AA569" s="223"/>
      <c r="AB569" s="223"/>
      <c r="AC569" s="232"/>
    </row>
    <row r="570">
      <c r="C570" s="222"/>
      <c r="F570" s="222"/>
      <c r="H570" s="223"/>
      <c r="AA570" s="223"/>
      <c r="AB570" s="223"/>
      <c r="AC570" s="232"/>
    </row>
    <row r="571">
      <c r="C571" s="222"/>
      <c r="F571" s="222"/>
      <c r="H571" s="223"/>
      <c r="AA571" s="223"/>
      <c r="AB571" s="223"/>
      <c r="AC571" s="232"/>
    </row>
    <row r="572">
      <c r="C572" s="222"/>
      <c r="F572" s="222"/>
      <c r="H572" s="223"/>
      <c r="AA572" s="223"/>
      <c r="AB572" s="223"/>
      <c r="AC572" s="232"/>
    </row>
    <row r="573">
      <c r="C573" s="222"/>
      <c r="F573" s="222"/>
      <c r="H573" s="223"/>
      <c r="AA573" s="223"/>
      <c r="AB573" s="223"/>
      <c r="AC573" s="232"/>
    </row>
    <row r="574">
      <c r="C574" s="222"/>
      <c r="F574" s="222"/>
      <c r="H574" s="223"/>
      <c r="AA574" s="223"/>
      <c r="AB574" s="223"/>
      <c r="AC574" s="232"/>
    </row>
    <row r="575">
      <c r="C575" s="222"/>
      <c r="F575" s="222"/>
      <c r="H575" s="223"/>
      <c r="AA575" s="223"/>
      <c r="AB575" s="223"/>
      <c r="AC575" s="232"/>
    </row>
    <row r="576">
      <c r="C576" s="222"/>
      <c r="F576" s="222"/>
      <c r="H576" s="223"/>
      <c r="AA576" s="223"/>
      <c r="AB576" s="223"/>
      <c r="AC576" s="232"/>
    </row>
    <row r="577">
      <c r="C577" s="222"/>
      <c r="F577" s="222"/>
      <c r="H577" s="223"/>
      <c r="AA577" s="223"/>
      <c r="AB577" s="223"/>
      <c r="AC577" s="232"/>
    </row>
    <row r="578">
      <c r="C578" s="222"/>
      <c r="F578" s="222"/>
      <c r="H578" s="223"/>
      <c r="AA578" s="223"/>
      <c r="AB578" s="223"/>
      <c r="AC578" s="232"/>
    </row>
    <row r="579">
      <c r="C579" s="222"/>
      <c r="F579" s="222"/>
      <c r="H579" s="223"/>
      <c r="AA579" s="223"/>
      <c r="AB579" s="223"/>
      <c r="AC579" s="232"/>
    </row>
    <row r="580">
      <c r="C580" s="222"/>
      <c r="F580" s="222"/>
      <c r="H580" s="223"/>
      <c r="AA580" s="223"/>
      <c r="AB580" s="223"/>
      <c r="AC580" s="232"/>
    </row>
    <row r="581">
      <c r="C581" s="222"/>
      <c r="F581" s="222"/>
      <c r="H581" s="223"/>
      <c r="AA581" s="223"/>
      <c r="AB581" s="223"/>
      <c r="AC581" s="232"/>
    </row>
    <row r="582">
      <c r="C582" s="222"/>
      <c r="F582" s="222"/>
      <c r="H582" s="223"/>
      <c r="AA582" s="223"/>
      <c r="AB582" s="223"/>
      <c r="AC582" s="232"/>
    </row>
    <row r="583">
      <c r="C583" s="222"/>
      <c r="F583" s="222"/>
      <c r="H583" s="223"/>
      <c r="AA583" s="223"/>
      <c r="AB583" s="223"/>
      <c r="AC583" s="232"/>
    </row>
    <row r="584">
      <c r="C584" s="222"/>
      <c r="F584" s="222"/>
      <c r="H584" s="223"/>
      <c r="AA584" s="223"/>
      <c r="AB584" s="223"/>
      <c r="AC584" s="232"/>
    </row>
    <row r="585">
      <c r="C585" s="222"/>
      <c r="F585" s="222"/>
      <c r="H585" s="223"/>
      <c r="AA585" s="223"/>
      <c r="AB585" s="223"/>
      <c r="AC585" s="232"/>
    </row>
    <row r="586">
      <c r="C586" s="222"/>
      <c r="F586" s="222"/>
      <c r="H586" s="223"/>
      <c r="AA586" s="223"/>
      <c r="AB586" s="223"/>
      <c r="AC586" s="232"/>
    </row>
    <row r="587">
      <c r="C587" s="222"/>
      <c r="F587" s="222"/>
      <c r="H587" s="223"/>
      <c r="AA587" s="223"/>
      <c r="AB587" s="223"/>
      <c r="AC587" s="232"/>
    </row>
    <row r="588">
      <c r="C588" s="222"/>
      <c r="F588" s="222"/>
      <c r="H588" s="223"/>
      <c r="AA588" s="223"/>
      <c r="AB588" s="223"/>
      <c r="AC588" s="232"/>
    </row>
    <row r="589">
      <c r="C589" s="222"/>
      <c r="F589" s="222"/>
      <c r="H589" s="223"/>
      <c r="AA589" s="223"/>
      <c r="AB589" s="223"/>
      <c r="AC589" s="232"/>
    </row>
    <row r="590">
      <c r="C590" s="222"/>
      <c r="F590" s="222"/>
      <c r="H590" s="223"/>
      <c r="AA590" s="223"/>
      <c r="AB590" s="223"/>
      <c r="AC590" s="232"/>
    </row>
    <row r="591">
      <c r="C591" s="222"/>
      <c r="F591" s="222"/>
      <c r="H591" s="223"/>
      <c r="AA591" s="223"/>
      <c r="AB591" s="223"/>
      <c r="AC591" s="232"/>
    </row>
    <row r="592">
      <c r="C592" s="222"/>
      <c r="F592" s="222"/>
      <c r="H592" s="223"/>
      <c r="AA592" s="223"/>
      <c r="AB592" s="223"/>
      <c r="AC592" s="232"/>
    </row>
    <row r="593">
      <c r="C593" s="222"/>
      <c r="F593" s="222"/>
      <c r="H593" s="223"/>
      <c r="AA593" s="223"/>
      <c r="AB593" s="223"/>
      <c r="AC593" s="232"/>
    </row>
    <row r="594">
      <c r="C594" s="222"/>
      <c r="F594" s="222"/>
      <c r="H594" s="223"/>
      <c r="AA594" s="223"/>
      <c r="AB594" s="223"/>
      <c r="AC594" s="232"/>
    </row>
    <row r="595">
      <c r="C595" s="222"/>
      <c r="F595" s="222"/>
      <c r="H595" s="223"/>
      <c r="AA595" s="223"/>
      <c r="AB595" s="223"/>
      <c r="AC595" s="232"/>
    </row>
    <row r="596">
      <c r="C596" s="222"/>
      <c r="F596" s="222"/>
      <c r="H596" s="223"/>
      <c r="AA596" s="223"/>
      <c r="AB596" s="223"/>
      <c r="AC596" s="232"/>
    </row>
    <row r="597">
      <c r="C597" s="222"/>
      <c r="F597" s="222"/>
      <c r="H597" s="223"/>
      <c r="AA597" s="223"/>
      <c r="AB597" s="223"/>
      <c r="AC597" s="232"/>
    </row>
    <row r="598">
      <c r="C598" s="222"/>
      <c r="F598" s="222"/>
      <c r="H598" s="223"/>
      <c r="AA598" s="223"/>
      <c r="AB598" s="223"/>
      <c r="AC598" s="232"/>
    </row>
    <row r="599">
      <c r="C599" s="222"/>
      <c r="F599" s="222"/>
      <c r="H599" s="223"/>
      <c r="AA599" s="223"/>
      <c r="AB599" s="223"/>
      <c r="AC599" s="232"/>
    </row>
    <row r="600">
      <c r="C600" s="222"/>
      <c r="F600" s="222"/>
      <c r="H600" s="223"/>
      <c r="AA600" s="223"/>
      <c r="AB600" s="223"/>
      <c r="AC600" s="232"/>
    </row>
    <row r="601">
      <c r="C601" s="222"/>
      <c r="F601" s="222"/>
      <c r="H601" s="223"/>
      <c r="AA601" s="223"/>
      <c r="AB601" s="223"/>
      <c r="AC601" s="232"/>
    </row>
    <row r="602">
      <c r="C602" s="222"/>
      <c r="F602" s="222"/>
      <c r="H602" s="223"/>
      <c r="AA602" s="223"/>
      <c r="AB602" s="223"/>
      <c r="AC602" s="232"/>
    </row>
    <row r="603">
      <c r="C603" s="222"/>
      <c r="F603" s="222"/>
      <c r="H603" s="223"/>
      <c r="AA603" s="223"/>
      <c r="AB603" s="223"/>
      <c r="AC603" s="232"/>
    </row>
    <row r="604">
      <c r="C604" s="222"/>
      <c r="F604" s="222"/>
      <c r="H604" s="223"/>
      <c r="AA604" s="223"/>
      <c r="AB604" s="223"/>
      <c r="AC604" s="232"/>
    </row>
    <row r="605">
      <c r="C605" s="222"/>
      <c r="F605" s="222"/>
      <c r="H605" s="223"/>
      <c r="AA605" s="223"/>
      <c r="AB605" s="223"/>
      <c r="AC605" s="232"/>
    </row>
    <row r="606">
      <c r="C606" s="222"/>
      <c r="F606" s="222"/>
      <c r="H606" s="223"/>
      <c r="AA606" s="223"/>
      <c r="AB606" s="223"/>
      <c r="AC606" s="232"/>
    </row>
    <row r="607">
      <c r="C607" s="222"/>
      <c r="F607" s="222"/>
      <c r="H607" s="223"/>
      <c r="AA607" s="223"/>
      <c r="AB607" s="223"/>
      <c r="AC607" s="232"/>
    </row>
    <row r="608">
      <c r="C608" s="222"/>
      <c r="F608" s="222"/>
      <c r="H608" s="223"/>
      <c r="AA608" s="223"/>
      <c r="AB608" s="223"/>
      <c r="AC608" s="232"/>
    </row>
    <row r="609">
      <c r="C609" s="222"/>
      <c r="F609" s="222"/>
      <c r="H609" s="223"/>
      <c r="AA609" s="223"/>
      <c r="AB609" s="223"/>
      <c r="AC609" s="232"/>
    </row>
    <row r="610">
      <c r="C610" s="222"/>
      <c r="F610" s="222"/>
      <c r="H610" s="223"/>
      <c r="AA610" s="223"/>
      <c r="AB610" s="223"/>
      <c r="AC610" s="232"/>
    </row>
    <row r="611">
      <c r="C611" s="222"/>
      <c r="F611" s="222"/>
      <c r="H611" s="223"/>
      <c r="AA611" s="223"/>
      <c r="AB611" s="223"/>
      <c r="AC611" s="232"/>
    </row>
    <row r="612">
      <c r="C612" s="222"/>
      <c r="F612" s="222"/>
      <c r="H612" s="223"/>
      <c r="AA612" s="223"/>
      <c r="AB612" s="223"/>
      <c r="AC612" s="232"/>
    </row>
    <row r="613">
      <c r="C613" s="222"/>
      <c r="F613" s="222"/>
      <c r="H613" s="223"/>
      <c r="AA613" s="223"/>
      <c r="AB613" s="223"/>
      <c r="AC613" s="232"/>
    </row>
    <row r="614">
      <c r="C614" s="222"/>
      <c r="F614" s="222"/>
      <c r="H614" s="223"/>
      <c r="AA614" s="223"/>
      <c r="AB614" s="223"/>
      <c r="AC614" s="232"/>
    </row>
    <row r="615">
      <c r="C615" s="222"/>
      <c r="F615" s="222"/>
      <c r="H615" s="223"/>
      <c r="AA615" s="223"/>
      <c r="AB615" s="223"/>
      <c r="AC615" s="232"/>
    </row>
    <row r="616">
      <c r="C616" s="222"/>
      <c r="F616" s="222"/>
      <c r="H616" s="223"/>
      <c r="AA616" s="223"/>
      <c r="AB616" s="223"/>
      <c r="AC616" s="232"/>
    </row>
    <row r="617">
      <c r="C617" s="222"/>
      <c r="F617" s="222"/>
      <c r="H617" s="223"/>
      <c r="AA617" s="223"/>
      <c r="AB617" s="223"/>
      <c r="AC617" s="232"/>
    </row>
    <row r="618">
      <c r="C618" s="222"/>
      <c r="F618" s="222"/>
      <c r="H618" s="223"/>
      <c r="AA618" s="223"/>
      <c r="AB618" s="223"/>
      <c r="AC618" s="232"/>
    </row>
    <row r="619">
      <c r="C619" s="222"/>
      <c r="F619" s="222"/>
      <c r="H619" s="223"/>
      <c r="AA619" s="223"/>
      <c r="AB619" s="223"/>
      <c r="AC619" s="232"/>
    </row>
    <row r="620">
      <c r="C620" s="222"/>
      <c r="F620" s="222"/>
      <c r="H620" s="223"/>
      <c r="AA620" s="223"/>
      <c r="AB620" s="223"/>
      <c r="AC620" s="232"/>
    </row>
    <row r="621">
      <c r="C621" s="222"/>
      <c r="F621" s="222"/>
      <c r="H621" s="223"/>
      <c r="AA621" s="223"/>
      <c r="AB621" s="223"/>
      <c r="AC621" s="232"/>
    </row>
    <row r="622">
      <c r="C622" s="222"/>
      <c r="F622" s="222"/>
      <c r="H622" s="223"/>
      <c r="AA622" s="223"/>
      <c r="AB622" s="223"/>
      <c r="AC622" s="232"/>
    </row>
    <row r="623">
      <c r="C623" s="222"/>
      <c r="F623" s="222"/>
      <c r="H623" s="223"/>
      <c r="AA623" s="223"/>
      <c r="AB623" s="223"/>
      <c r="AC623" s="232"/>
    </row>
    <row r="624">
      <c r="C624" s="222"/>
      <c r="F624" s="222"/>
      <c r="H624" s="223"/>
      <c r="AA624" s="223"/>
      <c r="AB624" s="223"/>
      <c r="AC624" s="232"/>
    </row>
    <row r="625">
      <c r="C625" s="222"/>
      <c r="F625" s="222"/>
      <c r="H625" s="223"/>
      <c r="AA625" s="223"/>
      <c r="AB625" s="223"/>
      <c r="AC625" s="232"/>
    </row>
    <row r="626">
      <c r="C626" s="222"/>
      <c r="F626" s="222"/>
      <c r="H626" s="223"/>
      <c r="AA626" s="223"/>
      <c r="AB626" s="223"/>
      <c r="AC626" s="232"/>
    </row>
    <row r="627">
      <c r="C627" s="222"/>
      <c r="F627" s="222"/>
      <c r="H627" s="223"/>
      <c r="AA627" s="223"/>
      <c r="AB627" s="223"/>
      <c r="AC627" s="232"/>
    </row>
    <row r="628">
      <c r="C628" s="222"/>
      <c r="F628" s="222"/>
      <c r="H628" s="223"/>
      <c r="AA628" s="223"/>
      <c r="AB628" s="223"/>
      <c r="AC628" s="232"/>
    </row>
    <row r="629">
      <c r="C629" s="222"/>
      <c r="F629" s="222"/>
      <c r="H629" s="223"/>
      <c r="AA629" s="223"/>
      <c r="AB629" s="223"/>
      <c r="AC629" s="232"/>
    </row>
    <row r="630">
      <c r="C630" s="222"/>
      <c r="F630" s="222"/>
      <c r="H630" s="223"/>
      <c r="AA630" s="223"/>
      <c r="AB630" s="223"/>
      <c r="AC630" s="232"/>
    </row>
    <row r="631">
      <c r="C631" s="222"/>
      <c r="F631" s="222"/>
      <c r="H631" s="223"/>
      <c r="AA631" s="223"/>
      <c r="AB631" s="223"/>
      <c r="AC631" s="232"/>
    </row>
    <row r="632">
      <c r="C632" s="222"/>
      <c r="F632" s="222"/>
      <c r="H632" s="223"/>
      <c r="AA632" s="223"/>
      <c r="AB632" s="223"/>
      <c r="AC632" s="232"/>
    </row>
    <row r="633">
      <c r="C633" s="222"/>
      <c r="F633" s="222"/>
      <c r="H633" s="223"/>
      <c r="AA633" s="223"/>
      <c r="AB633" s="223"/>
      <c r="AC633" s="232"/>
    </row>
    <row r="634">
      <c r="C634" s="222"/>
      <c r="F634" s="222"/>
      <c r="H634" s="223"/>
      <c r="AA634" s="223"/>
      <c r="AB634" s="223"/>
      <c r="AC634" s="232"/>
    </row>
    <row r="635">
      <c r="C635" s="222"/>
      <c r="F635" s="222"/>
      <c r="H635" s="223"/>
      <c r="AA635" s="223"/>
      <c r="AB635" s="223"/>
      <c r="AC635" s="232"/>
    </row>
    <row r="636">
      <c r="C636" s="222"/>
      <c r="F636" s="222"/>
      <c r="H636" s="223"/>
      <c r="AA636" s="223"/>
      <c r="AB636" s="223"/>
      <c r="AC636" s="232"/>
    </row>
    <row r="637">
      <c r="C637" s="222"/>
      <c r="F637" s="222"/>
      <c r="H637" s="223"/>
      <c r="AA637" s="223"/>
      <c r="AB637" s="223"/>
      <c r="AC637" s="232"/>
    </row>
    <row r="638">
      <c r="C638" s="222"/>
      <c r="F638" s="222"/>
      <c r="H638" s="223"/>
      <c r="AA638" s="223"/>
      <c r="AB638" s="223"/>
      <c r="AC638" s="232"/>
    </row>
    <row r="639">
      <c r="C639" s="222"/>
      <c r="F639" s="222"/>
      <c r="H639" s="223"/>
      <c r="AA639" s="223"/>
      <c r="AB639" s="223"/>
      <c r="AC639" s="232"/>
    </row>
    <row r="640">
      <c r="C640" s="222"/>
      <c r="F640" s="222"/>
      <c r="H640" s="223"/>
      <c r="AA640" s="223"/>
      <c r="AB640" s="223"/>
      <c r="AC640" s="232"/>
    </row>
    <row r="641">
      <c r="C641" s="222"/>
      <c r="F641" s="222"/>
      <c r="H641" s="223"/>
      <c r="AA641" s="223"/>
      <c r="AB641" s="223"/>
      <c r="AC641" s="232"/>
    </row>
    <row r="642">
      <c r="C642" s="222"/>
      <c r="F642" s="222"/>
      <c r="H642" s="223"/>
      <c r="AA642" s="223"/>
      <c r="AB642" s="223"/>
      <c r="AC642" s="232"/>
    </row>
    <row r="643">
      <c r="C643" s="222"/>
      <c r="F643" s="222"/>
      <c r="H643" s="223"/>
      <c r="AA643" s="223"/>
      <c r="AB643" s="223"/>
      <c r="AC643" s="232"/>
    </row>
    <row r="644">
      <c r="C644" s="222"/>
      <c r="F644" s="222"/>
      <c r="H644" s="223"/>
      <c r="AA644" s="223"/>
      <c r="AB644" s="223"/>
      <c r="AC644" s="232"/>
    </row>
    <row r="645">
      <c r="C645" s="222"/>
      <c r="F645" s="222"/>
      <c r="H645" s="223"/>
      <c r="AA645" s="223"/>
      <c r="AB645" s="223"/>
      <c r="AC645" s="232"/>
    </row>
    <row r="646">
      <c r="C646" s="222"/>
      <c r="F646" s="222"/>
      <c r="H646" s="223"/>
      <c r="AA646" s="223"/>
      <c r="AB646" s="223"/>
      <c r="AC646" s="232"/>
    </row>
    <row r="647">
      <c r="C647" s="222"/>
      <c r="F647" s="222"/>
      <c r="H647" s="223"/>
      <c r="AA647" s="223"/>
      <c r="AB647" s="223"/>
      <c r="AC647" s="232"/>
    </row>
    <row r="648">
      <c r="C648" s="222"/>
      <c r="F648" s="222"/>
      <c r="H648" s="223"/>
      <c r="AA648" s="223"/>
      <c r="AB648" s="223"/>
      <c r="AC648" s="232"/>
    </row>
    <row r="649">
      <c r="C649" s="222"/>
      <c r="F649" s="222"/>
      <c r="H649" s="223"/>
      <c r="AA649" s="223"/>
      <c r="AB649" s="223"/>
      <c r="AC649" s="232"/>
    </row>
    <row r="650">
      <c r="C650" s="222"/>
      <c r="F650" s="222"/>
      <c r="H650" s="223"/>
      <c r="AA650" s="223"/>
      <c r="AB650" s="223"/>
      <c r="AC650" s="232"/>
    </row>
    <row r="651">
      <c r="C651" s="222"/>
      <c r="F651" s="222"/>
      <c r="H651" s="223"/>
      <c r="AA651" s="223"/>
      <c r="AB651" s="223"/>
      <c r="AC651" s="232"/>
    </row>
    <row r="652">
      <c r="C652" s="222"/>
      <c r="F652" s="222"/>
      <c r="H652" s="223"/>
      <c r="AA652" s="223"/>
      <c r="AB652" s="223"/>
      <c r="AC652" s="232"/>
    </row>
    <row r="653">
      <c r="C653" s="222"/>
      <c r="F653" s="222"/>
      <c r="H653" s="223"/>
      <c r="AA653" s="223"/>
      <c r="AB653" s="223"/>
      <c r="AC653" s="232"/>
    </row>
    <row r="654">
      <c r="C654" s="222"/>
      <c r="F654" s="222"/>
      <c r="H654" s="223"/>
      <c r="AA654" s="223"/>
      <c r="AB654" s="223"/>
      <c r="AC654" s="232"/>
    </row>
    <row r="655">
      <c r="C655" s="222"/>
      <c r="F655" s="222"/>
      <c r="H655" s="223"/>
      <c r="AA655" s="223"/>
      <c r="AB655" s="223"/>
      <c r="AC655" s="232"/>
    </row>
    <row r="656">
      <c r="C656" s="222"/>
      <c r="F656" s="222"/>
      <c r="H656" s="223"/>
      <c r="AA656" s="223"/>
      <c r="AB656" s="223"/>
      <c r="AC656" s="232"/>
    </row>
    <row r="657">
      <c r="C657" s="222"/>
      <c r="F657" s="222"/>
      <c r="H657" s="223"/>
      <c r="AA657" s="223"/>
      <c r="AB657" s="223"/>
      <c r="AC657" s="232"/>
    </row>
    <row r="658">
      <c r="C658" s="222"/>
      <c r="F658" s="222"/>
      <c r="H658" s="223"/>
      <c r="AA658" s="223"/>
      <c r="AB658" s="223"/>
      <c r="AC658" s="232"/>
    </row>
    <row r="659">
      <c r="C659" s="222"/>
      <c r="F659" s="222"/>
      <c r="H659" s="223"/>
      <c r="AA659" s="223"/>
      <c r="AB659" s="223"/>
      <c r="AC659" s="232"/>
    </row>
    <row r="660">
      <c r="C660" s="222"/>
      <c r="F660" s="222"/>
      <c r="H660" s="223"/>
      <c r="AA660" s="223"/>
      <c r="AB660" s="223"/>
      <c r="AC660" s="232"/>
    </row>
    <row r="661">
      <c r="C661" s="222"/>
      <c r="F661" s="222"/>
      <c r="H661" s="223"/>
      <c r="AA661" s="223"/>
      <c r="AB661" s="223"/>
      <c r="AC661" s="232"/>
    </row>
    <row r="662">
      <c r="C662" s="222"/>
      <c r="F662" s="222"/>
      <c r="H662" s="223"/>
      <c r="AA662" s="223"/>
      <c r="AB662" s="223"/>
      <c r="AC662" s="232"/>
    </row>
    <row r="663">
      <c r="C663" s="222"/>
      <c r="F663" s="222"/>
      <c r="H663" s="223"/>
      <c r="AA663" s="223"/>
      <c r="AB663" s="223"/>
      <c r="AC663" s="232"/>
    </row>
    <row r="664">
      <c r="C664" s="222"/>
      <c r="F664" s="222"/>
      <c r="H664" s="223"/>
      <c r="AA664" s="223"/>
      <c r="AB664" s="223"/>
      <c r="AC664" s="232"/>
    </row>
    <row r="665">
      <c r="C665" s="222"/>
      <c r="F665" s="222"/>
      <c r="H665" s="223"/>
      <c r="AA665" s="223"/>
      <c r="AB665" s="223"/>
      <c r="AC665" s="232"/>
    </row>
    <row r="666">
      <c r="C666" s="222"/>
      <c r="F666" s="222"/>
      <c r="H666" s="223"/>
      <c r="AA666" s="223"/>
      <c r="AB666" s="223"/>
      <c r="AC666" s="232"/>
    </row>
    <row r="667">
      <c r="C667" s="222"/>
      <c r="F667" s="222"/>
      <c r="H667" s="223"/>
      <c r="AA667" s="223"/>
      <c r="AB667" s="223"/>
      <c r="AC667" s="232"/>
    </row>
    <row r="668">
      <c r="C668" s="222"/>
      <c r="F668" s="222"/>
      <c r="H668" s="223"/>
      <c r="AA668" s="223"/>
      <c r="AB668" s="223"/>
      <c r="AC668" s="232"/>
    </row>
    <row r="669">
      <c r="C669" s="222"/>
      <c r="F669" s="222"/>
      <c r="H669" s="223"/>
      <c r="AA669" s="223"/>
      <c r="AB669" s="223"/>
      <c r="AC669" s="232"/>
    </row>
    <row r="670">
      <c r="C670" s="222"/>
      <c r="F670" s="222"/>
      <c r="H670" s="223"/>
      <c r="AA670" s="223"/>
      <c r="AB670" s="223"/>
      <c r="AC670" s="232"/>
    </row>
    <row r="671">
      <c r="C671" s="222"/>
      <c r="F671" s="222"/>
      <c r="H671" s="223"/>
      <c r="AA671" s="223"/>
      <c r="AB671" s="223"/>
      <c r="AC671" s="232"/>
    </row>
    <row r="672">
      <c r="C672" s="222"/>
      <c r="F672" s="222"/>
      <c r="H672" s="223"/>
      <c r="AA672" s="223"/>
      <c r="AB672" s="223"/>
      <c r="AC672" s="232"/>
    </row>
    <row r="673">
      <c r="C673" s="222"/>
      <c r="F673" s="222"/>
      <c r="H673" s="223"/>
      <c r="AA673" s="223"/>
      <c r="AB673" s="223"/>
      <c r="AC673" s="232"/>
    </row>
    <row r="674">
      <c r="C674" s="222"/>
      <c r="F674" s="222"/>
      <c r="H674" s="223"/>
      <c r="AA674" s="223"/>
      <c r="AB674" s="223"/>
      <c r="AC674" s="232"/>
    </row>
    <row r="675">
      <c r="C675" s="222"/>
      <c r="F675" s="222"/>
      <c r="H675" s="223"/>
      <c r="AA675" s="223"/>
      <c r="AB675" s="223"/>
      <c r="AC675" s="232"/>
    </row>
    <row r="676">
      <c r="C676" s="222"/>
      <c r="F676" s="222"/>
      <c r="H676" s="223"/>
      <c r="AA676" s="223"/>
      <c r="AB676" s="223"/>
      <c r="AC676" s="232"/>
    </row>
    <row r="677">
      <c r="C677" s="222"/>
      <c r="F677" s="222"/>
      <c r="H677" s="223"/>
      <c r="AA677" s="223"/>
      <c r="AB677" s="223"/>
      <c r="AC677" s="232"/>
    </row>
    <row r="678">
      <c r="C678" s="222"/>
      <c r="F678" s="222"/>
      <c r="H678" s="223"/>
      <c r="AA678" s="223"/>
      <c r="AB678" s="223"/>
      <c r="AC678" s="232"/>
    </row>
    <row r="679">
      <c r="C679" s="222"/>
      <c r="F679" s="222"/>
      <c r="H679" s="223"/>
      <c r="AA679" s="223"/>
      <c r="AB679" s="223"/>
      <c r="AC679" s="232"/>
    </row>
    <row r="680">
      <c r="C680" s="222"/>
      <c r="F680" s="222"/>
      <c r="H680" s="223"/>
      <c r="AA680" s="223"/>
      <c r="AB680" s="223"/>
      <c r="AC680" s="232"/>
    </row>
    <row r="681">
      <c r="C681" s="222"/>
      <c r="F681" s="222"/>
      <c r="H681" s="223"/>
      <c r="AA681" s="223"/>
      <c r="AB681" s="223"/>
      <c r="AC681" s="232"/>
    </row>
    <row r="682">
      <c r="C682" s="222"/>
      <c r="F682" s="222"/>
      <c r="H682" s="223"/>
      <c r="AA682" s="223"/>
      <c r="AB682" s="223"/>
      <c r="AC682" s="232"/>
    </row>
    <row r="683">
      <c r="C683" s="222"/>
      <c r="F683" s="222"/>
      <c r="H683" s="223"/>
      <c r="AA683" s="223"/>
      <c r="AB683" s="223"/>
      <c r="AC683" s="232"/>
    </row>
    <row r="684">
      <c r="C684" s="222"/>
      <c r="F684" s="222"/>
      <c r="H684" s="223"/>
      <c r="AA684" s="223"/>
      <c r="AB684" s="223"/>
      <c r="AC684" s="232"/>
    </row>
    <row r="685">
      <c r="C685" s="222"/>
      <c r="F685" s="222"/>
      <c r="H685" s="223"/>
      <c r="AA685" s="223"/>
      <c r="AB685" s="223"/>
      <c r="AC685" s="232"/>
    </row>
    <row r="686">
      <c r="C686" s="222"/>
      <c r="F686" s="222"/>
      <c r="H686" s="223"/>
      <c r="AA686" s="223"/>
      <c r="AB686" s="223"/>
      <c r="AC686" s="232"/>
    </row>
    <row r="687">
      <c r="C687" s="222"/>
      <c r="F687" s="222"/>
      <c r="H687" s="223"/>
      <c r="AA687" s="223"/>
      <c r="AB687" s="223"/>
      <c r="AC687" s="232"/>
    </row>
    <row r="688">
      <c r="C688" s="222"/>
      <c r="F688" s="222"/>
      <c r="H688" s="223"/>
      <c r="AA688" s="223"/>
      <c r="AB688" s="223"/>
      <c r="AC688" s="232"/>
    </row>
    <row r="689">
      <c r="C689" s="222"/>
      <c r="F689" s="222"/>
      <c r="H689" s="223"/>
      <c r="AA689" s="223"/>
      <c r="AB689" s="223"/>
      <c r="AC689" s="232"/>
    </row>
    <row r="690">
      <c r="C690" s="222"/>
      <c r="F690" s="222"/>
      <c r="H690" s="223"/>
      <c r="AA690" s="223"/>
      <c r="AB690" s="223"/>
      <c r="AC690" s="232"/>
    </row>
    <row r="691">
      <c r="C691" s="222"/>
      <c r="F691" s="222"/>
      <c r="H691" s="223"/>
      <c r="AA691" s="223"/>
      <c r="AB691" s="223"/>
      <c r="AC691" s="232"/>
    </row>
    <row r="692">
      <c r="C692" s="222"/>
      <c r="F692" s="222"/>
      <c r="H692" s="223"/>
      <c r="AA692" s="223"/>
      <c r="AB692" s="223"/>
      <c r="AC692" s="232"/>
    </row>
    <row r="693">
      <c r="C693" s="222"/>
      <c r="F693" s="222"/>
      <c r="H693" s="223"/>
      <c r="AA693" s="223"/>
      <c r="AB693" s="223"/>
      <c r="AC693" s="232"/>
    </row>
    <row r="694">
      <c r="C694" s="222"/>
      <c r="F694" s="222"/>
      <c r="H694" s="223"/>
      <c r="AA694" s="223"/>
      <c r="AB694" s="223"/>
      <c r="AC694" s="232"/>
    </row>
    <row r="695">
      <c r="C695" s="222"/>
      <c r="F695" s="222"/>
      <c r="H695" s="223"/>
      <c r="AA695" s="223"/>
      <c r="AB695" s="223"/>
      <c r="AC695" s="232"/>
    </row>
    <row r="696">
      <c r="C696" s="222"/>
      <c r="F696" s="222"/>
      <c r="H696" s="223"/>
      <c r="AA696" s="223"/>
      <c r="AB696" s="223"/>
      <c r="AC696" s="232"/>
    </row>
    <row r="697">
      <c r="C697" s="222"/>
      <c r="F697" s="222"/>
      <c r="H697" s="223"/>
      <c r="AA697" s="223"/>
      <c r="AB697" s="223"/>
      <c r="AC697" s="232"/>
    </row>
    <row r="698">
      <c r="C698" s="222"/>
      <c r="F698" s="222"/>
      <c r="H698" s="223"/>
      <c r="AA698" s="223"/>
      <c r="AB698" s="223"/>
      <c r="AC698" s="232"/>
    </row>
    <row r="699">
      <c r="C699" s="222"/>
      <c r="F699" s="222"/>
      <c r="H699" s="223"/>
      <c r="AA699" s="223"/>
      <c r="AB699" s="223"/>
      <c r="AC699" s="232"/>
    </row>
    <row r="700">
      <c r="C700" s="222"/>
      <c r="F700" s="222"/>
      <c r="H700" s="223"/>
      <c r="AA700" s="223"/>
      <c r="AB700" s="223"/>
      <c r="AC700" s="232"/>
    </row>
    <row r="701">
      <c r="C701" s="222"/>
      <c r="F701" s="222"/>
      <c r="H701" s="223"/>
      <c r="AA701" s="223"/>
      <c r="AB701" s="223"/>
      <c r="AC701" s="232"/>
    </row>
    <row r="702">
      <c r="C702" s="222"/>
      <c r="F702" s="222"/>
      <c r="H702" s="223"/>
      <c r="AA702" s="223"/>
      <c r="AB702" s="223"/>
      <c r="AC702" s="232"/>
    </row>
    <row r="703">
      <c r="C703" s="222"/>
      <c r="F703" s="222"/>
      <c r="H703" s="223"/>
      <c r="AA703" s="223"/>
      <c r="AB703" s="223"/>
      <c r="AC703" s="232"/>
    </row>
    <row r="704">
      <c r="C704" s="222"/>
      <c r="F704" s="222"/>
      <c r="H704" s="223"/>
      <c r="AA704" s="223"/>
      <c r="AB704" s="223"/>
      <c r="AC704" s="232"/>
    </row>
    <row r="705">
      <c r="C705" s="222"/>
      <c r="F705" s="222"/>
      <c r="H705" s="223"/>
      <c r="AA705" s="223"/>
      <c r="AB705" s="223"/>
      <c r="AC705" s="232"/>
    </row>
    <row r="706">
      <c r="C706" s="222"/>
      <c r="F706" s="222"/>
      <c r="H706" s="223"/>
      <c r="AA706" s="223"/>
      <c r="AB706" s="223"/>
      <c r="AC706" s="232"/>
    </row>
    <row r="707">
      <c r="C707" s="222"/>
      <c r="F707" s="222"/>
      <c r="H707" s="223"/>
      <c r="AA707" s="223"/>
      <c r="AB707" s="223"/>
      <c r="AC707" s="232"/>
    </row>
    <row r="708">
      <c r="C708" s="222"/>
      <c r="F708" s="222"/>
      <c r="H708" s="223"/>
      <c r="AA708" s="223"/>
      <c r="AB708" s="223"/>
      <c r="AC708" s="232"/>
    </row>
    <row r="709">
      <c r="C709" s="222"/>
      <c r="F709" s="222"/>
      <c r="H709" s="223"/>
      <c r="AA709" s="223"/>
      <c r="AB709" s="223"/>
      <c r="AC709" s="232"/>
    </row>
    <row r="710">
      <c r="C710" s="222"/>
      <c r="F710" s="222"/>
      <c r="H710" s="223"/>
      <c r="AA710" s="223"/>
      <c r="AB710" s="223"/>
      <c r="AC710" s="232"/>
    </row>
    <row r="711">
      <c r="C711" s="222"/>
      <c r="F711" s="222"/>
      <c r="H711" s="223"/>
      <c r="AA711" s="223"/>
      <c r="AB711" s="223"/>
      <c r="AC711" s="232"/>
    </row>
    <row r="712">
      <c r="C712" s="222"/>
      <c r="F712" s="222"/>
      <c r="H712" s="223"/>
      <c r="AA712" s="223"/>
      <c r="AB712" s="223"/>
      <c r="AC712" s="232"/>
    </row>
    <row r="713">
      <c r="C713" s="222"/>
      <c r="F713" s="222"/>
      <c r="H713" s="223"/>
      <c r="AA713" s="223"/>
      <c r="AB713" s="223"/>
      <c r="AC713" s="232"/>
    </row>
    <row r="714">
      <c r="C714" s="222"/>
      <c r="F714" s="222"/>
      <c r="H714" s="223"/>
      <c r="AA714" s="223"/>
      <c r="AB714" s="223"/>
      <c r="AC714" s="232"/>
    </row>
    <row r="715">
      <c r="C715" s="222"/>
      <c r="F715" s="222"/>
      <c r="H715" s="223"/>
      <c r="AA715" s="223"/>
      <c r="AB715" s="223"/>
      <c r="AC715" s="232"/>
    </row>
    <row r="716">
      <c r="C716" s="222"/>
      <c r="F716" s="222"/>
      <c r="H716" s="223"/>
      <c r="AA716" s="223"/>
      <c r="AB716" s="223"/>
      <c r="AC716" s="232"/>
    </row>
    <row r="717">
      <c r="C717" s="222"/>
      <c r="F717" s="222"/>
      <c r="H717" s="223"/>
      <c r="AA717" s="223"/>
      <c r="AB717" s="223"/>
      <c r="AC717" s="232"/>
    </row>
    <row r="718">
      <c r="C718" s="222"/>
      <c r="F718" s="222"/>
      <c r="H718" s="223"/>
      <c r="AA718" s="223"/>
      <c r="AB718" s="223"/>
      <c r="AC718" s="232"/>
    </row>
    <row r="719">
      <c r="C719" s="222"/>
      <c r="F719" s="222"/>
      <c r="H719" s="223"/>
      <c r="AA719" s="223"/>
      <c r="AB719" s="223"/>
      <c r="AC719" s="232"/>
    </row>
    <row r="720">
      <c r="C720" s="222"/>
      <c r="F720" s="222"/>
      <c r="H720" s="223"/>
      <c r="AA720" s="223"/>
      <c r="AB720" s="223"/>
      <c r="AC720" s="232"/>
    </row>
    <row r="721">
      <c r="C721" s="222"/>
      <c r="F721" s="222"/>
      <c r="H721" s="223"/>
      <c r="AA721" s="223"/>
      <c r="AB721" s="223"/>
      <c r="AC721" s="232"/>
    </row>
    <row r="722">
      <c r="C722" s="222"/>
      <c r="F722" s="222"/>
      <c r="H722" s="223"/>
      <c r="AA722" s="223"/>
      <c r="AB722" s="223"/>
      <c r="AC722" s="232"/>
    </row>
    <row r="723">
      <c r="C723" s="222"/>
      <c r="F723" s="222"/>
      <c r="H723" s="223"/>
      <c r="AA723" s="223"/>
      <c r="AB723" s="223"/>
      <c r="AC723" s="232"/>
    </row>
    <row r="724">
      <c r="C724" s="222"/>
      <c r="F724" s="222"/>
      <c r="H724" s="223"/>
      <c r="AA724" s="223"/>
      <c r="AB724" s="223"/>
      <c r="AC724" s="232"/>
    </row>
    <row r="725">
      <c r="C725" s="222"/>
      <c r="F725" s="222"/>
      <c r="H725" s="223"/>
      <c r="AA725" s="223"/>
      <c r="AB725" s="223"/>
      <c r="AC725" s="232"/>
    </row>
    <row r="726">
      <c r="C726" s="222"/>
      <c r="F726" s="222"/>
      <c r="H726" s="223"/>
      <c r="AA726" s="223"/>
      <c r="AB726" s="223"/>
      <c r="AC726" s="232"/>
    </row>
    <row r="727">
      <c r="C727" s="222"/>
      <c r="F727" s="222"/>
      <c r="H727" s="223"/>
      <c r="AA727" s="223"/>
      <c r="AB727" s="223"/>
      <c r="AC727" s="232"/>
    </row>
    <row r="728">
      <c r="C728" s="222"/>
      <c r="F728" s="222"/>
      <c r="H728" s="223"/>
      <c r="AA728" s="223"/>
      <c r="AB728" s="223"/>
      <c r="AC728" s="232"/>
    </row>
    <row r="729">
      <c r="C729" s="222"/>
      <c r="F729" s="222"/>
      <c r="H729" s="223"/>
      <c r="AA729" s="223"/>
      <c r="AB729" s="223"/>
      <c r="AC729" s="232"/>
    </row>
    <row r="730">
      <c r="C730" s="222"/>
      <c r="F730" s="222"/>
      <c r="H730" s="223"/>
      <c r="AA730" s="223"/>
      <c r="AB730" s="223"/>
      <c r="AC730" s="232"/>
    </row>
    <row r="731">
      <c r="C731" s="222"/>
      <c r="F731" s="222"/>
      <c r="H731" s="223"/>
      <c r="AA731" s="223"/>
      <c r="AB731" s="223"/>
      <c r="AC731" s="232"/>
    </row>
    <row r="732">
      <c r="C732" s="222"/>
      <c r="F732" s="222"/>
      <c r="H732" s="223"/>
      <c r="AA732" s="223"/>
      <c r="AB732" s="223"/>
      <c r="AC732" s="232"/>
    </row>
    <row r="733">
      <c r="C733" s="222"/>
      <c r="F733" s="222"/>
      <c r="H733" s="223"/>
      <c r="AA733" s="223"/>
      <c r="AB733" s="223"/>
      <c r="AC733" s="232"/>
    </row>
    <row r="734">
      <c r="C734" s="222"/>
      <c r="F734" s="222"/>
      <c r="H734" s="223"/>
      <c r="AA734" s="223"/>
      <c r="AB734" s="223"/>
      <c r="AC734" s="232"/>
    </row>
    <row r="735">
      <c r="C735" s="222"/>
      <c r="F735" s="222"/>
      <c r="H735" s="223"/>
      <c r="AA735" s="223"/>
      <c r="AB735" s="223"/>
      <c r="AC735" s="232"/>
    </row>
    <row r="736">
      <c r="C736" s="222"/>
      <c r="F736" s="222"/>
      <c r="H736" s="223"/>
      <c r="AA736" s="223"/>
      <c r="AB736" s="223"/>
      <c r="AC736" s="232"/>
    </row>
    <row r="737">
      <c r="C737" s="222"/>
      <c r="F737" s="222"/>
      <c r="H737" s="223"/>
      <c r="AA737" s="223"/>
      <c r="AB737" s="223"/>
      <c r="AC737" s="232"/>
    </row>
    <row r="738">
      <c r="C738" s="222"/>
      <c r="F738" s="222"/>
      <c r="H738" s="223"/>
      <c r="AA738" s="223"/>
      <c r="AB738" s="223"/>
      <c r="AC738" s="232"/>
    </row>
    <row r="739">
      <c r="C739" s="222"/>
      <c r="F739" s="222"/>
      <c r="H739" s="223"/>
      <c r="AA739" s="223"/>
      <c r="AB739" s="223"/>
      <c r="AC739" s="232"/>
    </row>
    <row r="740">
      <c r="C740" s="222"/>
      <c r="F740" s="222"/>
      <c r="H740" s="223"/>
      <c r="AA740" s="223"/>
      <c r="AB740" s="223"/>
      <c r="AC740" s="232"/>
    </row>
    <row r="741">
      <c r="C741" s="222"/>
      <c r="F741" s="222"/>
      <c r="H741" s="223"/>
      <c r="AA741" s="223"/>
      <c r="AB741" s="223"/>
      <c r="AC741" s="232"/>
    </row>
    <row r="742">
      <c r="C742" s="222"/>
      <c r="F742" s="222"/>
      <c r="H742" s="223"/>
      <c r="AA742" s="223"/>
      <c r="AB742" s="223"/>
      <c r="AC742" s="232"/>
    </row>
    <row r="743">
      <c r="C743" s="222"/>
      <c r="F743" s="222"/>
      <c r="H743" s="223"/>
      <c r="AA743" s="223"/>
      <c r="AB743" s="223"/>
      <c r="AC743" s="232"/>
    </row>
    <row r="744">
      <c r="C744" s="222"/>
      <c r="F744" s="222"/>
      <c r="H744" s="223"/>
      <c r="AA744" s="223"/>
      <c r="AB744" s="223"/>
      <c r="AC744" s="232"/>
    </row>
    <row r="745">
      <c r="C745" s="222"/>
      <c r="F745" s="222"/>
      <c r="H745" s="223"/>
      <c r="AA745" s="223"/>
      <c r="AB745" s="223"/>
      <c r="AC745" s="232"/>
    </row>
    <row r="746">
      <c r="C746" s="222"/>
      <c r="F746" s="222"/>
      <c r="H746" s="223"/>
      <c r="AA746" s="223"/>
      <c r="AB746" s="223"/>
      <c r="AC746" s="232"/>
    </row>
    <row r="747">
      <c r="C747" s="222"/>
      <c r="F747" s="222"/>
      <c r="H747" s="223"/>
      <c r="AA747" s="223"/>
      <c r="AB747" s="223"/>
      <c r="AC747" s="232"/>
    </row>
    <row r="748">
      <c r="C748" s="222"/>
      <c r="F748" s="222"/>
      <c r="H748" s="223"/>
      <c r="AA748" s="223"/>
      <c r="AB748" s="223"/>
      <c r="AC748" s="232"/>
    </row>
    <row r="749">
      <c r="C749" s="222"/>
      <c r="F749" s="222"/>
      <c r="H749" s="223"/>
      <c r="AA749" s="223"/>
      <c r="AB749" s="223"/>
      <c r="AC749" s="232"/>
    </row>
    <row r="750">
      <c r="C750" s="222"/>
      <c r="F750" s="222"/>
      <c r="H750" s="223"/>
      <c r="AA750" s="223"/>
      <c r="AB750" s="223"/>
      <c r="AC750" s="232"/>
    </row>
    <row r="751">
      <c r="C751" s="222"/>
      <c r="F751" s="222"/>
      <c r="H751" s="223"/>
      <c r="AA751" s="223"/>
      <c r="AB751" s="223"/>
      <c r="AC751" s="232"/>
    </row>
    <row r="752">
      <c r="C752" s="222"/>
      <c r="F752" s="222"/>
      <c r="H752" s="223"/>
      <c r="AA752" s="223"/>
      <c r="AB752" s="223"/>
      <c r="AC752" s="232"/>
    </row>
    <row r="753">
      <c r="C753" s="222"/>
      <c r="F753" s="222"/>
      <c r="H753" s="223"/>
      <c r="AA753" s="223"/>
      <c r="AB753" s="223"/>
      <c r="AC753" s="232"/>
    </row>
    <row r="754">
      <c r="C754" s="222"/>
      <c r="F754" s="222"/>
      <c r="H754" s="223"/>
      <c r="AA754" s="223"/>
      <c r="AB754" s="223"/>
      <c r="AC754" s="232"/>
    </row>
    <row r="755">
      <c r="C755" s="222"/>
      <c r="F755" s="222"/>
      <c r="H755" s="223"/>
      <c r="AA755" s="223"/>
      <c r="AB755" s="223"/>
      <c r="AC755" s="232"/>
    </row>
    <row r="756">
      <c r="C756" s="222"/>
      <c r="F756" s="222"/>
      <c r="H756" s="223"/>
      <c r="AA756" s="223"/>
      <c r="AB756" s="223"/>
      <c r="AC756" s="232"/>
    </row>
    <row r="757">
      <c r="C757" s="222"/>
      <c r="F757" s="222"/>
      <c r="H757" s="223"/>
      <c r="AA757" s="223"/>
      <c r="AB757" s="223"/>
      <c r="AC757" s="232"/>
    </row>
    <row r="758">
      <c r="C758" s="222"/>
      <c r="F758" s="222"/>
      <c r="H758" s="223"/>
      <c r="AA758" s="223"/>
      <c r="AB758" s="223"/>
      <c r="AC758" s="232"/>
    </row>
    <row r="759">
      <c r="C759" s="222"/>
      <c r="F759" s="222"/>
      <c r="H759" s="223"/>
      <c r="AA759" s="223"/>
      <c r="AB759" s="223"/>
      <c r="AC759" s="232"/>
    </row>
    <row r="760">
      <c r="C760" s="222"/>
      <c r="F760" s="222"/>
      <c r="H760" s="223"/>
      <c r="AA760" s="223"/>
      <c r="AB760" s="223"/>
      <c r="AC760" s="232"/>
    </row>
    <row r="761">
      <c r="C761" s="222"/>
      <c r="F761" s="222"/>
      <c r="H761" s="223"/>
      <c r="AA761" s="223"/>
      <c r="AB761" s="223"/>
      <c r="AC761" s="232"/>
    </row>
    <row r="762">
      <c r="C762" s="222"/>
      <c r="F762" s="222"/>
      <c r="H762" s="223"/>
      <c r="AA762" s="223"/>
      <c r="AB762" s="223"/>
      <c r="AC762" s="232"/>
    </row>
    <row r="763">
      <c r="C763" s="222"/>
      <c r="F763" s="222"/>
      <c r="H763" s="223"/>
      <c r="AA763" s="223"/>
      <c r="AB763" s="223"/>
      <c r="AC763" s="232"/>
    </row>
    <row r="764">
      <c r="C764" s="222"/>
      <c r="F764" s="222"/>
      <c r="H764" s="223"/>
      <c r="AA764" s="223"/>
      <c r="AB764" s="223"/>
      <c r="AC764" s="232"/>
    </row>
    <row r="765">
      <c r="C765" s="222"/>
      <c r="F765" s="222"/>
      <c r="H765" s="223"/>
      <c r="AA765" s="223"/>
      <c r="AB765" s="223"/>
      <c r="AC765" s="232"/>
    </row>
    <row r="766">
      <c r="C766" s="222"/>
      <c r="F766" s="222"/>
      <c r="H766" s="223"/>
      <c r="AA766" s="223"/>
      <c r="AB766" s="223"/>
      <c r="AC766" s="232"/>
    </row>
    <row r="767">
      <c r="C767" s="222"/>
      <c r="F767" s="222"/>
      <c r="H767" s="223"/>
      <c r="AA767" s="223"/>
      <c r="AB767" s="223"/>
      <c r="AC767" s="232"/>
    </row>
    <row r="768">
      <c r="C768" s="222"/>
      <c r="F768" s="222"/>
      <c r="H768" s="223"/>
      <c r="AA768" s="223"/>
      <c r="AB768" s="223"/>
      <c r="AC768" s="232"/>
    </row>
    <row r="769">
      <c r="C769" s="222"/>
      <c r="F769" s="222"/>
      <c r="H769" s="223"/>
      <c r="AA769" s="223"/>
      <c r="AB769" s="223"/>
      <c r="AC769" s="232"/>
    </row>
    <row r="770">
      <c r="C770" s="222"/>
      <c r="F770" s="222"/>
      <c r="H770" s="223"/>
      <c r="AA770" s="223"/>
      <c r="AB770" s="223"/>
      <c r="AC770" s="232"/>
    </row>
    <row r="771">
      <c r="C771" s="222"/>
      <c r="F771" s="222"/>
      <c r="H771" s="223"/>
      <c r="AA771" s="223"/>
      <c r="AB771" s="223"/>
      <c r="AC771" s="232"/>
    </row>
    <row r="772">
      <c r="C772" s="222"/>
      <c r="F772" s="222"/>
      <c r="H772" s="223"/>
      <c r="AA772" s="223"/>
      <c r="AB772" s="223"/>
      <c r="AC772" s="232"/>
    </row>
    <row r="773">
      <c r="C773" s="222"/>
      <c r="F773" s="222"/>
      <c r="H773" s="223"/>
      <c r="AA773" s="223"/>
      <c r="AB773" s="223"/>
      <c r="AC773" s="232"/>
    </row>
    <row r="774">
      <c r="C774" s="222"/>
      <c r="F774" s="222"/>
      <c r="H774" s="223"/>
      <c r="AA774" s="223"/>
      <c r="AB774" s="223"/>
      <c r="AC774" s="232"/>
    </row>
    <row r="775">
      <c r="C775" s="222"/>
      <c r="F775" s="222"/>
      <c r="H775" s="223"/>
      <c r="AA775" s="223"/>
      <c r="AB775" s="223"/>
      <c r="AC775" s="232"/>
    </row>
    <row r="776">
      <c r="C776" s="222"/>
      <c r="F776" s="222"/>
      <c r="H776" s="223"/>
      <c r="AA776" s="223"/>
      <c r="AB776" s="223"/>
      <c r="AC776" s="232"/>
    </row>
    <row r="777">
      <c r="C777" s="222"/>
      <c r="F777" s="222"/>
      <c r="H777" s="223"/>
      <c r="AA777" s="223"/>
      <c r="AB777" s="223"/>
      <c r="AC777" s="232"/>
    </row>
    <row r="778">
      <c r="C778" s="222"/>
      <c r="F778" s="222"/>
      <c r="H778" s="223"/>
      <c r="AA778" s="223"/>
      <c r="AB778" s="223"/>
      <c r="AC778" s="232"/>
    </row>
    <row r="779">
      <c r="C779" s="222"/>
      <c r="F779" s="222"/>
      <c r="H779" s="223"/>
      <c r="AA779" s="223"/>
      <c r="AB779" s="223"/>
      <c r="AC779" s="232"/>
    </row>
    <row r="780">
      <c r="C780" s="222"/>
      <c r="F780" s="222"/>
      <c r="H780" s="223"/>
      <c r="AA780" s="223"/>
      <c r="AB780" s="223"/>
      <c r="AC780" s="232"/>
    </row>
    <row r="781">
      <c r="C781" s="222"/>
      <c r="F781" s="222"/>
      <c r="H781" s="223"/>
      <c r="AA781" s="223"/>
      <c r="AB781" s="223"/>
      <c r="AC781" s="232"/>
    </row>
    <row r="782">
      <c r="C782" s="222"/>
      <c r="F782" s="222"/>
      <c r="H782" s="223"/>
      <c r="AA782" s="223"/>
      <c r="AB782" s="223"/>
      <c r="AC782" s="232"/>
    </row>
    <row r="783">
      <c r="C783" s="222"/>
      <c r="F783" s="222"/>
      <c r="H783" s="223"/>
      <c r="AA783" s="223"/>
      <c r="AB783" s="223"/>
      <c r="AC783" s="232"/>
    </row>
    <row r="784">
      <c r="C784" s="222"/>
      <c r="F784" s="222"/>
      <c r="H784" s="223"/>
      <c r="AA784" s="223"/>
      <c r="AB784" s="223"/>
      <c r="AC784" s="232"/>
    </row>
    <row r="785">
      <c r="C785" s="222"/>
      <c r="F785" s="222"/>
      <c r="H785" s="223"/>
      <c r="AA785" s="223"/>
      <c r="AB785" s="223"/>
      <c r="AC785" s="232"/>
    </row>
    <row r="786">
      <c r="C786" s="222"/>
      <c r="F786" s="222"/>
      <c r="H786" s="223"/>
      <c r="AA786" s="223"/>
      <c r="AB786" s="223"/>
      <c r="AC786" s="232"/>
    </row>
    <row r="787">
      <c r="C787" s="222"/>
      <c r="F787" s="222"/>
      <c r="H787" s="223"/>
      <c r="AA787" s="223"/>
      <c r="AB787" s="223"/>
      <c r="AC787" s="232"/>
    </row>
    <row r="788">
      <c r="C788" s="222"/>
      <c r="F788" s="222"/>
      <c r="H788" s="223"/>
      <c r="AA788" s="223"/>
      <c r="AB788" s="223"/>
      <c r="AC788" s="232"/>
    </row>
    <row r="789">
      <c r="C789" s="222"/>
      <c r="F789" s="222"/>
      <c r="H789" s="223"/>
      <c r="AA789" s="223"/>
      <c r="AB789" s="223"/>
      <c r="AC789" s="232"/>
    </row>
    <row r="790">
      <c r="C790" s="222"/>
      <c r="F790" s="222"/>
      <c r="H790" s="223"/>
      <c r="AA790" s="223"/>
      <c r="AB790" s="223"/>
      <c r="AC790" s="232"/>
    </row>
    <row r="791">
      <c r="C791" s="222"/>
      <c r="F791" s="222"/>
      <c r="H791" s="223"/>
      <c r="AA791" s="223"/>
      <c r="AB791" s="223"/>
      <c r="AC791" s="232"/>
    </row>
    <row r="792">
      <c r="C792" s="222"/>
      <c r="F792" s="222"/>
      <c r="H792" s="223"/>
      <c r="AA792" s="223"/>
      <c r="AB792" s="223"/>
      <c r="AC792" s="232"/>
    </row>
    <row r="793">
      <c r="C793" s="222"/>
      <c r="F793" s="222"/>
      <c r="H793" s="223"/>
      <c r="AA793" s="223"/>
      <c r="AB793" s="223"/>
      <c r="AC793" s="232"/>
    </row>
    <row r="794">
      <c r="C794" s="222"/>
      <c r="F794" s="222"/>
      <c r="H794" s="223"/>
      <c r="AA794" s="223"/>
      <c r="AB794" s="223"/>
      <c r="AC794" s="232"/>
    </row>
    <row r="795">
      <c r="C795" s="222"/>
      <c r="F795" s="222"/>
      <c r="H795" s="223"/>
      <c r="AA795" s="223"/>
      <c r="AB795" s="223"/>
      <c r="AC795" s="232"/>
    </row>
    <row r="796">
      <c r="C796" s="222"/>
      <c r="F796" s="222"/>
      <c r="H796" s="223"/>
      <c r="AA796" s="223"/>
      <c r="AB796" s="223"/>
      <c r="AC796" s="232"/>
    </row>
    <row r="797">
      <c r="C797" s="222"/>
      <c r="F797" s="222"/>
      <c r="H797" s="223"/>
      <c r="AA797" s="223"/>
      <c r="AB797" s="223"/>
      <c r="AC797" s="232"/>
    </row>
    <row r="798">
      <c r="C798" s="222"/>
      <c r="F798" s="222"/>
      <c r="H798" s="223"/>
      <c r="AA798" s="223"/>
      <c r="AB798" s="223"/>
      <c r="AC798" s="232"/>
    </row>
    <row r="799">
      <c r="C799" s="222"/>
      <c r="F799" s="222"/>
      <c r="H799" s="223"/>
      <c r="AA799" s="223"/>
      <c r="AB799" s="223"/>
      <c r="AC799" s="232"/>
    </row>
    <row r="800">
      <c r="C800" s="222"/>
      <c r="F800" s="222"/>
      <c r="H800" s="223"/>
      <c r="AA800" s="223"/>
      <c r="AB800" s="223"/>
      <c r="AC800" s="232"/>
    </row>
    <row r="801">
      <c r="C801" s="222"/>
      <c r="F801" s="222"/>
      <c r="H801" s="223"/>
      <c r="AA801" s="223"/>
      <c r="AB801" s="223"/>
      <c r="AC801" s="232"/>
    </row>
    <row r="802">
      <c r="C802" s="222"/>
      <c r="F802" s="222"/>
      <c r="H802" s="223"/>
      <c r="AA802" s="223"/>
      <c r="AB802" s="223"/>
      <c r="AC802" s="232"/>
    </row>
    <row r="803">
      <c r="C803" s="222"/>
      <c r="F803" s="222"/>
      <c r="H803" s="223"/>
      <c r="AA803" s="223"/>
      <c r="AB803" s="223"/>
      <c r="AC803" s="232"/>
    </row>
    <row r="804">
      <c r="C804" s="222"/>
      <c r="F804" s="222"/>
      <c r="H804" s="223"/>
      <c r="AA804" s="223"/>
      <c r="AB804" s="223"/>
      <c r="AC804" s="232"/>
    </row>
    <row r="805">
      <c r="C805" s="222"/>
      <c r="F805" s="222"/>
      <c r="H805" s="223"/>
      <c r="AA805" s="223"/>
      <c r="AB805" s="223"/>
      <c r="AC805" s="232"/>
    </row>
    <row r="806">
      <c r="C806" s="222"/>
      <c r="F806" s="222"/>
      <c r="H806" s="223"/>
      <c r="AA806" s="223"/>
      <c r="AB806" s="223"/>
      <c r="AC806" s="232"/>
    </row>
    <row r="807">
      <c r="C807" s="222"/>
      <c r="F807" s="222"/>
      <c r="H807" s="223"/>
      <c r="AA807" s="223"/>
      <c r="AB807" s="223"/>
      <c r="AC807" s="232"/>
    </row>
    <row r="808">
      <c r="C808" s="222"/>
      <c r="F808" s="222"/>
      <c r="H808" s="223"/>
      <c r="AA808" s="223"/>
      <c r="AB808" s="223"/>
      <c r="AC808" s="232"/>
    </row>
    <row r="809">
      <c r="C809" s="222"/>
      <c r="F809" s="222"/>
      <c r="H809" s="223"/>
      <c r="AA809" s="223"/>
      <c r="AB809" s="223"/>
      <c r="AC809" s="232"/>
    </row>
    <row r="810">
      <c r="C810" s="222"/>
      <c r="F810" s="222"/>
      <c r="H810" s="223"/>
      <c r="AA810" s="223"/>
      <c r="AB810" s="223"/>
      <c r="AC810" s="232"/>
    </row>
    <row r="811">
      <c r="C811" s="222"/>
      <c r="F811" s="222"/>
      <c r="H811" s="223"/>
      <c r="AA811" s="223"/>
      <c r="AB811" s="223"/>
      <c r="AC811" s="232"/>
    </row>
    <row r="812">
      <c r="C812" s="222"/>
      <c r="F812" s="222"/>
      <c r="H812" s="223"/>
      <c r="AA812" s="223"/>
      <c r="AB812" s="223"/>
      <c r="AC812" s="232"/>
    </row>
    <row r="813">
      <c r="C813" s="222"/>
      <c r="F813" s="222"/>
      <c r="H813" s="223"/>
      <c r="AA813" s="223"/>
      <c r="AB813" s="223"/>
      <c r="AC813" s="232"/>
    </row>
    <row r="814">
      <c r="C814" s="222"/>
      <c r="F814" s="222"/>
      <c r="H814" s="223"/>
      <c r="AA814" s="223"/>
      <c r="AB814" s="223"/>
      <c r="AC814" s="232"/>
    </row>
    <row r="815">
      <c r="C815" s="222"/>
      <c r="F815" s="222"/>
      <c r="H815" s="223"/>
      <c r="AA815" s="223"/>
      <c r="AB815" s="223"/>
      <c r="AC815" s="232"/>
    </row>
    <row r="816">
      <c r="C816" s="222"/>
      <c r="F816" s="222"/>
      <c r="H816" s="223"/>
      <c r="AA816" s="223"/>
      <c r="AB816" s="223"/>
      <c r="AC816" s="232"/>
    </row>
    <row r="817">
      <c r="C817" s="222"/>
      <c r="F817" s="222"/>
      <c r="H817" s="223"/>
      <c r="AA817" s="223"/>
      <c r="AB817" s="223"/>
      <c r="AC817" s="232"/>
    </row>
    <row r="818">
      <c r="C818" s="222"/>
      <c r="F818" s="222"/>
      <c r="H818" s="223"/>
      <c r="AA818" s="223"/>
      <c r="AB818" s="223"/>
      <c r="AC818" s="232"/>
    </row>
    <row r="819">
      <c r="C819" s="222"/>
      <c r="F819" s="222"/>
      <c r="H819" s="223"/>
      <c r="AA819" s="223"/>
      <c r="AB819" s="223"/>
      <c r="AC819" s="232"/>
    </row>
    <row r="820">
      <c r="C820" s="222"/>
      <c r="F820" s="222"/>
      <c r="H820" s="223"/>
      <c r="AA820" s="223"/>
      <c r="AB820" s="223"/>
      <c r="AC820" s="232"/>
    </row>
    <row r="821">
      <c r="C821" s="222"/>
      <c r="F821" s="222"/>
      <c r="H821" s="223"/>
      <c r="AA821" s="223"/>
      <c r="AB821" s="223"/>
      <c r="AC821" s="232"/>
    </row>
    <row r="822">
      <c r="C822" s="222"/>
      <c r="F822" s="222"/>
      <c r="H822" s="223"/>
      <c r="AA822" s="223"/>
      <c r="AB822" s="223"/>
      <c r="AC822" s="232"/>
    </row>
    <row r="823">
      <c r="C823" s="222"/>
      <c r="F823" s="222"/>
      <c r="H823" s="223"/>
      <c r="AA823" s="223"/>
      <c r="AB823" s="223"/>
      <c r="AC823" s="232"/>
    </row>
    <row r="824">
      <c r="C824" s="222"/>
      <c r="F824" s="222"/>
      <c r="H824" s="223"/>
      <c r="AA824" s="223"/>
      <c r="AB824" s="223"/>
      <c r="AC824" s="232"/>
    </row>
    <row r="825">
      <c r="C825" s="222"/>
      <c r="F825" s="222"/>
      <c r="H825" s="223"/>
      <c r="AA825" s="223"/>
      <c r="AB825" s="223"/>
      <c r="AC825" s="232"/>
    </row>
    <row r="826">
      <c r="C826" s="222"/>
      <c r="F826" s="222"/>
      <c r="H826" s="223"/>
      <c r="AA826" s="223"/>
      <c r="AB826" s="223"/>
      <c r="AC826" s="232"/>
    </row>
    <row r="827">
      <c r="C827" s="222"/>
      <c r="F827" s="222"/>
      <c r="H827" s="223"/>
      <c r="AA827" s="223"/>
      <c r="AB827" s="223"/>
      <c r="AC827" s="232"/>
    </row>
    <row r="828">
      <c r="C828" s="222"/>
      <c r="F828" s="222"/>
      <c r="H828" s="223"/>
      <c r="AA828" s="223"/>
      <c r="AB828" s="223"/>
      <c r="AC828" s="232"/>
    </row>
    <row r="829">
      <c r="C829" s="222"/>
      <c r="F829" s="222"/>
      <c r="H829" s="223"/>
      <c r="AA829" s="223"/>
      <c r="AB829" s="223"/>
      <c r="AC829" s="232"/>
    </row>
    <row r="830">
      <c r="C830" s="222"/>
      <c r="F830" s="222"/>
      <c r="H830" s="223"/>
      <c r="AA830" s="223"/>
      <c r="AB830" s="223"/>
      <c r="AC830" s="232"/>
    </row>
    <row r="831">
      <c r="C831" s="222"/>
      <c r="F831" s="222"/>
      <c r="H831" s="223"/>
      <c r="AA831" s="223"/>
      <c r="AB831" s="223"/>
      <c r="AC831" s="232"/>
    </row>
    <row r="832">
      <c r="C832" s="222"/>
      <c r="F832" s="222"/>
      <c r="H832" s="223"/>
      <c r="AA832" s="223"/>
      <c r="AB832" s="223"/>
      <c r="AC832" s="232"/>
    </row>
    <row r="833">
      <c r="C833" s="222"/>
      <c r="F833" s="222"/>
      <c r="H833" s="223"/>
      <c r="AA833" s="223"/>
      <c r="AB833" s="223"/>
      <c r="AC833" s="232"/>
    </row>
    <row r="834">
      <c r="C834" s="222"/>
      <c r="F834" s="222"/>
      <c r="H834" s="223"/>
      <c r="AA834" s="223"/>
      <c r="AB834" s="223"/>
      <c r="AC834" s="232"/>
    </row>
    <row r="835">
      <c r="C835" s="222"/>
      <c r="F835" s="222"/>
      <c r="H835" s="223"/>
      <c r="AA835" s="223"/>
      <c r="AB835" s="223"/>
      <c r="AC835" s="232"/>
    </row>
    <row r="836">
      <c r="C836" s="222"/>
      <c r="F836" s="222"/>
      <c r="H836" s="223"/>
      <c r="AA836" s="223"/>
      <c r="AB836" s="223"/>
      <c r="AC836" s="232"/>
    </row>
    <row r="837">
      <c r="C837" s="222"/>
      <c r="F837" s="222"/>
      <c r="H837" s="223"/>
      <c r="AA837" s="223"/>
      <c r="AB837" s="223"/>
      <c r="AC837" s="232"/>
    </row>
    <row r="838">
      <c r="C838" s="222"/>
      <c r="F838" s="222"/>
      <c r="H838" s="223"/>
      <c r="AA838" s="223"/>
      <c r="AB838" s="223"/>
      <c r="AC838" s="232"/>
    </row>
    <row r="839">
      <c r="C839" s="222"/>
      <c r="F839" s="222"/>
      <c r="H839" s="223"/>
      <c r="AA839" s="223"/>
      <c r="AB839" s="223"/>
      <c r="AC839" s="232"/>
    </row>
    <row r="840">
      <c r="C840" s="222"/>
      <c r="F840" s="222"/>
      <c r="H840" s="223"/>
      <c r="AA840" s="223"/>
      <c r="AB840" s="223"/>
      <c r="AC840" s="232"/>
    </row>
    <row r="841">
      <c r="C841" s="222"/>
      <c r="F841" s="222"/>
      <c r="H841" s="223"/>
      <c r="AA841" s="223"/>
      <c r="AB841" s="223"/>
      <c r="AC841" s="232"/>
    </row>
    <row r="842">
      <c r="C842" s="222"/>
      <c r="F842" s="222"/>
      <c r="H842" s="223"/>
      <c r="AA842" s="223"/>
      <c r="AB842" s="223"/>
      <c r="AC842" s="232"/>
    </row>
    <row r="843">
      <c r="C843" s="222"/>
      <c r="F843" s="222"/>
      <c r="H843" s="223"/>
      <c r="AA843" s="223"/>
      <c r="AB843" s="223"/>
      <c r="AC843" s="232"/>
    </row>
    <row r="844">
      <c r="C844" s="222"/>
      <c r="F844" s="222"/>
      <c r="H844" s="223"/>
      <c r="AA844" s="223"/>
      <c r="AB844" s="223"/>
      <c r="AC844" s="232"/>
    </row>
    <row r="845">
      <c r="C845" s="222"/>
      <c r="F845" s="222"/>
      <c r="H845" s="223"/>
      <c r="AA845" s="223"/>
      <c r="AB845" s="223"/>
      <c r="AC845" s="232"/>
    </row>
    <row r="846">
      <c r="C846" s="222"/>
      <c r="F846" s="222"/>
      <c r="H846" s="223"/>
      <c r="AA846" s="223"/>
      <c r="AB846" s="223"/>
      <c r="AC846" s="232"/>
    </row>
    <row r="847">
      <c r="C847" s="222"/>
      <c r="F847" s="222"/>
      <c r="H847" s="223"/>
      <c r="AA847" s="223"/>
      <c r="AB847" s="223"/>
      <c r="AC847" s="232"/>
    </row>
    <row r="848">
      <c r="C848" s="222"/>
      <c r="F848" s="222"/>
      <c r="H848" s="223"/>
      <c r="AA848" s="223"/>
      <c r="AB848" s="223"/>
      <c r="AC848" s="232"/>
    </row>
    <row r="849">
      <c r="C849" s="222"/>
      <c r="F849" s="222"/>
      <c r="H849" s="223"/>
      <c r="AA849" s="223"/>
      <c r="AB849" s="223"/>
      <c r="AC849" s="232"/>
    </row>
    <row r="850">
      <c r="C850" s="222"/>
      <c r="F850" s="222"/>
      <c r="H850" s="223"/>
      <c r="AA850" s="223"/>
      <c r="AB850" s="223"/>
      <c r="AC850" s="232"/>
    </row>
    <row r="851">
      <c r="C851" s="222"/>
      <c r="F851" s="222"/>
      <c r="H851" s="223"/>
      <c r="AA851" s="223"/>
      <c r="AB851" s="223"/>
      <c r="AC851" s="232"/>
    </row>
    <row r="852">
      <c r="C852" s="222"/>
      <c r="F852" s="222"/>
      <c r="H852" s="223"/>
      <c r="AA852" s="223"/>
      <c r="AB852" s="223"/>
      <c r="AC852" s="232"/>
    </row>
    <row r="853">
      <c r="C853" s="222"/>
      <c r="F853" s="222"/>
      <c r="H853" s="223"/>
      <c r="AA853" s="223"/>
      <c r="AB853" s="223"/>
      <c r="AC853" s="232"/>
    </row>
    <row r="854">
      <c r="C854" s="222"/>
      <c r="F854" s="222"/>
      <c r="H854" s="223"/>
      <c r="AA854" s="223"/>
      <c r="AB854" s="223"/>
      <c r="AC854" s="232"/>
    </row>
    <row r="855">
      <c r="C855" s="222"/>
      <c r="F855" s="222"/>
      <c r="H855" s="223"/>
      <c r="AA855" s="223"/>
      <c r="AB855" s="223"/>
      <c r="AC855" s="232"/>
    </row>
    <row r="856">
      <c r="C856" s="222"/>
      <c r="F856" s="222"/>
      <c r="H856" s="223"/>
      <c r="AA856" s="223"/>
      <c r="AB856" s="223"/>
      <c r="AC856" s="232"/>
    </row>
    <row r="857">
      <c r="C857" s="222"/>
      <c r="F857" s="222"/>
      <c r="H857" s="223"/>
      <c r="AA857" s="223"/>
      <c r="AB857" s="223"/>
      <c r="AC857" s="232"/>
    </row>
    <row r="858">
      <c r="C858" s="222"/>
      <c r="F858" s="222"/>
      <c r="H858" s="223"/>
      <c r="AA858" s="223"/>
      <c r="AB858" s="223"/>
      <c r="AC858" s="232"/>
    </row>
    <row r="859">
      <c r="C859" s="222"/>
      <c r="F859" s="222"/>
      <c r="H859" s="223"/>
      <c r="AA859" s="223"/>
      <c r="AB859" s="223"/>
      <c r="AC859" s="232"/>
    </row>
    <row r="860">
      <c r="C860" s="222"/>
      <c r="F860" s="222"/>
      <c r="H860" s="223"/>
      <c r="AA860" s="223"/>
      <c r="AB860" s="223"/>
      <c r="AC860" s="232"/>
    </row>
    <row r="861">
      <c r="C861" s="222"/>
      <c r="F861" s="222"/>
      <c r="H861" s="223"/>
      <c r="AA861" s="223"/>
      <c r="AB861" s="223"/>
      <c r="AC861" s="232"/>
    </row>
    <row r="862">
      <c r="C862" s="222"/>
      <c r="F862" s="222"/>
      <c r="H862" s="223"/>
      <c r="AA862" s="223"/>
      <c r="AB862" s="223"/>
      <c r="AC862" s="232"/>
    </row>
    <row r="863">
      <c r="C863" s="222"/>
      <c r="F863" s="222"/>
      <c r="H863" s="223"/>
      <c r="AA863" s="223"/>
      <c r="AB863" s="223"/>
      <c r="AC863" s="232"/>
    </row>
    <row r="864">
      <c r="C864" s="222"/>
      <c r="F864" s="222"/>
      <c r="H864" s="223"/>
      <c r="AA864" s="223"/>
      <c r="AB864" s="223"/>
      <c r="AC864" s="232"/>
    </row>
    <row r="865">
      <c r="C865" s="222"/>
      <c r="F865" s="222"/>
      <c r="H865" s="223"/>
      <c r="AA865" s="223"/>
      <c r="AB865" s="223"/>
      <c r="AC865" s="232"/>
    </row>
    <row r="866">
      <c r="C866" s="222"/>
      <c r="F866" s="222"/>
      <c r="H866" s="223"/>
      <c r="AA866" s="223"/>
      <c r="AB866" s="223"/>
      <c r="AC866" s="232"/>
    </row>
    <row r="867">
      <c r="C867" s="222"/>
      <c r="F867" s="222"/>
      <c r="H867" s="223"/>
      <c r="AA867" s="223"/>
      <c r="AB867" s="223"/>
      <c r="AC867" s="232"/>
    </row>
    <row r="868">
      <c r="C868" s="222"/>
      <c r="F868" s="222"/>
      <c r="H868" s="223"/>
      <c r="AA868" s="223"/>
      <c r="AB868" s="223"/>
      <c r="AC868" s="232"/>
    </row>
    <row r="869">
      <c r="C869" s="222"/>
      <c r="F869" s="222"/>
      <c r="H869" s="223"/>
      <c r="AA869" s="223"/>
      <c r="AB869" s="223"/>
      <c r="AC869" s="232"/>
    </row>
    <row r="870">
      <c r="C870" s="222"/>
      <c r="F870" s="222"/>
      <c r="H870" s="223"/>
      <c r="AA870" s="223"/>
      <c r="AB870" s="223"/>
      <c r="AC870" s="232"/>
    </row>
    <row r="871">
      <c r="C871" s="222"/>
      <c r="F871" s="222"/>
      <c r="H871" s="223"/>
      <c r="AA871" s="223"/>
      <c r="AB871" s="223"/>
      <c r="AC871" s="232"/>
    </row>
    <row r="872">
      <c r="C872" s="222"/>
      <c r="F872" s="222"/>
      <c r="H872" s="223"/>
      <c r="AA872" s="223"/>
      <c r="AB872" s="223"/>
      <c r="AC872" s="232"/>
    </row>
    <row r="873">
      <c r="C873" s="222"/>
      <c r="F873" s="222"/>
      <c r="H873" s="223"/>
      <c r="AA873" s="223"/>
      <c r="AB873" s="223"/>
      <c r="AC873" s="232"/>
    </row>
    <row r="874">
      <c r="C874" s="222"/>
      <c r="F874" s="222"/>
      <c r="H874" s="223"/>
      <c r="AA874" s="223"/>
      <c r="AB874" s="223"/>
      <c r="AC874" s="232"/>
    </row>
    <row r="875">
      <c r="C875" s="222"/>
      <c r="F875" s="222"/>
      <c r="H875" s="223"/>
      <c r="AA875" s="223"/>
      <c r="AB875" s="223"/>
      <c r="AC875" s="232"/>
    </row>
    <row r="876">
      <c r="C876" s="222"/>
      <c r="F876" s="222"/>
      <c r="H876" s="223"/>
      <c r="AA876" s="223"/>
      <c r="AB876" s="223"/>
      <c r="AC876" s="232"/>
    </row>
    <row r="877">
      <c r="C877" s="222"/>
      <c r="F877" s="222"/>
      <c r="H877" s="223"/>
      <c r="AA877" s="223"/>
      <c r="AB877" s="223"/>
      <c r="AC877" s="232"/>
    </row>
    <row r="878">
      <c r="C878" s="222"/>
      <c r="F878" s="222"/>
      <c r="H878" s="223"/>
      <c r="AA878" s="223"/>
      <c r="AB878" s="223"/>
      <c r="AC878" s="232"/>
    </row>
    <row r="879">
      <c r="C879" s="222"/>
      <c r="F879" s="222"/>
      <c r="H879" s="223"/>
      <c r="AA879" s="223"/>
      <c r="AB879" s="223"/>
      <c r="AC879" s="232"/>
    </row>
    <row r="880">
      <c r="C880" s="222"/>
      <c r="F880" s="222"/>
      <c r="H880" s="223"/>
      <c r="AA880" s="223"/>
      <c r="AB880" s="223"/>
      <c r="AC880" s="232"/>
    </row>
    <row r="881">
      <c r="C881" s="222"/>
      <c r="F881" s="222"/>
      <c r="H881" s="223"/>
      <c r="AA881" s="223"/>
      <c r="AB881" s="223"/>
      <c r="AC881" s="232"/>
    </row>
    <row r="882">
      <c r="C882" s="222"/>
      <c r="F882" s="222"/>
      <c r="H882" s="223"/>
      <c r="AA882" s="223"/>
      <c r="AB882" s="223"/>
      <c r="AC882" s="232"/>
    </row>
    <row r="883">
      <c r="C883" s="222"/>
      <c r="F883" s="222"/>
      <c r="H883" s="223"/>
      <c r="AA883" s="223"/>
      <c r="AB883" s="223"/>
      <c r="AC883" s="232"/>
    </row>
    <row r="884">
      <c r="C884" s="222"/>
      <c r="F884" s="222"/>
      <c r="H884" s="223"/>
      <c r="AA884" s="223"/>
      <c r="AB884" s="223"/>
      <c r="AC884" s="232"/>
    </row>
    <row r="885">
      <c r="C885" s="222"/>
      <c r="F885" s="222"/>
      <c r="H885" s="223"/>
      <c r="AA885" s="223"/>
      <c r="AB885" s="223"/>
      <c r="AC885" s="232"/>
    </row>
    <row r="886">
      <c r="C886" s="222"/>
      <c r="F886" s="222"/>
      <c r="H886" s="223"/>
      <c r="AA886" s="223"/>
      <c r="AB886" s="223"/>
      <c r="AC886" s="232"/>
    </row>
    <row r="887">
      <c r="C887" s="222"/>
      <c r="F887" s="222"/>
      <c r="H887" s="223"/>
      <c r="AA887" s="223"/>
      <c r="AB887" s="223"/>
      <c r="AC887" s="232"/>
    </row>
    <row r="888">
      <c r="C888" s="222"/>
      <c r="F888" s="222"/>
      <c r="H888" s="223"/>
      <c r="AA888" s="223"/>
      <c r="AB888" s="223"/>
      <c r="AC888" s="232"/>
    </row>
    <row r="889">
      <c r="C889" s="222"/>
      <c r="F889" s="222"/>
      <c r="H889" s="223"/>
      <c r="AA889" s="223"/>
      <c r="AB889" s="223"/>
      <c r="AC889" s="232"/>
    </row>
    <row r="890">
      <c r="C890" s="222"/>
      <c r="F890" s="222"/>
      <c r="H890" s="223"/>
      <c r="AA890" s="223"/>
      <c r="AB890" s="223"/>
      <c r="AC890" s="232"/>
    </row>
    <row r="891">
      <c r="C891" s="222"/>
      <c r="F891" s="222"/>
      <c r="H891" s="223"/>
      <c r="AA891" s="223"/>
      <c r="AB891" s="223"/>
      <c r="AC891" s="232"/>
    </row>
    <row r="892">
      <c r="C892" s="222"/>
      <c r="F892" s="222"/>
      <c r="H892" s="223"/>
      <c r="AA892" s="223"/>
      <c r="AB892" s="223"/>
      <c r="AC892" s="232"/>
    </row>
    <row r="893">
      <c r="C893" s="222"/>
      <c r="F893" s="222"/>
      <c r="H893" s="223"/>
      <c r="AA893" s="223"/>
      <c r="AB893" s="223"/>
      <c r="AC893" s="232"/>
    </row>
    <row r="894">
      <c r="C894" s="222"/>
      <c r="F894" s="222"/>
      <c r="H894" s="223"/>
      <c r="AA894" s="223"/>
      <c r="AB894" s="223"/>
      <c r="AC894" s="232"/>
    </row>
    <row r="895">
      <c r="C895" s="222"/>
      <c r="F895" s="222"/>
      <c r="H895" s="223"/>
      <c r="AA895" s="223"/>
      <c r="AB895" s="223"/>
      <c r="AC895" s="232"/>
    </row>
    <row r="896">
      <c r="C896" s="222"/>
      <c r="F896" s="222"/>
      <c r="H896" s="223"/>
      <c r="AA896" s="223"/>
      <c r="AB896" s="223"/>
      <c r="AC896" s="232"/>
    </row>
    <row r="897">
      <c r="C897" s="222"/>
      <c r="F897" s="222"/>
      <c r="H897" s="223"/>
      <c r="AA897" s="223"/>
      <c r="AB897" s="223"/>
      <c r="AC897" s="232"/>
    </row>
    <row r="898">
      <c r="C898" s="222"/>
      <c r="F898" s="222"/>
      <c r="H898" s="223"/>
      <c r="AA898" s="223"/>
      <c r="AB898" s="223"/>
      <c r="AC898" s="232"/>
    </row>
    <row r="899">
      <c r="C899" s="222"/>
      <c r="F899" s="222"/>
      <c r="H899" s="223"/>
      <c r="AA899" s="223"/>
      <c r="AB899" s="223"/>
      <c r="AC899" s="232"/>
    </row>
    <row r="900">
      <c r="C900" s="222"/>
      <c r="F900" s="222"/>
      <c r="H900" s="223"/>
      <c r="AA900" s="223"/>
      <c r="AB900" s="223"/>
      <c r="AC900" s="232"/>
    </row>
    <row r="901">
      <c r="C901" s="222"/>
      <c r="F901" s="222"/>
      <c r="H901" s="223"/>
      <c r="AA901" s="223"/>
      <c r="AB901" s="223"/>
      <c r="AC901" s="232"/>
    </row>
    <row r="902">
      <c r="C902" s="222"/>
      <c r="F902" s="222"/>
      <c r="H902" s="223"/>
      <c r="AA902" s="223"/>
      <c r="AB902" s="223"/>
      <c r="AC902" s="232"/>
    </row>
    <row r="903">
      <c r="C903" s="222"/>
      <c r="F903" s="222"/>
      <c r="H903" s="223"/>
      <c r="AA903" s="223"/>
      <c r="AB903" s="223"/>
      <c r="AC903" s="232"/>
    </row>
    <row r="904">
      <c r="C904" s="222"/>
      <c r="F904" s="222"/>
      <c r="H904" s="223"/>
      <c r="AA904" s="223"/>
      <c r="AB904" s="223"/>
      <c r="AC904" s="232"/>
    </row>
    <row r="905">
      <c r="C905" s="222"/>
      <c r="F905" s="222"/>
      <c r="H905" s="223"/>
      <c r="AA905" s="223"/>
      <c r="AB905" s="223"/>
      <c r="AC905" s="232"/>
    </row>
    <row r="906">
      <c r="C906" s="222"/>
      <c r="F906" s="222"/>
      <c r="H906" s="223"/>
      <c r="AA906" s="223"/>
      <c r="AB906" s="223"/>
      <c r="AC906" s="232"/>
    </row>
    <row r="907">
      <c r="C907" s="222"/>
      <c r="F907" s="222"/>
      <c r="H907" s="223"/>
      <c r="AA907" s="223"/>
      <c r="AB907" s="223"/>
      <c r="AC907" s="232"/>
    </row>
    <row r="908">
      <c r="C908" s="222"/>
      <c r="F908" s="222"/>
      <c r="H908" s="223"/>
      <c r="AA908" s="223"/>
      <c r="AB908" s="223"/>
      <c r="AC908" s="232"/>
    </row>
    <row r="909">
      <c r="C909" s="222"/>
      <c r="F909" s="222"/>
      <c r="H909" s="223"/>
      <c r="AA909" s="223"/>
      <c r="AB909" s="223"/>
      <c r="AC909" s="232"/>
    </row>
    <row r="910">
      <c r="C910" s="222"/>
      <c r="F910" s="222"/>
      <c r="H910" s="223"/>
      <c r="AA910" s="223"/>
      <c r="AB910" s="223"/>
      <c r="AC910" s="232"/>
    </row>
    <row r="911">
      <c r="C911" s="222"/>
      <c r="F911" s="222"/>
      <c r="H911" s="223"/>
      <c r="AA911" s="223"/>
      <c r="AB911" s="223"/>
      <c r="AC911" s="232"/>
    </row>
    <row r="912">
      <c r="C912" s="222"/>
      <c r="F912" s="222"/>
      <c r="H912" s="223"/>
      <c r="AA912" s="223"/>
      <c r="AB912" s="223"/>
      <c r="AC912" s="232"/>
    </row>
    <row r="913">
      <c r="C913" s="222"/>
      <c r="F913" s="222"/>
      <c r="H913" s="223"/>
      <c r="AA913" s="223"/>
      <c r="AB913" s="223"/>
      <c r="AC913" s="232"/>
    </row>
    <row r="914">
      <c r="C914" s="222"/>
      <c r="F914" s="222"/>
      <c r="H914" s="223"/>
      <c r="AA914" s="223"/>
      <c r="AB914" s="223"/>
      <c r="AC914" s="232"/>
    </row>
    <row r="915">
      <c r="C915" s="222"/>
      <c r="F915" s="222"/>
      <c r="H915" s="223"/>
      <c r="AA915" s="223"/>
      <c r="AB915" s="223"/>
      <c r="AC915" s="232"/>
    </row>
    <row r="916">
      <c r="C916" s="222"/>
      <c r="F916" s="222"/>
      <c r="H916" s="223"/>
      <c r="AA916" s="223"/>
      <c r="AB916" s="223"/>
      <c r="AC916" s="232"/>
    </row>
    <row r="917">
      <c r="C917" s="222"/>
      <c r="F917" s="222"/>
      <c r="H917" s="223"/>
      <c r="AA917" s="223"/>
      <c r="AB917" s="223"/>
      <c r="AC917" s="232"/>
    </row>
    <row r="918">
      <c r="C918" s="222"/>
      <c r="F918" s="222"/>
      <c r="H918" s="223"/>
      <c r="AA918" s="223"/>
      <c r="AB918" s="223"/>
      <c r="AC918" s="232"/>
    </row>
    <row r="919">
      <c r="C919" s="222"/>
      <c r="F919" s="222"/>
      <c r="H919" s="223"/>
      <c r="AA919" s="223"/>
      <c r="AB919" s="223"/>
      <c r="AC919" s="232"/>
    </row>
    <row r="920">
      <c r="C920" s="222"/>
      <c r="F920" s="222"/>
      <c r="H920" s="223"/>
      <c r="AA920" s="223"/>
      <c r="AB920" s="223"/>
      <c r="AC920" s="232"/>
    </row>
    <row r="921">
      <c r="C921" s="222"/>
      <c r="F921" s="222"/>
      <c r="H921" s="223"/>
      <c r="AA921" s="223"/>
      <c r="AB921" s="223"/>
      <c r="AC921" s="232"/>
    </row>
    <row r="922">
      <c r="C922" s="222"/>
      <c r="F922" s="222"/>
      <c r="H922" s="223"/>
      <c r="AA922" s="223"/>
      <c r="AB922" s="223"/>
      <c r="AC922" s="232"/>
    </row>
    <row r="923">
      <c r="C923" s="222"/>
      <c r="F923" s="222"/>
      <c r="H923" s="223"/>
      <c r="AA923" s="223"/>
      <c r="AB923" s="223"/>
      <c r="AC923" s="232"/>
    </row>
    <row r="924">
      <c r="C924" s="222"/>
      <c r="F924" s="222"/>
      <c r="H924" s="223"/>
      <c r="AA924" s="223"/>
      <c r="AB924" s="223"/>
      <c r="AC924" s="232"/>
    </row>
    <row r="925">
      <c r="C925" s="222"/>
      <c r="F925" s="222"/>
      <c r="H925" s="223"/>
      <c r="AA925" s="223"/>
      <c r="AB925" s="223"/>
      <c r="AC925" s="232"/>
    </row>
    <row r="926">
      <c r="C926" s="222"/>
      <c r="F926" s="222"/>
      <c r="H926" s="223"/>
      <c r="AA926" s="223"/>
      <c r="AB926" s="223"/>
      <c r="AC926" s="232"/>
    </row>
    <row r="927">
      <c r="C927" s="222"/>
      <c r="F927" s="222"/>
      <c r="H927" s="223"/>
      <c r="AA927" s="223"/>
      <c r="AB927" s="223"/>
      <c r="AC927" s="232"/>
    </row>
    <row r="928">
      <c r="C928" s="222"/>
      <c r="F928" s="222"/>
      <c r="H928" s="223"/>
      <c r="AA928" s="223"/>
      <c r="AB928" s="223"/>
      <c r="AC928" s="232"/>
    </row>
    <row r="929">
      <c r="C929" s="222"/>
      <c r="F929" s="222"/>
      <c r="H929" s="223"/>
      <c r="AA929" s="223"/>
      <c r="AB929" s="223"/>
      <c r="AC929" s="232"/>
    </row>
    <row r="930">
      <c r="C930" s="222"/>
      <c r="F930" s="222"/>
      <c r="H930" s="223"/>
      <c r="AA930" s="223"/>
      <c r="AB930" s="223"/>
      <c r="AC930" s="232"/>
    </row>
    <row r="931">
      <c r="C931" s="222"/>
      <c r="F931" s="222"/>
      <c r="H931" s="223"/>
      <c r="AA931" s="223"/>
      <c r="AB931" s="223"/>
      <c r="AC931" s="232"/>
    </row>
    <row r="932">
      <c r="C932" s="222"/>
      <c r="F932" s="222"/>
      <c r="H932" s="223"/>
      <c r="AA932" s="223"/>
      <c r="AB932" s="223"/>
      <c r="AC932" s="232"/>
    </row>
    <row r="933">
      <c r="C933" s="222"/>
      <c r="F933" s="222"/>
      <c r="H933" s="223"/>
      <c r="AA933" s="223"/>
      <c r="AB933" s="223"/>
      <c r="AC933" s="232"/>
    </row>
    <row r="934">
      <c r="C934" s="222"/>
      <c r="F934" s="222"/>
      <c r="H934" s="223"/>
      <c r="AA934" s="223"/>
      <c r="AB934" s="223"/>
      <c r="AC934" s="232"/>
    </row>
    <row r="935">
      <c r="C935" s="222"/>
      <c r="F935" s="222"/>
      <c r="H935" s="223"/>
      <c r="AA935" s="223"/>
      <c r="AB935" s="223"/>
      <c r="AC935" s="232"/>
    </row>
    <row r="936">
      <c r="C936" s="222"/>
      <c r="F936" s="222"/>
      <c r="H936" s="223"/>
      <c r="AA936" s="223"/>
      <c r="AB936" s="223"/>
      <c r="AC936" s="232"/>
    </row>
    <row r="937">
      <c r="C937" s="222"/>
      <c r="F937" s="222"/>
      <c r="H937" s="223"/>
      <c r="AA937" s="223"/>
      <c r="AB937" s="223"/>
      <c r="AC937" s="232"/>
    </row>
    <row r="938">
      <c r="C938" s="222"/>
      <c r="F938" s="222"/>
      <c r="H938" s="223"/>
      <c r="AA938" s="223"/>
      <c r="AB938" s="223"/>
      <c r="AC938" s="232"/>
    </row>
    <row r="939">
      <c r="C939" s="222"/>
      <c r="F939" s="222"/>
      <c r="H939" s="223"/>
      <c r="AA939" s="223"/>
      <c r="AB939" s="223"/>
      <c r="AC939" s="232"/>
    </row>
    <row r="940">
      <c r="C940" s="222"/>
      <c r="F940" s="222"/>
      <c r="H940" s="223"/>
      <c r="AA940" s="223"/>
      <c r="AB940" s="223"/>
      <c r="AC940" s="232"/>
    </row>
    <row r="941">
      <c r="C941" s="222"/>
      <c r="F941" s="222"/>
      <c r="H941" s="223"/>
      <c r="AA941" s="223"/>
      <c r="AB941" s="223"/>
      <c r="AC941" s="232"/>
    </row>
    <row r="942">
      <c r="C942" s="222"/>
      <c r="F942" s="222"/>
      <c r="H942" s="223"/>
      <c r="AA942" s="223"/>
      <c r="AB942" s="223"/>
      <c r="AC942" s="232"/>
    </row>
    <row r="943">
      <c r="C943" s="222"/>
      <c r="F943" s="222"/>
      <c r="H943" s="223"/>
      <c r="AA943" s="223"/>
      <c r="AB943" s="223"/>
      <c r="AC943" s="232"/>
    </row>
    <row r="944">
      <c r="C944" s="222"/>
      <c r="F944" s="222"/>
      <c r="H944" s="223"/>
      <c r="AA944" s="223"/>
      <c r="AB944" s="223"/>
      <c r="AC944" s="232"/>
    </row>
    <row r="945">
      <c r="C945" s="222"/>
      <c r="F945" s="222"/>
      <c r="H945" s="223"/>
      <c r="AA945" s="223"/>
      <c r="AB945" s="223"/>
      <c r="AC945" s="232"/>
    </row>
    <row r="946">
      <c r="C946" s="222"/>
      <c r="F946" s="222"/>
      <c r="H946" s="223"/>
      <c r="AA946" s="223"/>
      <c r="AB946" s="223"/>
      <c r="AC946" s="232"/>
    </row>
    <row r="947">
      <c r="C947" s="222"/>
      <c r="F947" s="222"/>
      <c r="H947" s="223"/>
      <c r="AA947" s="223"/>
      <c r="AB947" s="223"/>
      <c r="AC947" s="232"/>
    </row>
    <row r="948">
      <c r="C948" s="222"/>
      <c r="F948" s="222"/>
      <c r="H948" s="223"/>
      <c r="AA948" s="223"/>
      <c r="AB948" s="223"/>
      <c r="AC948" s="232"/>
    </row>
    <row r="949">
      <c r="C949" s="222"/>
      <c r="F949" s="222"/>
      <c r="H949" s="223"/>
      <c r="AA949" s="223"/>
      <c r="AB949" s="223"/>
      <c r="AC949" s="232"/>
    </row>
    <row r="950">
      <c r="C950" s="222"/>
      <c r="F950" s="222"/>
      <c r="H950" s="223"/>
      <c r="AA950" s="223"/>
      <c r="AB950" s="223"/>
      <c r="AC950" s="232"/>
    </row>
    <row r="951">
      <c r="C951" s="222"/>
      <c r="F951" s="222"/>
      <c r="H951" s="223"/>
      <c r="AA951" s="223"/>
      <c r="AB951" s="223"/>
      <c r="AC951" s="232"/>
    </row>
    <row r="952">
      <c r="C952" s="222"/>
      <c r="F952" s="222"/>
      <c r="H952" s="223"/>
      <c r="AA952" s="223"/>
      <c r="AB952" s="223"/>
      <c r="AC952" s="232"/>
    </row>
    <row r="953">
      <c r="C953" s="222"/>
      <c r="F953" s="222"/>
      <c r="H953" s="223"/>
      <c r="AA953" s="223"/>
      <c r="AB953" s="223"/>
      <c r="AC953" s="232"/>
    </row>
    <row r="954">
      <c r="C954" s="222"/>
      <c r="F954" s="222"/>
      <c r="H954" s="223"/>
      <c r="AA954" s="223"/>
      <c r="AB954" s="223"/>
      <c r="AC954" s="232"/>
    </row>
    <row r="955">
      <c r="C955" s="222"/>
      <c r="F955" s="222"/>
      <c r="H955" s="223"/>
      <c r="AA955" s="223"/>
      <c r="AB955" s="223"/>
      <c r="AC955" s="232"/>
    </row>
    <row r="956">
      <c r="C956" s="222"/>
      <c r="F956" s="222"/>
      <c r="H956" s="223"/>
      <c r="AA956" s="223"/>
      <c r="AB956" s="223"/>
      <c r="AC956" s="232"/>
    </row>
    <row r="957">
      <c r="C957" s="222"/>
      <c r="F957" s="222"/>
      <c r="H957" s="223"/>
      <c r="AA957" s="223"/>
      <c r="AB957" s="223"/>
      <c r="AC957" s="232"/>
    </row>
    <row r="958">
      <c r="C958" s="222"/>
      <c r="F958" s="222"/>
      <c r="H958" s="223"/>
      <c r="AA958" s="223"/>
      <c r="AB958" s="223"/>
      <c r="AC958" s="232"/>
    </row>
    <row r="959">
      <c r="C959" s="222"/>
      <c r="F959" s="222"/>
      <c r="H959" s="223"/>
      <c r="AA959" s="223"/>
      <c r="AB959" s="223"/>
      <c r="AC959" s="232"/>
    </row>
    <row r="960">
      <c r="C960" s="222"/>
      <c r="F960" s="222"/>
      <c r="H960" s="223"/>
      <c r="AA960" s="223"/>
      <c r="AB960" s="223"/>
      <c r="AC960" s="232"/>
    </row>
    <row r="961">
      <c r="C961" s="222"/>
      <c r="F961" s="222"/>
      <c r="H961" s="223"/>
      <c r="AA961" s="223"/>
      <c r="AB961" s="223"/>
      <c r="AC961" s="232"/>
    </row>
    <row r="962">
      <c r="C962" s="222"/>
      <c r="F962" s="222"/>
      <c r="H962" s="223"/>
      <c r="AA962" s="223"/>
      <c r="AB962" s="223"/>
      <c r="AC962" s="232"/>
    </row>
    <row r="963">
      <c r="C963" s="222"/>
      <c r="F963" s="222"/>
      <c r="H963" s="223"/>
      <c r="AA963" s="223"/>
      <c r="AB963" s="223"/>
      <c r="AC963" s="232"/>
    </row>
    <row r="964">
      <c r="C964" s="222"/>
      <c r="F964" s="222"/>
      <c r="H964" s="223"/>
      <c r="AA964" s="223"/>
      <c r="AB964" s="223"/>
      <c r="AC964" s="232"/>
    </row>
    <row r="965">
      <c r="C965" s="222"/>
      <c r="F965" s="222"/>
      <c r="H965" s="223"/>
      <c r="AA965" s="223"/>
      <c r="AB965" s="223"/>
      <c r="AC965" s="232"/>
    </row>
    <row r="966">
      <c r="C966" s="222"/>
      <c r="F966" s="222"/>
      <c r="H966" s="223"/>
      <c r="AA966" s="223"/>
      <c r="AB966" s="223"/>
      <c r="AC966" s="232"/>
    </row>
    <row r="967">
      <c r="C967" s="222"/>
      <c r="F967" s="222"/>
      <c r="H967" s="223"/>
      <c r="AA967" s="223"/>
      <c r="AB967" s="223"/>
      <c r="AC967" s="232"/>
    </row>
    <row r="968">
      <c r="C968" s="222"/>
      <c r="F968" s="222"/>
      <c r="H968" s="223"/>
      <c r="AA968" s="223"/>
      <c r="AB968" s="223"/>
      <c r="AC968" s="232"/>
    </row>
    <row r="969">
      <c r="C969" s="222"/>
      <c r="F969" s="222"/>
      <c r="H969" s="223"/>
      <c r="AA969" s="223"/>
      <c r="AB969" s="223"/>
      <c r="AC969" s="232"/>
    </row>
    <row r="970">
      <c r="C970" s="222"/>
      <c r="F970" s="222"/>
      <c r="H970" s="223"/>
      <c r="AA970" s="223"/>
      <c r="AB970" s="223"/>
      <c r="AC970" s="232"/>
    </row>
    <row r="971">
      <c r="C971" s="222"/>
      <c r="F971" s="222"/>
      <c r="H971" s="223"/>
      <c r="AA971" s="223"/>
      <c r="AB971" s="223"/>
      <c r="AC971" s="232"/>
    </row>
    <row r="972">
      <c r="C972" s="222"/>
      <c r="F972" s="222"/>
      <c r="H972" s="223"/>
      <c r="AA972" s="223"/>
      <c r="AB972" s="223"/>
      <c r="AC972" s="232"/>
    </row>
    <row r="973">
      <c r="C973" s="222"/>
      <c r="F973" s="222"/>
      <c r="H973" s="223"/>
      <c r="AA973" s="223"/>
      <c r="AB973" s="223"/>
      <c r="AC973" s="232"/>
    </row>
    <row r="974">
      <c r="C974" s="222"/>
      <c r="F974" s="222"/>
      <c r="H974" s="223"/>
      <c r="AA974" s="223"/>
      <c r="AB974" s="223"/>
      <c r="AC974" s="232"/>
    </row>
    <row r="975">
      <c r="C975" s="222"/>
      <c r="F975" s="222"/>
      <c r="H975" s="223"/>
      <c r="AA975" s="223"/>
      <c r="AB975" s="223"/>
      <c r="AC975" s="232"/>
    </row>
    <row r="976">
      <c r="C976" s="222"/>
      <c r="F976" s="222"/>
      <c r="H976" s="223"/>
      <c r="AA976" s="223"/>
      <c r="AB976" s="223"/>
      <c r="AC976" s="232"/>
    </row>
    <row r="977">
      <c r="C977" s="222"/>
      <c r="F977" s="222"/>
      <c r="H977" s="223"/>
      <c r="AA977" s="223"/>
      <c r="AB977" s="223"/>
      <c r="AC977" s="232"/>
    </row>
    <row r="978">
      <c r="C978" s="222"/>
      <c r="F978" s="222"/>
      <c r="H978" s="223"/>
      <c r="AA978" s="223"/>
      <c r="AB978" s="223"/>
      <c r="AC978" s="232"/>
    </row>
    <row r="979">
      <c r="C979" s="222"/>
      <c r="F979" s="222"/>
      <c r="H979" s="223"/>
      <c r="AA979" s="223"/>
      <c r="AB979" s="223"/>
      <c r="AC979" s="232"/>
    </row>
    <row r="980">
      <c r="C980" s="222"/>
      <c r="F980" s="222"/>
      <c r="H980" s="223"/>
      <c r="AA980" s="223"/>
      <c r="AB980" s="223"/>
      <c r="AC980" s="232"/>
    </row>
    <row r="981">
      <c r="C981" s="222"/>
      <c r="F981" s="222"/>
      <c r="H981" s="223"/>
      <c r="AA981" s="223"/>
      <c r="AB981" s="223"/>
      <c r="AC981" s="232"/>
    </row>
    <row r="982">
      <c r="C982" s="222"/>
      <c r="F982" s="222"/>
      <c r="H982" s="223"/>
      <c r="AA982" s="223"/>
      <c r="AB982" s="223"/>
      <c r="AC982" s="232"/>
    </row>
    <row r="983">
      <c r="C983" s="222"/>
      <c r="F983" s="222"/>
      <c r="H983" s="223"/>
      <c r="AA983" s="223"/>
      <c r="AB983" s="223"/>
      <c r="AC983" s="232"/>
    </row>
    <row r="984">
      <c r="C984" s="222"/>
      <c r="F984" s="222"/>
      <c r="H984" s="223"/>
      <c r="AA984" s="223"/>
      <c r="AB984" s="223"/>
      <c r="AC984" s="232"/>
    </row>
    <row r="985">
      <c r="C985" s="222"/>
      <c r="F985" s="222"/>
      <c r="H985" s="223"/>
      <c r="AA985" s="223"/>
      <c r="AB985" s="223"/>
      <c r="AC985" s="232"/>
    </row>
    <row r="986">
      <c r="C986" s="222"/>
      <c r="F986" s="222"/>
      <c r="H986" s="223"/>
      <c r="AA986" s="223"/>
      <c r="AB986" s="223"/>
      <c r="AC986" s="232"/>
    </row>
    <row r="987">
      <c r="C987" s="222"/>
      <c r="F987" s="222"/>
      <c r="H987" s="223"/>
      <c r="AA987" s="223"/>
      <c r="AB987" s="223"/>
      <c r="AC987" s="232"/>
    </row>
    <row r="988">
      <c r="C988" s="222"/>
      <c r="F988" s="222"/>
      <c r="H988" s="223"/>
      <c r="AA988" s="223"/>
      <c r="AB988" s="223"/>
      <c r="AC988" s="232"/>
    </row>
    <row r="989">
      <c r="C989" s="222"/>
      <c r="F989" s="222"/>
      <c r="H989" s="223"/>
      <c r="AA989" s="223"/>
      <c r="AB989" s="223"/>
      <c r="AC989" s="232"/>
    </row>
    <row r="990">
      <c r="C990" s="222"/>
      <c r="F990" s="222"/>
      <c r="H990" s="223"/>
      <c r="AA990" s="223"/>
      <c r="AB990" s="223"/>
      <c r="AC990" s="232"/>
    </row>
    <row r="991">
      <c r="C991" s="222"/>
      <c r="F991" s="222"/>
      <c r="H991" s="223"/>
      <c r="AA991" s="223"/>
      <c r="AB991" s="223"/>
      <c r="AC991" s="232"/>
    </row>
    <row r="992">
      <c r="C992" s="222"/>
      <c r="F992" s="222"/>
      <c r="H992" s="223"/>
      <c r="AA992" s="223"/>
      <c r="AB992" s="223"/>
      <c r="AC992" s="232"/>
    </row>
    <row r="993">
      <c r="C993" s="222"/>
      <c r="F993" s="222"/>
      <c r="H993" s="223"/>
      <c r="AA993" s="223"/>
      <c r="AB993" s="223"/>
      <c r="AC993" s="232"/>
    </row>
    <row r="994">
      <c r="C994" s="222"/>
      <c r="F994" s="222"/>
      <c r="H994" s="223"/>
      <c r="AA994" s="223"/>
      <c r="AB994" s="223"/>
      <c r="AC994" s="232"/>
    </row>
    <row r="995">
      <c r="C995" s="222"/>
      <c r="F995" s="222"/>
      <c r="H995" s="223"/>
      <c r="AA995" s="223"/>
      <c r="AB995" s="223"/>
      <c r="AC995" s="232"/>
    </row>
    <row r="996">
      <c r="C996" s="222"/>
      <c r="F996" s="222"/>
      <c r="H996" s="223"/>
      <c r="AA996" s="223"/>
      <c r="AB996" s="223"/>
      <c r="AC996" s="232"/>
    </row>
    <row r="997">
      <c r="C997" s="222"/>
      <c r="F997" s="222"/>
      <c r="H997" s="223"/>
      <c r="AA997" s="223"/>
      <c r="AB997" s="223"/>
      <c r="AC997" s="232"/>
    </row>
    <row r="998">
      <c r="C998" s="222"/>
      <c r="F998" s="222"/>
      <c r="H998" s="223"/>
      <c r="AA998" s="223"/>
      <c r="AB998" s="223"/>
      <c r="AC998" s="232"/>
    </row>
    <row r="999">
      <c r="C999" s="222"/>
      <c r="F999" s="222"/>
      <c r="H999" s="223"/>
      <c r="AA999" s="223"/>
      <c r="AB999" s="223"/>
      <c r="AC999" s="232"/>
    </row>
    <row r="1000">
      <c r="C1000" s="222"/>
      <c r="F1000" s="222"/>
      <c r="H1000" s="223"/>
      <c r="AA1000" s="223"/>
      <c r="AB1000" s="223"/>
      <c r="AC1000" s="232"/>
    </row>
    <row r="1001">
      <c r="C1001" s="222"/>
      <c r="F1001" s="222"/>
      <c r="H1001" s="223"/>
      <c r="AA1001" s="223"/>
      <c r="AB1001" s="223"/>
      <c r="AC1001" s="232"/>
    </row>
    <row r="1002">
      <c r="C1002" s="222"/>
      <c r="F1002" s="222"/>
      <c r="H1002" s="223"/>
      <c r="AA1002" s="223"/>
      <c r="AB1002" s="223"/>
      <c r="AC1002" s="232"/>
    </row>
    <row r="1003">
      <c r="C1003" s="222"/>
      <c r="F1003" s="222"/>
      <c r="H1003" s="223"/>
      <c r="AA1003" s="223"/>
      <c r="AB1003" s="223"/>
      <c r="AC1003" s="232"/>
    </row>
    <row r="1004">
      <c r="C1004" s="222"/>
      <c r="F1004" s="222"/>
      <c r="H1004" s="223"/>
      <c r="AA1004" s="223"/>
      <c r="AB1004" s="223"/>
      <c r="AC1004" s="232"/>
    </row>
  </sheetData>
  <mergeCells count="17">
    <mergeCell ref="B2:B3"/>
    <mergeCell ref="H2:H3"/>
    <mergeCell ref="B4:B7"/>
    <mergeCell ref="H4:H7"/>
    <mergeCell ref="L7:N7"/>
    <mergeCell ref="B8:B9"/>
    <mergeCell ref="H8:H9"/>
    <mergeCell ref="L36:N36"/>
    <mergeCell ref="K37:N37"/>
    <mergeCell ref="K38:N38"/>
    <mergeCell ref="K3:K7"/>
    <mergeCell ref="K8:K24"/>
    <mergeCell ref="L24:N24"/>
    <mergeCell ref="K25:K28"/>
    <mergeCell ref="K29:K32"/>
    <mergeCell ref="L33:N33"/>
    <mergeCell ref="K34:K3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76.0"/>
  </cols>
  <sheetData>
    <row r="1" ht="24.75" customHeight="1">
      <c r="A1" s="233" t="s">
        <v>262</v>
      </c>
      <c r="B1" s="233" t="s">
        <v>263</v>
      </c>
    </row>
    <row r="2" ht="60.0" customHeight="1">
      <c r="A2" s="234" t="s">
        <v>264</v>
      </c>
      <c r="B2" s="234" t="s">
        <v>265</v>
      </c>
    </row>
    <row r="3" ht="60.0" customHeight="1">
      <c r="A3" s="234" t="s">
        <v>266</v>
      </c>
      <c r="B3" s="234" t="s">
        <v>267</v>
      </c>
    </row>
    <row r="4" ht="60.0" customHeight="1">
      <c r="A4" s="234" t="s">
        <v>268</v>
      </c>
      <c r="B4" s="234" t="s">
        <v>269</v>
      </c>
    </row>
    <row r="5" ht="60.0" customHeight="1">
      <c r="A5" s="234" t="s">
        <v>270</v>
      </c>
      <c r="B5" s="234" t="s">
        <v>271</v>
      </c>
    </row>
    <row r="6" ht="60.0" customHeight="1">
      <c r="A6" s="234" t="s">
        <v>272</v>
      </c>
      <c r="B6" s="234" t="s">
        <v>273</v>
      </c>
    </row>
    <row r="7" ht="60.0" customHeight="1">
      <c r="A7" s="234" t="s">
        <v>274</v>
      </c>
      <c r="B7" s="234" t="s">
        <v>275</v>
      </c>
    </row>
    <row r="8" ht="60.0" customHeight="1">
      <c r="A8" s="234" t="s">
        <v>276</v>
      </c>
      <c r="B8" s="234" t="s">
        <v>277</v>
      </c>
    </row>
    <row r="9">
      <c r="A9" s="235"/>
      <c r="B9" s="235"/>
    </row>
    <row r="10">
      <c r="A10" s="235"/>
      <c r="B10" s="235"/>
    </row>
    <row r="11">
      <c r="A11" s="235"/>
      <c r="B11" s="235"/>
    </row>
    <row r="12">
      <c r="A12" s="235"/>
      <c r="B12" s="235"/>
    </row>
    <row r="13">
      <c r="A13" s="235"/>
      <c r="B13" s="235"/>
    </row>
    <row r="14">
      <c r="A14" s="236"/>
      <c r="B14" s="236"/>
    </row>
    <row r="15">
      <c r="A15" s="236"/>
      <c r="B15" s="236"/>
    </row>
    <row r="16">
      <c r="A16" s="236"/>
      <c r="B16" s="236"/>
    </row>
    <row r="17">
      <c r="A17" s="236"/>
      <c r="B17" s="236"/>
    </row>
    <row r="18">
      <c r="A18" s="236"/>
      <c r="B18" s="236"/>
    </row>
    <row r="19">
      <c r="A19" s="236"/>
      <c r="B19" s="236"/>
    </row>
    <row r="20">
      <c r="A20" s="236"/>
      <c r="B20" s="236"/>
    </row>
    <row r="21">
      <c r="A21" s="236"/>
      <c r="B21" s="236"/>
    </row>
    <row r="22">
      <c r="A22" s="236"/>
      <c r="B22" s="236"/>
    </row>
    <row r="23">
      <c r="A23" s="236"/>
      <c r="B23" s="236"/>
    </row>
    <row r="24">
      <c r="A24" s="236"/>
      <c r="B24" s="236"/>
    </row>
    <row r="25">
      <c r="A25" s="236"/>
      <c r="B25" s="236"/>
    </row>
    <row r="26">
      <c r="A26" s="236"/>
      <c r="B26" s="236"/>
    </row>
    <row r="27">
      <c r="A27" s="236"/>
      <c r="B27" s="236"/>
    </row>
    <row r="28">
      <c r="A28" s="236"/>
      <c r="B28" s="236"/>
    </row>
    <row r="29">
      <c r="A29" s="236"/>
      <c r="B29" s="236"/>
    </row>
    <row r="30">
      <c r="A30" s="236"/>
      <c r="B30" s="236"/>
    </row>
    <row r="31">
      <c r="A31" s="236"/>
      <c r="B31" s="236"/>
    </row>
    <row r="32">
      <c r="A32" s="236"/>
      <c r="B32" s="236"/>
    </row>
    <row r="33">
      <c r="A33" s="236"/>
      <c r="B33" s="236"/>
    </row>
    <row r="34">
      <c r="A34" s="236"/>
      <c r="B34" s="236"/>
    </row>
    <row r="35">
      <c r="A35" s="236"/>
      <c r="B35" s="236"/>
    </row>
    <row r="36">
      <c r="A36" s="236"/>
      <c r="B36" s="236"/>
    </row>
    <row r="37">
      <c r="A37" s="236"/>
      <c r="B37" s="236"/>
    </row>
    <row r="38">
      <c r="A38" s="236"/>
      <c r="B38" s="236"/>
    </row>
    <row r="39">
      <c r="A39" s="236"/>
      <c r="B39" s="236"/>
    </row>
    <row r="40">
      <c r="A40" s="236"/>
      <c r="B40" s="236"/>
    </row>
    <row r="41">
      <c r="A41" s="236"/>
      <c r="B41" s="236"/>
    </row>
    <row r="42">
      <c r="A42" s="236"/>
      <c r="B42" s="236"/>
    </row>
    <row r="43">
      <c r="A43" s="236"/>
      <c r="B43" s="236"/>
    </row>
    <row r="44">
      <c r="A44" s="236"/>
      <c r="B44" s="236"/>
    </row>
    <row r="45">
      <c r="A45" s="236"/>
      <c r="B45" s="236"/>
    </row>
    <row r="46">
      <c r="A46" s="236"/>
      <c r="B46" s="236"/>
    </row>
    <row r="47">
      <c r="A47" s="236"/>
      <c r="B47" s="236"/>
    </row>
    <row r="48">
      <c r="A48" s="236"/>
      <c r="B48" s="236"/>
    </row>
    <row r="49">
      <c r="A49" s="236"/>
      <c r="B49" s="236"/>
    </row>
    <row r="50">
      <c r="A50" s="236"/>
      <c r="B50" s="236"/>
    </row>
    <row r="51">
      <c r="A51" s="236"/>
      <c r="B51" s="236"/>
    </row>
    <row r="52">
      <c r="A52" s="236"/>
      <c r="B52" s="236"/>
    </row>
    <row r="53">
      <c r="A53" s="236"/>
      <c r="B53" s="236"/>
    </row>
    <row r="54">
      <c r="A54" s="236"/>
      <c r="B54" s="236"/>
    </row>
    <row r="55">
      <c r="A55" s="236"/>
      <c r="B55" s="236"/>
    </row>
    <row r="56">
      <c r="A56" s="236"/>
      <c r="B56" s="236"/>
    </row>
    <row r="57">
      <c r="A57" s="236"/>
      <c r="B57" s="236"/>
    </row>
    <row r="58">
      <c r="A58" s="236"/>
      <c r="B58" s="236"/>
    </row>
    <row r="59">
      <c r="A59" s="236"/>
      <c r="B59" s="236"/>
    </row>
    <row r="60">
      <c r="A60" s="236"/>
      <c r="B60" s="236"/>
    </row>
    <row r="61">
      <c r="A61" s="236"/>
      <c r="B61" s="236"/>
    </row>
    <row r="62">
      <c r="A62" s="236"/>
      <c r="B62" s="236"/>
    </row>
    <row r="63">
      <c r="A63" s="236"/>
      <c r="B63" s="236"/>
    </row>
    <row r="64">
      <c r="A64" s="236"/>
      <c r="B64" s="236"/>
    </row>
    <row r="65">
      <c r="A65" s="236"/>
      <c r="B65" s="236"/>
    </row>
    <row r="66">
      <c r="A66" s="236"/>
      <c r="B66" s="236"/>
    </row>
    <row r="67">
      <c r="A67" s="236"/>
      <c r="B67" s="236"/>
    </row>
    <row r="68">
      <c r="A68" s="236"/>
      <c r="B68" s="236"/>
    </row>
    <row r="69">
      <c r="A69" s="236"/>
      <c r="B69" s="236"/>
    </row>
    <row r="70">
      <c r="A70" s="236"/>
      <c r="B70" s="236"/>
    </row>
    <row r="71">
      <c r="A71" s="236"/>
      <c r="B71" s="236"/>
    </row>
    <row r="72">
      <c r="A72" s="236"/>
      <c r="B72" s="236"/>
    </row>
    <row r="73">
      <c r="A73" s="236"/>
      <c r="B73" s="236"/>
    </row>
    <row r="74">
      <c r="A74" s="236"/>
      <c r="B74" s="236"/>
    </row>
    <row r="75">
      <c r="A75" s="236"/>
      <c r="B75" s="236"/>
    </row>
    <row r="76">
      <c r="A76" s="236"/>
      <c r="B76" s="236"/>
    </row>
    <row r="77">
      <c r="A77" s="236"/>
      <c r="B77" s="236"/>
    </row>
    <row r="78">
      <c r="A78" s="236"/>
      <c r="B78" s="236"/>
    </row>
    <row r="79">
      <c r="A79" s="236"/>
      <c r="B79" s="236"/>
    </row>
    <row r="80">
      <c r="A80" s="236"/>
      <c r="B80" s="236"/>
    </row>
    <row r="81">
      <c r="A81" s="236"/>
      <c r="B81" s="236"/>
    </row>
    <row r="82">
      <c r="A82" s="236"/>
      <c r="B82" s="236"/>
    </row>
    <row r="83">
      <c r="A83" s="236"/>
      <c r="B83" s="236"/>
    </row>
    <row r="84">
      <c r="A84" s="236"/>
      <c r="B84" s="236"/>
    </row>
    <row r="85">
      <c r="A85" s="236"/>
      <c r="B85" s="236"/>
    </row>
    <row r="86">
      <c r="A86" s="236"/>
      <c r="B86" s="236"/>
    </row>
    <row r="87">
      <c r="A87" s="236"/>
      <c r="B87" s="236"/>
    </row>
    <row r="88">
      <c r="A88" s="236"/>
      <c r="B88" s="236"/>
    </row>
    <row r="89">
      <c r="A89" s="236"/>
      <c r="B89" s="236"/>
    </row>
    <row r="90">
      <c r="A90" s="236"/>
      <c r="B90" s="236"/>
    </row>
    <row r="91">
      <c r="A91" s="236"/>
      <c r="B91" s="236"/>
    </row>
    <row r="92">
      <c r="A92" s="236"/>
      <c r="B92" s="236"/>
    </row>
    <row r="93">
      <c r="A93" s="236"/>
      <c r="B93" s="236"/>
    </row>
    <row r="94">
      <c r="A94" s="236"/>
      <c r="B94" s="236"/>
    </row>
    <row r="95">
      <c r="A95" s="236"/>
      <c r="B95" s="236"/>
    </row>
    <row r="96">
      <c r="A96" s="236"/>
      <c r="B96" s="236"/>
    </row>
    <row r="97">
      <c r="A97" s="236"/>
      <c r="B97" s="236"/>
    </row>
    <row r="98">
      <c r="A98" s="236"/>
      <c r="B98" s="236"/>
    </row>
    <row r="99">
      <c r="A99" s="236"/>
      <c r="B99" s="236"/>
    </row>
    <row r="100">
      <c r="A100" s="236"/>
      <c r="B100" s="236"/>
    </row>
    <row r="101">
      <c r="A101" s="236"/>
      <c r="B101" s="236"/>
    </row>
    <row r="102">
      <c r="A102" s="236"/>
      <c r="B102" s="236"/>
    </row>
    <row r="103">
      <c r="A103" s="236"/>
      <c r="B103" s="236"/>
    </row>
    <row r="104">
      <c r="A104" s="236"/>
      <c r="B104" s="236"/>
    </row>
    <row r="105">
      <c r="A105" s="236"/>
      <c r="B105" s="236"/>
    </row>
    <row r="106">
      <c r="A106" s="236"/>
      <c r="B106" s="236"/>
    </row>
    <row r="107">
      <c r="A107" s="236"/>
      <c r="B107" s="236"/>
    </row>
    <row r="108">
      <c r="A108" s="236"/>
      <c r="B108" s="236"/>
    </row>
    <row r="109">
      <c r="A109" s="236"/>
      <c r="B109" s="236"/>
    </row>
    <row r="110">
      <c r="A110" s="236"/>
      <c r="B110" s="236"/>
    </row>
    <row r="111">
      <c r="A111" s="236"/>
      <c r="B111" s="236"/>
    </row>
    <row r="112">
      <c r="A112" s="236"/>
      <c r="B112" s="236"/>
    </row>
    <row r="113">
      <c r="A113" s="236"/>
      <c r="B113" s="236"/>
    </row>
    <row r="114">
      <c r="A114" s="236"/>
      <c r="B114" s="236"/>
    </row>
    <row r="115">
      <c r="A115" s="236"/>
      <c r="B115" s="236"/>
    </row>
    <row r="116">
      <c r="A116" s="236"/>
      <c r="B116" s="236"/>
    </row>
    <row r="117">
      <c r="A117" s="236"/>
      <c r="B117" s="236"/>
    </row>
    <row r="118">
      <c r="A118" s="236"/>
      <c r="B118" s="236"/>
    </row>
    <row r="119">
      <c r="A119" s="236"/>
      <c r="B119" s="236"/>
    </row>
    <row r="120">
      <c r="A120" s="236"/>
      <c r="B120" s="236"/>
    </row>
    <row r="121">
      <c r="A121" s="236"/>
      <c r="B121" s="236"/>
    </row>
    <row r="122">
      <c r="A122" s="236"/>
      <c r="B122" s="236"/>
    </row>
    <row r="123">
      <c r="A123" s="236"/>
      <c r="B123" s="236"/>
    </row>
    <row r="124">
      <c r="A124" s="236"/>
      <c r="B124" s="236"/>
    </row>
    <row r="125">
      <c r="A125" s="236"/>
      <c r="B125" s="236"/>
    </row>
    <row r="126">
      <c r="A126" s="236"/>
      <c r="B126" s="236"/>
    </row>
    <row r="127">
      <c r="A127" s="236"/>
      <c r="B127" s="236"/>
    </row>
    <row r="128">
      <c r="A128" s="236"/>
      <c r="B128" s="236"/>
    </row>
    <row r="129">
      <c r="A129" s="236"/>
      <c r="B129" s="236"/>
    </row>
    <row r="130">
      <c r="A130" s="236"/>
      <c r="B130" s="236"/>
    </row>
    <row r="131">
      <c r="A131" s="236"/>
      <c r="B131" s="236"/>
    </row>
    <row r="132">
      <c r="A132" s="236"/>
      <c r="B132" s="236"/>
    </row>
    <row r="133">
      <c r="A133" s="236"/>
      <c r="B133" s="236"/>
    </row>
    <row r="134">
      <c r="A134" s="236"/>
      <c r="B134" s="236"/>
    </row>
    <row r="135">
      <c r="A135" s="236"/>
      <c r="B135" s="236"/>
    </row>
    <row r="136">
      <c r="A136" s="236"/>
      <c r="B136" s="236"/>
    </row>
    <row r="137">
      <c r="A137" s="236"/>
      <c r="B137" s="236"/>
    </row>
    <row r="138">
      <c r="A138" s="236"/>
      <c r="B138" s="236"/>
    </row>
    <row r="139">
      <c r="A139" s="236"/>
      <c r="B139" s="236"/>
    </row>
    <row r="140">
      <c r="A140" s="236"/>
      <c r="B140" s="236"/>
    </row>
    <row r="141">
      <c r="A141" s="236"/>
      <c r="B141" s="236"/>
    </row>
    <row r="142">
      <c r="A142" s="236"/>
      <c r="B142" s="236"/>
    </row>
    <row r="143">
      <c r="A143" s="236"/>
      <c r="B143" s="236"/>
    </row>
    <row r="144">
      <c r="A144" s="236"/>
      <c r="B144" s="236"/>
    </row>
    <row r="145">
      <c r="A145" s="236"/>
      <c r="B145" s="236"/>
    </row>
    <row r="146">
      <c r="A146" s="236"/>
      <c r="B146" s="236"/>
    </row>
    <row r="147">
      <c r="A147" s="236"/>
      <c r="B147" s="236"/>
    </row>
    <row r="148">
      <c r="A148" s="236"/>
      <c r="B148" s="236"/>
    </row>
    <row r="149">
      <c r="A149" s="236"/>
      <c r="B149" s="236"/>
    </row>
    <row r="150">
      <c r="A150" s="236"/>
      <c r="B150" s="236"/>
    </row>
    <row r="151">
      <c r="A151" s="236"/>
      <c r="B151" s="236"/>
    </row>
    <row r="152">
      <c r="A152" s="236"/>
      <c r="B152" s="236"/>
    </row>
    <row r="153">
      <c r="A153" s="236"/>
      <c r="B153" s="236"/>
    </row>
    <row r="154">
      <c r="A154" s="236"/>
      <c r="B154" s="236"/>
    </row>
    <row r="155">
      <c r="A155" s="236"/>
      <c r="B155" s="236"/>
    </row>
    <row r="156">
      <c r="A156" s="236"/>
      <c r="B156" s="236"/>
    </row>
    <row r="157">
      <c r="A157" s="236"/>
      <c r="B157" s="236"/>
    </row>
    <row r="158">
      <c r="A158" s="236"/>
      <c r="B158" s="236"/>
    </row>
    <row r="159">
      <c r="A159" s="236"/>
      <c r="B159" s="236"/>
    </row>
    <row r="160">
      <c r="A160" s="236"/>
      <c r="B160" s="236"/>
    </row>
    <row r="161">
      <c r="A161" s="236"/>
      <c r="B161" s="236"/>
    </row>
    <row r="162">
      <c r="A162" s="236"/>
      <c r="B162" s="236"/>
    </row>
    <row r="163">
      <c r="A163" s="236"/>
      <c r="B163" s="236"/>
    </row>
    <row r="164">
      <c r="A164" s="236"/>
      <c r="B164" s="236"/>
    </row>
    <row r="165">
      <c r="A165" s="236"/>
      <c r="B165" s="236"/>
    </row>
    <row r="166">
      <c r="A166" s="236"/>
      <c r="B166" s="236"/>
    </row>
    <row r="167">
      <c r="A167" s="236"/>
      <c r="B167" s="236"/>
    </row>
    <row r="168">
      <c r="A168" s="236"/>
      <c r="B168" s="236"/>
    </row>
    <row r="169">
      <c r="A169" s="236"/>
      <c r="B169" s="236"/>
    </row>
    <row r="170">
      <c r="A170" s="236"/>
      <c r="B170" s="236"/>
    </row>
    <row r="171">
      <c r="A171" s="236"/>
      <c r="B171" s="236"/>
    </row>
    <row r="172">
      <c r="A172" s="236"/>
      <c r="B172" s="236"/>
    </row>
    <row r="173">
      <c r="A173" s="236"/>
      <c r="B173" s="236"/>
    </row>
    <row r="174">
      <c r="A174" s="236"/>
      <c r="B174" s="236"/>
    </row>
    <row r="175">
      <c r="A175" s="236"/>
      <c r="B175" s="236"/>
    </row>
    <row r="176">
      <c r="A176" s="236"/>
      <c r="B176" s="236"/>
    </row>
    <row r="177">
      <c r="A177" s="236"/>
      <c r="B177" s="236"/>
    </row>
    <row r="178">
      <c r="A178" s="236"/>
      <c r="B178" s="236"/>
    </row>
    <row r="179">
      <c r="A179" s="236"/>
      <c r="B179" s="236"/>
    </row>
    <row r="180">
      <c r="A180" s="236"/>
      <c r="B180" s="236"/>
    </row>
    <row r="181">
      <c r="A181" s="236"/>
      <c r="B181" s="236"/>
    </row>
    <row r="182">
      <c r="A182" s="236"/>
      <c r="B182" s="236"/>
    </row>
    <row r="183">
      <c r="A183" s="236"/>
      <c r="B183" s="236"/>
    </row>
    <row r="184">
      <c r="A184" s="236"/>
      <c r="B184" s="236"/>
    </row>
    <row r="185">
      <c r="A185" s="236"/>
      <c r="B185" s="236"/>
    </row>
    <row r="186">
      <c r="A186" s="236"/>
      <c r="B186" s="236"/>
    </row>
    <row r="187">
      <c r="A187" s="236"/>
      <c r="B187" s="236"/>
    </row>
    <row r="188">
      <c r="A188" s="236"/>
      <c r="B188" s="236"/>
    </row>
    <row r="189">
      <c r="A189" s="236"/>
      <c r="B189" s="236"/>
    </row>
    <row r="190">
      <c r="A190" s="236"/>
      <c r="B190" s="236"/>
    </row>
    <row r="191">
      <c r="A191" s="236"/>
      <c r="B191" s="236"/>
    </row>
    <row r="192">
      <c r="A192" s="236"/>
      <c r="B192" s="236"/>
    </row>
    <row r="193">
      <c r="A193" s="236"/>
      <c r="B193" s="236"/>
    </row>
    <row r="194">
      <c r="A194" s="236"/>
      <c r="B194" s="236"/>
    </row>
    <row r="195">
      <c r="A195" s="236"/>
      <c r="B195" s="236"/>
    </row>
    <row r="196">
      <c r="A196" s="236"/>
      <c r="B196" s="236"/>
    </row>
    <row r="197">
      <c r="A197" s="236"/>
      <c r="B197" s="236"/>
    </row>
    <row r="198">
      <c r="A198" s="236"/>
      <c r="B198" s="236"/>
    </row>
    <row r="199">
      <c r="A199" s="236"/>
      <c r="B199" s="236"/>
    </row>
    <row r="200">
      <c r="A200" s="236"/>
      <c r="B200" s="236"/>
    </row>
    <row r="201">
      <c r="A201" s="236"/>
      <c r="B201" s="236"/>
    </row>
    <row r="202">
      <c r="A202" s="236"/>
      <c r="B202" s="236"/>
    </row>
    <row r="203">
      <c r="A203" s="236"/>
      <c r="B203" s="236"/>
    </row>
    <row r="204">
      <c r="A204" s="236"/>
      <c r="B204" s="236"/>
    </row>
    <row r="205">
      <c r="A205" s="236"/>
      <c r="B205" s="236"/>
    </row>
    <row r="206">
      <c r="A206" s="236"/>
      <c r="B206" s="236"/>
    </row>
    <row r="207">
      <c r="A207" s="236"/>
      <c r="B207" s="236"/>
    </row>
    <row r="208">
      <c r="A208" s="236"/>
      <c r="B208" s="236"/>
    </row>
    <row r="209">
      <c r="A209" s="236"/>
      <c r="B209" s="236"/>
    </row>
    <row r="210">
      <c r="A210" s="236"/>
      <c r="B210" s="236"/>
    </row>
    <row r="211">
      <c r="A211" s="236"/>
      <c r="B211" s="236"/>
    </row>
    <row r="212">
      <c r="A212" s="236"/>
      <c r="B212" s="236"/>
    </row>
    <row r="213">
      <c r="A213" s="236"/>
      <c r="B213" s="236"/>
    </row>
    <row r="214">
      <c r="A214" s="236"/>
      <c r="B214" s="236"/>
    </row>
    <row r="215">
      <c r="A215" s="236"/>
      <c r="B215" s="236"/>
    </row>
    <row r="216">
      <c r="A216" s="236"/>
      <c r="B216" s="236"/>
    </row>
    <row r="217">
      <c r="A217" s="236"/>
      <c r="B217" s="236"/>
    </row>
    <row r="218">
      <c r="A218" s="236"/>
      <c r="B218" s="236"/>
    </row>
    <row r="219">
      <c r="A219" s="236"/>
      <c r="B219" s="236"/>
    </row>
    <row r="220">
      <c r="A220" s="236"/>
      <c r="B220" s="236"/>
    </row>
    <row r="221">
      <c r="A221" s="236"/>
      <c r="B221" s="236"/>
    </row>
    <row r="222">
      <c r="A222" s="236"/>
      <c r="B222" s="236"/>
    </row>
    <row r="223">
      <c r="A223" s="236"/>
      <c r="B223" s="236"/>
    </row>
    <row r="224">
      <c r="A224" s="236"/>
      <c r="B224" s="236"/>
    </row>
    <row r="225">
      <c r="A225" s="236"/>
      <c r="B225" s="236"/>
    </row>
    <row r="226">
      <c r="A226" s="236"/>
      <c r="B226" s="236"/>
    </row>
    <row r="227">
      <c r="A227" s="236"/>
      <c r="B227" s="236"/>
    </row>
    <row r="228">
      <c r="A228" s="236"/>
      <c r="B228" s="236"/>
    </row>
    <row r="229">
      <c r="A229" s="236"/>
      <c r="B229" s="236"/>
    </row>
    <row r="230">
      <c r="A230" s="236"/>
      <c r="B230" s="236"/>
    </row>
    <row r="231">
      <c r="A231" s="236"/>
      <c r="B231" s="236"/>
    </row>
    <row r="232">
      <c r="A232" s="236"/>
      <c r="B232" s="236"/>
    </row>
    <row r="233">
      <c r="A233" s="236"/>
      <c r="B233" s="236"/>
    </row>
    <row r="234">
      <c r="A234" s="236"/>
      <c r="B234" s="236"/>
    </row>
    <row r="235">
      <c r="A235" s="236"/>
      <c r="B235" s="236"/>
    </row>
    <row r="236">
      <c r="A236" s="236"/>
      <c r="B236" s="236"/>
    </row>
    <row r="237">
      <c r="A237" s="236"/>
      <c r="B237" s="236"/>
    </row>
    <row r="238">
      <c r="A238" s="236"/>
      <c r="B238" s="236"/>
    </row>
    <row r="239">
      <c r="A239" s="236"/>
      <c r="B239" s="236"/>
    </row>
    <row r="240">
      <c r="A240" s="236"/>
      <c r="B240" s="236"/>
    </row>
    <row r="241">
      <c r="A241" s="236"/>
      <c r="B241" s="236"/>
    </row>
    <row r="242">
      <c r="A242" s="236"/>
      <c r="B242" s="236"/>
    </row>
    <row r="243">
      <c r="A243" s="236"/>
      <c r="B243" s="236"/>
    </row>
    <row r="244">
      <c r="A244" s="236"/>
      <c r="B244" s="236"/>
    </row>
    <row r="245">
      <c r="A245" s="236"/>
      <c r="B245" s="236"/>
    </row>
    <row r="246">
      <c r="A246" s="236"/>
      <c r="B246" s="236"/>
    </row>
    <row r="247">
      <c r="A247" s="236"/>
      <c r="B247" s="236"/>
    </row>
    <row r="248">
      <c r="A248" s="236"/>
      <c r="B248" s="236"/>
    </row>
    <row r="249">
      <c r="A249" s="236"/>
      <c r="B249" s="236"/>
    </row>
    <row r="250">
      <c r="A250" s="236"/>
      <c r="B250" s="236"/>
    </row>
    <row r="251">
      <c r="A251" s="236"/>
      <c r="B251" s="236"/>
    </row>
    <row r="252">
      <c r="A252" s="236"/>
      <c r="B252" s="236"/>
    </row>
    <row r="253">
      <c r="A253" s="236"/>
      <c r="B253" s="236"/>
    </row>
    <row r="254">
      <c r="A254" s="236"/>
      <c r="B254" s="236"/>
    </row>
    <row r="255">
      <c r="A255" s="236"/>
      <c r="B255" s="236"/>
    </row>
    <row r="256">
      <c r="A256" s="236"/>
      <c r="B256" s="236"/>
    </row>
    <row r="257">
      <c r="A257" s="236"/>
      <c r="B257" s="236"/>
    </row>
    <row r="258">
      <c r="A258" s="236"/>
      <c r="B258" s="236"/>
    </row>
    <row r="259">
      <c r="A259" s="236"/>
      <c r="B259" s="236"/>
    </row>
    <row r="260">
      <c r="A260" s="236"/>
      <c r="B260" s="236"/>
    </row>
    <row r="261">
      <c r="A261" s="236"/>
      <c r="B261" s="236"/>
    </row>
    <row r="262">
      <c r="A262" s="236"/>
      <c r="B262" s="236"/>
    </row>
    <row r="263">
      <c r="A263" s="236"/>
      <c r="B263" s="236"/>
    </row>
    <row r="264">
      <c r="A264" s="236"/>
      <c r="B264" s="236"/>
    </row>
    <row r="265">
      <c r="A265" s="236"/>
      <c r="B265" s="236"/>
    </row>
    <row r="266">
      <c r="A266" s="236"/>
      <c r="B266" s="236"/>
    </row>
    <row r="267">
      <c r="A267" s="236"/>
      <c r="B267" s="236"/>
    </row>
    <row r="268">
      <c r="A268" s="236"/>
      <c r="B268" s="236"/>
    </row>
    <row r="269">
      <c r="A269" s="236"/>
      <c r="B269" s="236"/>
    </row>
    <row r="270">
      <c r="A270" s="236"/>
      <c r="B270" s="236"/>
    </row>
    <row r="271">
      <c r="A271" s="236"/>
      <c r="B271" s="236"/>
    </row>
    <row r="272">
      <c r="A272" s="236"/>
      <c r="B272" s="236"/>
    </row>
    <row r="273">
      <c r="A273" s="236"/>
      <c r="B273" s="236"/>
    </row>
    <row r="274">
      <c r="A274" s="236"/>
      <c r="B274" s="236"/>
    </row>
    <row r="275">
      <c r="A275" s="236"/>
      <c r="B275" s="236"/>
    </row>
    <row r="276">
      <c r="A276" s="236"/>
      <c r="B276" s="236"/>
    </row>
    <row r="277">
      <c r="A277" s="236"/>
      <c r="B277" s="236"/>
    </row>
    <row r="278">
      <c r="A278" s="236"/>
      <c r="B278" s="236"/>
    </row>
    <row r="279">
      <c r="A279" s="236"/>
      <c r="B279" s="236"/>
    </row>
    <row r="280">
      <c r="A280" s="236"/>
      <c r="B280" s="236"/>
    </row>
    <row r="281">
      <c r="A281" s="236"/>
      <c r="B281" s="236"/>
    </row>
    <row r="282">
      <c r="A282" s="236"/>
      <c r="B282" s="236"/>
    </row>
    <row r="283">
      <c r="A283" s="236"/>
      <c r="B283" s="236"/>
    </row>
    <row r="284">
      <c r="A284" s="236"/>
      <c r="B284" s="236"/>
    </row>
    <row r="285">
      <c r="A285" s="236"/>
      <c r="B285" s="236"/>
    </row>
    <row r="286">
      <c r="A286" s="236"/>
      <c r="B286" s="236"/>
    </row>
    <row r="287">
      <c r="A287" s="236"/>
      <c r="B287" s="236"/>
    </row>
    <row r="288">
      <c r="A288" s="236"/>
      <c r="B288" s="236"/>
    </row>
    <row r="289">
      <c r="A289" s="236"/>
      <c r="B289" s="236"/>
    </row>
    <row r="290">
      <c r="A290" s="236"/>
      <c r="B290" s="236"/>
    </row>
    <row r="291">
      <c r="A291" s="236"/>
      <c r="B291" s="236"/>
    </row>
    <row r="292">
      <c r="A292" s="236"/>
      <c r="B292" s="236"/>
    </row>
    <row r="293">
      <c r="A293" s="236"/>
      <c r="B293" s="236"/>
    </row>
    <row r="294">
      <c r="A294" s="236"/>
      <c r="B294" s="236"/>
    </row>
    <row r="295">
      <c r="A295" s="236"/>
      <c r="B295" s="236"/>
    </row>
    <row r="296">
      <c r="A296" s="236"/>
      <c r="B296" s="236"/>
    </row>
    <row r="297">
      <c r="A297" s="236"/>
      <c r="B297" s="236"/>
    </row>
    <row r="298">
      <c r="A298" s="236"/>
      <c r="B298" s="236"/>
    </row>
    <row r="299">
      <c r="A299" s="236"/>
      <c r="B299" s="236"/>
    </row>
    <row r="300">
      <c r="A300" s="236"/>
      <c r="B300" s="236"/>
    </row>
    <row r="301">
      <c r="A301" s="236"/>
      <c r="B301" s="236"/>
    </row>
    <row r="302">
      <c r="A302" s="236"/>
      <c r="B302" s="236"/>
    </row>
    <row r="303">
      <c r="A303" s="236"/>
      <c r="B303" s="236"/>
    </row>
    <row r="304">
      <c r="A304" s="236"/>
      <c r="B304" s="236"/>
    </row>
    <row r="305">
      <c r="A305" s="236"/>
      <c r="B305" s="236"/>
    </row>
    <row r="306">
      <c r="A306" s="236"/>
      <c r="B306" s="236"/>
    </row>
    <row r="307">
      <c r="A307" s="236"/>
      <c r="B307" s="236"/>
    </row>
    <row r="308">
      <c r="A308" s="236"/>
      <c r="B308" s="236"/>
    </row>
    <row r="309">
      <c r="A309" s="236"/>
      <c r="B309" s="236"/>
    </row>
    <row r="310">
      <c r="A310" s="236"/>
      <c r="B310" s="236"/>
    </row>
    <row r="311">
      <c r="A311" s="236"/>
      <c r="B311" s="236"/>
    </row>
    <row r="312">
      <c r="A312" s="236"/>
      <c r="B312" s="236"/>
    </row>
    <row r="313">
      <c r="A313" s="236"/>
      <c r="B313" s="236"/>
    </row>
    <row r="314">
      <c r="A314" s="236"/>
      <c r="B314" s="236"/>
    </row>
    <row r="315">
      <c r="A315" s="236"/>
      <c r="B315" s="236"/>
    </row>
    <row r="316">
      <c r="A316" s="236"/>
      <c r="B316" s="236"/>
    </row>
    <row r="317">
      <c r="A317" s="236"/>
      <c r="B317" s="236"/>
    </row>
    <row r="318">
      <c r="A318" s="236"/>
      <c r="B318" s="236"/>
    </row>
    <row r="319">
      <c r="A319" s="236"/>
      <c r="B319" s="236"/>
    </row>
    <row r="320">
      <c r="A320" s="236"/>
      <c r="B320" s="236"/>
    </row>
    <row r="321">
      <c r="A321" s="236"/>
      <c r="B321" s="236"/>
    </row>
    <row r="322">
      <c r="A322" s="236"/>
      <c r="B322" s="236"/>
    </row>
    <row r="323">
      <c r="A323" s="236"/>
      <c r="B323" s="236"/>
    </row>
    <row r="324">
      <c r="A324" s="236"/>
      <c r="B324" s="236"/>
    </row>
    <row r="325">
      <c r="A325" s="236"/>
      <c r="B325" s="236"/>
    </row>
    <row r="326">
      <c r="A326" s="236"/>
      <c r="B326" s="236"/>
    </row>
    <row r="327">
      <c r="A327" s="236"/>
      <c r="B327" s="236"/>
    </row>
    <row r="328">
      <c r="A328" s="236"/>
      <c r="B328" s="236"/>
    </row>
    <row r="329">
      <c r="A329" s="236"/>
      <c r="B329" s="236"/>
    </row>
    <row r="330">
      <c r="A330" s="236"/>
      <c r="B330" s="236"/>
    </row>
    <row r="331">
      <c r="A331" s="236"/>
      <c r="B331" s="236"/>
    </row>
    <row r="332">
      <c r="A332" s="236"/>
      <c r="B332" s="236"/>
    </row>
    <row r="333">
      <c r="A333" s="236"/>
      <c r="B333" s="236"/>
    </row>
    <row r="334">
      <c r="A334" s="236"/>
      <c r="B334" s="236"/>
    </row>
    <row r="335">
      <c r="A335" s="236"/>
      <c r="B335" s="236"/>
    </row>
    <row r="336">
      <c r="A336" s="236"/>
      <c r="B336" s="236"/>
    </row>
    <row r="337">
      <c r="A337" s="236"/>
      <c r="B337" s="236"/>
    </row>
    <row r="338">
      <c r="A338" s="236"/>
      <c r="B338" s="236"/>
    </row>
    <row r="339">
      <c r="A339" s="236"/>
      <c r="B339" s="236"/>
    </row>
    <row r="340">
      <c r="A340" s="236"/>
      <c r="B340" s="236"/>
    </row>
    <row r="341">
      <c r="A341" s="236"/>
      <c r="B341" s="236"/>
    </row>
    <row r="342">
      <c r="A342" s="236"/>
      <c r="B342" s="236"/>
    </row>
    <row r="343">
      <c r="A343" s="236"/>
      <c r="B343" s="236"/>
    </row>
    <row r="344">
      <c r="A344" s="236"/>
      <c r="B344" s="236"/>
    </row>
    <row r="345">
      <c r="A345" s="236"/>
      <c r="B345" s="236"/>
    </row>
    <row r="346">
      <c r="A346" s="236"/>
      <c r="B346" s="236"/>
    </row>
    <row r="347">
      <c r="A347" s="236"/>
      <c r="B347" s="236"/>
    </row>
    <row r="348">
      <c r="A348" s="236"/>
      <c r="B348" s="236"/>
    </row>
    <row r="349">
      <c r="A349" s="236"/>
      <c r="B349" s="236"/>
    </row>
    <row r="350">
      <c r="A350" s="236"/>
      <c r="B350" s="236"/>
    </row>
    <row r="351">
      <c r="A351" s="236"/>
      <c r="B351" s="236"/>
    </row>
    <row r="352">
      <c r="A352" s="236"/>
      <c r="B352" s="236"/>
    </row>
    <row r="353">
      <c r="A353" s="236"/>
      <c r="B353" s="236"/>
    </row>
    <row r="354">
      <c r="A354" s="236"/>
      <c r="B354" s="236"/>
    </row>
    <row r="355">
      <c r="A355" s="236"/>
      <c r="B355" s="236"/>
    </row>
    <row r="356">
      <c r="A356" s="236"/>
      <c r="B356" s="236"/>
    </row>
    <row r="357">
      <c r="A357" s="236"/>
      <c r="B357" s="236"/>
    </row>
    <row r="358">
      <c r="A358" s="236"/>
      <c r="B358" s="236"/>
    </row>
    <row r="359">
      <c r="A359" s="236"/>
      <c r="B359" s="236"/>
    </row>
    <row r="360">
      <c r="A360" s="236"/>
      <c r="B360" s="236"/>
    </row>
    <row r="361">
      <c r="A361" s="236"/>
      <c r="B361" s="236"/>
    </row>
    <row r="362">
      <c r="A362" s="236"/>
      <c r="B362" s="236"/>
    </row>
    <row r="363">
      <c r="A363" s="236"/>
      <c r="B363" s="236"/>
    </row>
    <row r="364">
      <c r="A364" s="236"/>
      <c r="B364" s="236"/>
    </row>
    <row r="365">
      <c r="A365" s="236"/>
      <c r="B365" s="236"/>
    </row>
    <row r="366">
      <c r="A366" s="236"/>
      <c r="B366" s="236"/>
    </row>
    <row r="367">
      <c r="A367" s="236"/>
      <c r="B367" s="236"/>
    </row>
    <row r="368">
      <c r="A368" s="236"/>
      <c r="B368" s="236"/>
    </row>
    <row r="369">
      <c r="A369" s="236"/>
      <c r="B369" s="236"/>
    </row>
    <row r="370">
      <c r="A370" s="236"/>
      <c r="B370" s="236"/>
    </row>
    <row r="371">
      <c r="A371" s="236"/>
      <c r="B371" s="236"/>
    </row>
    <row r="372">
      <c r="A372" s="236"/>
      <c r="B372" s="236"/>
    </row>
    <row r="373">
      <c r="A373" s="236"/>
      <c r="B373" s="236"/>
    </row>
    <row r="374">
      <c r="A374" s="236"/>
      <c r="B374" s="236"/>
    </row>
    <row r="375">
      <c r="A375" s="236"/>
      <c r="B375" s="236"/>
    </row>
    <row r="376">
      <c r="A376" s="236"/>
      <c r="B376" s="236"/>
    </row>
    <row r="377">
      <c r="A377" s="236"/>
      <c r="B377" s="236"/>
    </row>
    <row r="378">
      <c r="A378" s="236"/>
      <c r="B378" s="236"/>
    </row>
    <row r="379">
      <c r="A379" s="236"/>
      <c r="B379" s="236"/>
    </row>
    <row r="380">
      <c r="A380" s="236"/>
      <c r="B380" s="236"/>
    </row>
    <row r="381">
      <c r="A381" s="236"/>
      <c r="B381" s="236"/>
    </row>
    <row r="382">
      <c r="A382" s="236"/>
      <c r="B382" s="236"/>
    </row>
    <row r="383">
      <c r="A383" s="236"/>
      <c r="B383" s="236"/>
    </row>
    <row r="384">
      <c r="A384" s="236"/>
      <c r="B384" s="236"/>
    </row>
    <row r="385">
      <c r="A385" s="236"/>
      <c r="B385" s="236"/>
    </row>
    <row r="386">
      <c r="A386" s="236"/>
      <c r="B386" s="236"/>
    </row>
    <row r="387">
      <c r="A387" s="236"/>
      <c r="B387" s="236"/>
    </row>
    <row r="388">
      <c r="A388" s="236"/>
      <c r="B388" s="236"/>
    </row>
    <row r="389">
      <c r="A389" s="236"/>
      <c r="B389" s="236"/>
    </row>
    <row r="390">
      <c r="A390" s="236"/>
      <c r="B390" s="236"/>
    </row>
    <row r="391">
      <c r="A391" s="236"/>
      <c r="B391" s="236"/>
    </row>
    <row r="392">
      <c r="A392" s="236"/>
      <c r="B392" s="236"/>
    </row>
    <row r="393">
      <c r="A393" s="236"/>
      <c r="B393" s="236"/>
    </row>
    <row r="394">
      <c r="A394" s="236"/>
      <c r="B394" s="236"/>
    </row>
    <row r="395">
      <c r="A395" s="236"/>
      <c r="B395" s="236"/>
    </row>
    <row r="396">
      <c r="A396" s="236"/>
      <c r="B396" s="236"/>
    </row>
    <row r="397">
      <c r="A397" s="236"/>
      <c r="B397" s="236"/>
    </row>
    <row r="398">
      <c r="A398" s="236"/>
      <c r="B398" s="236"/>
    </row>
    <row r="399">
      <c r="A399" s="236"/>
      <c r="B399" s="236"/>
    </row>
    <row r="400">
      <c r="A400" s="236"/>
      <c r="B400" s="236"/>
    </row>
    <row r="401">
      <c r="A401" s="236"/>
      <c r="B401" s="236"/>
    </row>
    <row r="402">
      <c r="A402" s="236"/>
      <c r="B402" s="236"/>
    </row>
    <row r="403">
      <c r="A403" s="236"/>
      <c r="B403" s="236"/>
    </row>
    <row r="404">
      <c r="A404" s="236"/>
      <c r="B404" s="236"/>
    </row>
    <row r="405">
      <c r="A405" s="236"/>
      <c r="B405" s="236"/>
    </row>
    <row r="406">
      <c r="A406" s="236"/>
      <c r="B406" s="236"/>
    </row>
    <row r="407">
      <c r="A407" s="236"/>
      <c r="B407" s="236"/>
    </row>
    <row r="408">
      <c r="A408" s="236"/>
      <c r="B408" s="236"/>
    </row>
    <row r="409">
      <c r="A409" s="236"/>
      <c r="B409" s="236"/>
    </row>
    <row r="410">
      <c r="A410" s="236"/>
      <c r="B410" s="236"/>
    </row>
    <row r="411">
      <c r="A411" s="236"/>
      <c r="B411" s="236"/>
    </row>
    <row r="412">
      <c r="A412" s="236"/>
      <c r="B412" s="236"/>
    </row>
    <row r="413">
      <c r="A413" s="236"/>
      <c r="B413" s="236"/>
    </row>
    <row r="414">
      <c r="A414" s="236"/>
      <c r="B414" s="236"/>
    </row>
    <row r="415">
      <c r="A415" s="236"/>
      <c r="B415" s="236"/>
    </row>
    <row r="416">
      <c r="A416" s="236"/>
      <c r="B416" s="236"/>
    </row>
    <row r="417">
      <c r="A417" s="236"/>
      <c r="B417" s="236"/>
    </row>
    <row r="418">
      <c r="A418" s="236"/>
      <c r="B418" s="236"/>
    </row>
    <row r="419">
      <c r="A419" s="236"/>
      <c r="B419" s="236"/>
    </row>
    <row r="420">
      <c r="A420" s="236"/>
      <c r="B420" s="236"/>
    </row>
    <row r="421">
      <c r="A421" s="236"/>
      <c r="B421" s="236"/>
    </row>
    <row r="422">
      <c r="A422" s="236"/>
      <c r="B422" s="236"/>
    </row>
    <row r="423">
      <c r="A423" s="236"/>
      <c r="B423" s="236"/>
    </row>
    <row r="424">
      <c r="A424" s="236"/>
      <c r="B424" s="236"/>
    </row>
    <row r="425">
      <c r="A425" s="236"/>
      <c r="B425" s="236"/>
    </row>
    <row r="426">
      <c r="A426" s="236"/>
      <c r="B426" s="236"/>
    </row>
    <row r="427">
      <c r="A427" s="236"/>
      <c r="B427" s="236"/>
    </row>
    <row r="428">
      <c r="A428" s="236"/>
      <c r="B428" s="236"/>
    </row>
    <row r="429">
      <c r="A429" s="236"/>
      <c r="B429" s="236"/>
    </row>
    <row r="430">
      <c r="A430" s="236"/>
      <c r="B430" s="236"/>
    </row>
    <row r="431">
      <c r="A431" s="236"/>
      <c r="B431" s="236"/>
    </row>
    <row r="432">
      <c r="A432" s="236"/>
      <c r="B432" s="236"/>
    </row>
    <row r="433">
      <c r="A433" s="236"/>
      <c r="B433" s="236"/>
    </row>
    <row r="434">
      <c r="A434" s="236"/>
      <c r="B434" s="236"/>
    </row>
    <row r="435">
      <c r="A435" s="236"/>
      <c r="B435" s="236"/>
    </row>
    <row r="436">
      <c r="A436" s="236"/>
      <c r="B436" s="236"/>
    </row>
    <row r="437">
      <c r="A437" s="236"/>
      <c r="B437" s="236"/>
    </row>
    <row r="438">
      <c r="A438" s="236"/>
      <c r="B438" s="236"/>
    </row>
    <row r="439">
      <c r="A439" s="236"/>
      <c r="B439" s="236"/>
    </row>
    <row r="440">
      <c r="A440" s="236"/>
      <c r="B440" s="236"/>
    </row>
    <row r="441">
      <c r="A441" s="236"/>
      <c r="B441" s="236"/>
    </row>
    <row r="442">
      <c r="A442" s="236"/>
      <c r="B442" s="236"/>
    </row>
    <row r="443">
      <c r="A443" s="236"/>
      <c r="B443" s="236"/>
    </row>
    <row r="444">
      <c r="A444" s="236"/>
      <c r="B444" s="236"/>
    </row>
    <row r="445">
      <c r="A445" s="236"/>
      <c r="B445" s="236"/>
    </row>
    <row r="446">
      <c r="A446" s="236"/>
      <c r="B446" s="236"/>
    </row>
    <row r="447">
      <c r="A447" s="236"/>
      <c r="B447" s="236"/>
    </row>
    <row r="448">
      <c r="A448" s="236"/>
      <c r="B448" s="236"/>
    </row>
    <row r="449">
      <c r="A449" s="236"/>
      <c r="B449" s="236"/>
    </row>
    <row r="450">
      <c r="A450" s="236"/>
      <c r="B450" s="236"/>
    </row>
    <row r="451">
      <c r="A451" s="236"/>
      <c r="B451" s="236"/>
    </row>
    <row r="452">
      <c r="A452" s="236"/>
      <c r="B452" s="236"/>
    </row>
    <row r="453">
      <c r="A453" s="236"/>
      <c r="B453" s="236"/>
    </row>
    <row r="454">
      <c r="A454" s="236"/>
      <c r="B454" s="236"/>
    </row>
    <row r="455">
      <c r="A455" s="236"/>
      <c r="B455" s="236"/>
    </row>
    <row r="456">
      <c r="A456" s="236"/>
      <c r="B456" s="236"/>
    </row>
    <row r="457">
      <c r="A457" s="236"/>
      <c r="B457" s="236"/>
    </row>
    <row r="458">
      <c r="A458" s="236"/>
      <c r="B458" s="236"/>
    </row>
    <row r="459">
      <c r="A459" s="236"/>
      <c r="B459" s="236"/>
    </row>
    <row r="460">
      <c r="A460" s="236"/>
      <c r="B460" s="236"/>
    </row>
    <row r="461">
      <c r="A461" s="236"/>
      <c r="B461" s="236"/>
    </row>
    <row r="462">
      <c r="A462" s="236"/>
      <c r="B462" s="236"/>
    </row>
    <row r="463">
      <c r="A463" s="236"/>
      <c r="B463" s="236"/>
    </row>
    <row r="464">
      <c r="A464" s="236"/>
      <c r="B464" s="236"/>
    </row>
    <row r="465">
      <c r="A465" s="236"/>
      <c r="B465" s="236"/>
    </row>
    <row r="466">
      <c r="A466" s="236"/>
      <c r="B466" s="236"/>
    </row>
    <row r="467">
      <c r="A467" s="236"/>
      <c r="B467" s="236"/>
    </row>
    <row r="468">
      <c r="A468" s="236"/>
      <c r="B468" s="236"/>
    </row>
    <row r="469">
      <c r="A469" s="236"/>
      <c r="B469" s="236"/>
    </row>
    <row r="470">
      <c r="A470" s="236"/>
      <c r="B470" s="236"/>
    </row>
    <row r="471">
      <c r="A471" s="236"/>
      <c r="B471" s="236"/>
    </row>
    <row r="472">
      <c r="A472" s="236"/>
      <c r="B472" s="236"/>
    </row>
    <row r="473">
      <c r="A473" s="236"/>
      <c r="B473" s="236"/>
    </row>
    <row r="474">
      <c r="A474" s="236"/>
      <c r="B474" s="236"/>
    </row>
    <row r="475">
      <c r="A475" s="236"/>
      <c r="B475" s="236"/>
    </row>
    <row r="476">
      <c r="A476" s="236"/>
      <c r="B476" s="236"/>
    </row>
    <row r="477">
      <c r="A477" s="236"/>
      <c r="B477" s="236"/>
    </row>
    <row r="478">
      <c r="A478" s="236"/>
      <c r="B478" s="236"/>
    </row>
    <row r="479">
      <c r="A479" s="236"/>
      <c r="B479" s="236"/>
    </row>
    <row r="480">
      <c r="A480" s="236"/>
      <c r="B480" s="236"/>
    </row>
    <row r="481">
      <c r="A481" s="236"/>
      <c r="B481" s="236"/>
    </row>
    <row r="482">
      <c r="A482" s="236"/>
      <c r="B482" s="236"/>
    </row>
    <row r="483">
      <c r="A483" s="236"/>
      <c r="B483" s="236"/>
    </row>
    <row r="484">
      <c r="A484" s="236"/>
      <c r="B484" s="236"/>
    </row>
    <row r="485">
      <c r="A485" s="236"/>
      <c r="B485" s="236"/>
    </row>
    <row r="486">
      <c r="A486" s="236"/>
      <c r="B486" s="236"/>
    </row>
    <row r="487">
      <c r="A487" s="236"/>
      <c r="B487" s="236"/>
    </row>
    <row r="488">
      <c r="A488" s="236"/>
      <c r="B488" s="236"/>
    </row>
    <row r="489">
      <c r="A489" s="236"/>
      <c r="B489" s="236"/>
    </row>
    <row r="490">
      <c r="A490" s="236"/>
      <c r="B490" s="236"/>
    </row>
    <row r="491">
      <c r="A491" s="236"/>
      <c r="B491" s="236"/>
    </row>
    <row r="492">
      <c r="A492" s="236"/>
      <c r="B492" s="236"/>
    </row>
    <row r="493">
      <c r="A493" s="236"/>
      <c r="B493" s="236"/>
    </row>
    <row r="494">
      <c r="A494" s="236"/>
      <c r="B494" s="236"/>
    </row>
    <row r="495">
      <c r="A495" s="236"/>
      <c r="B495" s="236"/>
    </row>
    <row r="496">
      <c r="A496" s="236"/>
      <c r="B496" s="236"/>
    </row>
    <row r="497">
      <c r="A497" s="236"/>
      <c r="B497" s="236"/>
    </row>
    <row r="498">
      <c r="A498" s="236"/>
      <c r="B498" s="236"/>
    </row>
    <row r="499">
      <c r="A499" s="236"/>
      <c r="B499" s="236"/>
    </row>
    <row r="500">
      <c r="A500" s="236"/>
      <c r="B500" s="236"/>
    </row>
    <row r="501">
      <c r="A501" s="236"/>
      <c r="B501" s="236"/>
    </row>
    <row r="502">
      <c r="A502" s="236"/>
      <c r="B502" s="236"/>
    </row>
    <row r="503">
      <c r="A503" s="236"/>
      <c r="B503" s="236"/>
    </row>
    <row r="504">
      <c r="A504" s="236"/>
      <c r="B504" s="236"/>
    </row>
    <row r="505">
      <c r="A505" s="236"/>
      <c r="B505" s="236"/>
    </row>
    <row r="506">
      <c r="A506" s="236"/>
      <c r="B506" s="236"/>
    </row>
    <row r="507">
      <c r="A507" s="236"/>
      <c r="B507" s="236"/>
    </row>
    <row r="508">
      <c r="A508" s="236"/>
      <c r="B508" s="236"/>
    </row>
    <row r="509">
      <c r="A509" s="236"/>
      <c r="B509" s="236"/>
    </row>
    <row r="510">
      <c r="A510" s="236"/>
      <c r="B510" s="236"/>
    </row>
    <row r="511">
      <c r="A511" s="236"/>
      <c r="B511" s="236"/>
    </row>
    <row r="512">
      <c r="A512" s="236"/>
      <c r="B512" s="236"/>
    </row>
    <row r="513">
      <c r="A513" s="236"/>
      <c r="B513" s="236"/>
    </row>
    <row r="514">
      <c r="A514" s="236"/>
      <c r="B514" s="236"/>
    </row>
    <row r="515">
      <c r="A515" s="236"/>
      <c r="B515" s="236"/>
    </row>
    <row r="516">
      <c r="A516" s="236"/>
      <c r="B516" s="236"/>
    </row>
    <row r="517">
      <c r="A517" s="236"/>
      <c r="B517" s="236"/>
    </row>
    <row r="518">
      <c r="A518" s="236"/>
      <c r="B518" s="236"/>
    </row>
    <row r="519">
      <c r="A519" s="236"/>
      <c r="B519" s="236"/>
    </row>
    <row r="520">
      <c r="A520" s="236"/>
      <c r="B520" s="236"/>
    </row>
    <row r="521">
      <c r="A521" s="236"/>
      <c r="B521" s="236"/>
    </row>
    <row r="522">
      <c r="A522" s="236"/>
      <c r="B522" s="236"/>
    </row>
    <row r="523">
      <c r="A523" s="236"/>
      <c r="B523" s="236"/>
    </row>
    <row r="524">
      <c r="A524" s="236"/>
      <c r="B524" s="236"/>
    </row>
    <row r="525">
      <c r="A525" s="236"/>
      <c r="B525" s="236"/>
    </row>
    <row r="526">
      <c r="A526" s="236"/>
      <c r="B526" s="236"/>
    </row>
    <row r="527">
      <c r="A527" s="236"/>
      <c r="B527" s="236"/>
    </row>
    <row r="528">
      <c r="A528" s="236"/>
      <c r="B528" s="236"/>
    </row>
    <row r="529">
      <c r="A529" s="236"/>
      <c r="B529" s="236"/>
    </row>
    <row r="530">
      <c r="A530" s="236"/>
      <c r="B530" s="236"/>
    </row>
    <row r="531">
      <c r="A531" s="236"/>
      <c r="B531" s="236"/>
    </row>
    <row r="532">
      <c r="A532" s="236"/>
      <c r="B532" s="236"/>
    </row>
    <row r="533">
      <c r="A533" s="236"/>
      <c r="B533" s="236"/>
    </row>
    <row r="534">
      <c r="A534" s="236"/>
      <c r="B534" s="236"/>
    </row>
    <row r="535">
      <c r="A535" s="236"/>
      <c r="B535" s="236"/>
    </row>
    <row r="536">
      <c r="A536" s="236"/>
      <c r="B536" s="236"/>
    </row>
    <row r="537">
      <c r="A537" s="236"/>
      <c r="B537" s="236"/>
    </row>
    <row r="538">
      <c r="A538" s="236"/>
      <c r="B538" s="236"/>
    </row>
    <row r="539">
      <c r="A539" s="236"/>
      <c r="B539" s="236"/>
    </row>
    <row r="540">
      <c r="A540" s="236"/>
      <c r="B540" s="236"/>
    </row>
    <row r="541">
      <c r="A541" s="236"/>
      <c r="B541" s="236"/>
    </row>
    <row r="542">
      <c r="A542" s="236"/>
      <c r="B542" s="236"/>
    </row>
    <row r="543">
      <c r="A543" s="236"/>
      <c r="B543" s="236"/>
    </row>
    <row r="544">
      <c r="A544" s="236"/>
      <c r="B544" s="236"/>
    </row>
    <row r="545">
      <c r="A545" s="236"/>
      <c r="B545" s="236"/>
    </row>
    <row r="546">
      <c r="A546" s="236"/>
      <c r="B546" s="236"/>
    </row>
    <row r="547">
      <c r="A547" s="236"/>
      <c r="B547" s="236"/>
    </row>
    <row r="548">
      <c r="A548" s="236"/>
      <c r="B548" s="236"/>
    </row>
    <row r="549">
      <c r="A549" s="236"/>
      <c r="B549" s="236"/>
    </row>
    <row r="550">
      <c r="A550" s="236"/>
      <c r="B550" s="236"/>
    </row>
    <row r="551">
      <c r="A551" s="236"/>
      <c r="B551" s="236"/>
    </row>
    <row r="552">
      <c r="A552" s="236"/>
      <c r="B552" s="236"/>
    </row>
    <row r="553">
      <c r="A553" s="236"/>
      <c r="B553" s="236"/>
    </row>
    <row r="554">
      <c r="A554" s="236"/>
      <c r="B554" s="236"/>
    </row>
    <row r="555">
      <c r="A555" s="236"/>
      <c r="B555" s="236"/>
    </row>
    <row r="556">
      <c r="A556" s="236"/>
      <c r="B556" s="236"/>
    </row>
    <row r="557">
      <c r="A557" s="236"/>
      <c r="B557" s="236"/>
    </row>
    <row r="558">
      <c r="A558" s="236"/>
      <c r="B558" s="236"/>
    </row>
    <row r="559">
      <c r="A559" s="236"/>
      <c r="B559" s="236"/>
    </row>
    <row r="560">
      <c r="A560" s="236"/>
      <c r="B560" s="236"/>
    </row>
    <row r="561">
      <c r="A561" s="236"/>
      <c r="B561" s="236"/>
    </row>
    <row r="562">
      <c r="A562" s="236"/>
      <c r="B562" s="236"/>
    </row>
    <row r="563">
      <c r="A563" s="236"/>
      <c r="B563" s="236"/>
    </row>
    <row r="564">
      <c r="A564" s="236"/>
      <c r="B564" s="236"/>
    </row>
    <row r="565">
      <c r="A565" s="236"/>
      <c r="B565" s="236"/>
    </row>
    <row r="566">
      <c r="A566" s="236"/>
      <c r="B566" s="236"/>
    </row>
    <row r="567">
      <c r="A567" s="236"/>
      <c r="B567" s="236"/>
    </row>
    <row r="568">
      <c r="A568" s="236"/>
      <c r="B568" s="236"/>
    </row>
    <row r="569">
      <c r="A569" s="236"/>
      <c r="B569" s="236"/>
    </row>
    <row r="570">
      <c r="A570" s="236"/>
      <c r="B570" s="236"/>
    </row>
    <row r="571">
      <c r="A571" s="236"/>
      <c r="B571" s="236"/>
    </row>
    <row r="572">
      <c r="A572" s="236"/>
      <c r="B572" s="236"/>
    </row>
    <row r="573">
      <c r="A573" s="236"/>
      <c r="B573" s="236"/>
    </row>
    <row r="574">
      <c r="A574" s="236"/>
      <c r="B574" s="236"/>
    </row>
    <row r="575">
      <c r="A575" s="236"/>
      <c r="B575" s="236"/>
    </row>
    <row r="576">
      <c r="A576" s="236"/>
      <c r="B576" s="236"/>
    </row>
    <row r="577">
      <c r="A577" s="236"/>
      <c r="B577" s="236"/>
    </row>
    <row r="578">
      <c r="A578" s="236"/>
      <c r="B578" s="236"/>
    </row>
    <row r="579">
      <c r="A579" s="236"/>
      <c r="B579" s="236"/>
    </row>
    <row r="580">
      <c r="A580" s="236"/>
      <c r="B580" s="236"/>
    </row>
    <row r="581">
      <c r="A581" s="236"/>
      <c r="B581" s="236"/>
    </row>
    <row r="582">
      <c r="A582" s="236"/>
      <c r="B582" s="236"/>
    </row>
    <row r="583">
      <c r="A583" s="236"/>
      <c r="B583" s="236"/>
    </row>
    <row r="584">
      <c r="A584" s="236"/>
      <c r="B584" s="236"/>
    </row>
    <row r="585">
      <c r="A585" s="236"/>
      <c r="B585" s="236"/>
    </row>
    <row r="586">
      <c r="A586" s="236"/>
      <c r="B586" s="236"/>
    </row>
    <row r="587">
      <c r="A587" s="236"/>
      <c r="B587" s="236"/>
    </row>
    <row r="588">
      <c r="A588" s="236"/>
      <c r="B588" s="236"/>
    </row>
    <row r="589">
      <c r="A589" s="236"/>
      <c r="B589" s="236"/>
    </row>
    <row r="590">
      <c r="A590" s="236"/>
      <c r="B590" s="236"/>
    </row>
    <row r="591">
      <c r="A591" s="236"/>
      <c r="B591" s="236"/>
    </row>
    <row r="592">
      <c r="A592" s="236"/>
      <c r="B592" s="236"/>
    </row>
    <row r="593">
      <c r="A593" s="236"/>
      <c r="B593" s="236"/>
    </row>
    <row r="594">
      <c r="A594" s="236"/>
      <c r="B594" s="236"/>
    </row>
    <row r="595">
      <c r="A595" s="236"/>
      <c r="B595" s="236"/>
    </row>
    <row r="596">
      <c r="A596" s="236"/>
      <c r="B596" s="236"/>
    </row>
    <row r="597">
      <c r="A597" s="236"/>
      <c r="B597" s="236"/>
    </row>
    <row r="598">
      <c r="A598" s="236"/>
      <c r="B598" s="236"/>
    </row>
    <row r="599">
      <c r="A599" s="236"/>
      <c r="B599" s="236"/>
    </row>
    <row r="600">
      <c r="A600" s="236"/>
      <c r="B600" s="236"/>
    </row>
    <row r="601">
      <c r="A601" s="236"/>
      <c r="B601" s="236"/>
    </row>
    <row r="602">
      <c r="A602" s="236"/>
      <c r="B602" s="236"/>
    </row>
    <row r="603">
      <c r="A603" s="236"/>
      <c r="B603" s="236"/>
    </row>
    <row r="604">
      <c r="A604" s="236"/>
      <c r="B604" s="236"/>
    </row>
    <row r="605">
      <c r="A605" s="236"/>
      <c r="B605" s="236"/>
    </row>
    <row r="606">
      <c r="A606" s="236"/>
      <c r="B606" s="236"/>
    </row>
    <row r="607">
      <c r="A607" s="236"/>
      <c r="B607" s="236"/>
    </row>
    <row r="608">
      <c r="A608" s="236"/>
      <c r="B608" s="236"/>
    </row>
    <row r="609">
      <c r="A609" s="236"/>
      <c r="B609" s="236"/>
    </row>
    <row r="610">
      <c r="A610" s="236"/>
      <c r="B610" s="236"/>
    </row>
    <row r="611">
      <c r="A611" s="236"/>
      <c r="B611" s="236"/>
    </row>
    <row r="612">
      <c r="A612" s="236"/>
      <c r="B612" s="236"/>
    </row>
    <row r="613">
      <c r="A613" s="236"/>
      <c r="B613" s="236"/>
    </row>
    <row r="614">
      <c r="A614" s="236"/>
      <c r="B614" s="236"/>
    </row>
    <row r="615">
      <c r="A615" s="236"/>
      <c r="B615" s="236"/>
    </row>
    <row r="616">
      <c r="A616" s="236"/>
      <c r="B616" s="236"/>
    </row>
    <row r="617">
      <c r="A617" s="236"/>
      <c r="B617" s="236"/>
    </row>
    <row r="618">
      <c r="A618" s="236"/>
      <c r="B618" s="236"/>
    </row>
    <row r="619">
      <c r="A619" s="236"/>
      <c r="B619" s="236"/>
    </row>
    <row r="620">
      <c r="A620" s="236"/>
      <c r="B620" s="236"/>
    </row>
    <row r="621">
      <c r="A621" s="236"/>
      <c r="B621" s="236"/>
    </row>
    <row r="622">
      <c r="A622" s="236"/>
      <c r="B622" s="236"/>
    </row>
    <row r="623">
      <c r="A623" s="236"/>
      <c r="B623" s="236"/>
    </row>
    <row r="624">
      <c r="A624" s="236"/>
      <c r="B624" s="236"/>
    </row>
    <row r="625">
      <c r="A625" s="236"/>
      <c r="B625" s="236"/>
    </row>
    <row r="626">
      <c r="A626" s="236"/>
      <c r="B626" s="236"/>
    </row>
    <row r="627">
      <c r="A627" s="236"/>
      <c r="B627" s="236"/>
    </row>
    <row r="628">
      <c r="A628" s="236"/>
      <c r="B628" s="236"/>
    </row>
    <row r="629">
      <c r="A629" s="236"/>
      <c r="B629" s="236"/>
    </row>
    <row r="630">
      <c r="A630" s="236"/>
      <c r="B630" s="236"/>
    </row>
    <row r="631">
      <c r="A631" s="236"/>
      <c r="B631" s="236"/>
    </row>
    <row r="632">
      <c r="A632" s="236"/>
      <c r="B632" s="236"/>
    </row>
    <row r="633">
      <c r="A633" s="236"/>
      <c r="B633" s="236"/>
    </row>
    <row r="634">
      <c r="A634" s="236"/>
      <c r="B634" s="236"/>
    </row>
    <row r="635">
      <c r="A635" s="236"/>
      <c r="B635" s="236"/>
    </row>
    <row r="636">
      <c r="A636" s="236"/>
      <c r="B636" s="236"/>
    </row>
    <row r="637">
      <c r="A637" s="236"/>
      <c r="B637" s="236"/>
    </row>
    <row r="638">
      <c r="A638" s="236"/>
      <c r="B638" s="236"/>
    </row>
    <row r="639">
      <c r="A639" s="236"/>
      <c r="B639" s="236"/>
    </row>
    <row r="640">
      <c r="A640" s="236"/>
      <c r="B640" s="236"/>
    </row>
    <row r="641">
      <c r="A641" s="236"/>
      <c r="B641" s="236"/>
    </row>
    <row r="642">
      <c r="A642" s="236"/>
      <c r="B642" s="236"/>
    </row>
    <row r="643">
      <c r="A643" s="236"/>
      <c r="B643" s="236"/>
    </row>
    <row r="644">
      <c r="A644" s="236"/>
      <c r="B644" s="236"/>
    </row>
    <row r="645">
      <c r="A645" s="236"/>
      <c r="B645" s="236"/>
    </row>
    <row r="646">
      <c r="A646" s="236"/>
      <c r="B646" s="236"/>
    </row>
    <row r="647">
      <c r="A647" s="236"/>
      <c r="B647" s="236"/>
    </row>
    <row r="648">
      <c r="A648" s="236"/>
      <c r="B648" s="236"/>
    </row>
    <row r="649">
      <c r="A649" s="236"/>
      <c r="B649" s="236"/>
    </row>
    <row r="650">
      <c r="A650" s="236"/>
      <c r="B650" s="236"/>
    </row>
    <row r="651">
      <c r="A651" s="236"/>
      <c r="B651" s="236"/>
    </row>
    <row r="652">
      <c r="A652" s="236"/>
      <c r="B652" s="236"/>
    </row>
    <row r="653">
      <c r="A653" s="236"/>
      <c r="B653" s="236"/>
    </row>
    <row r="654">
      <c r="A654" s="236"/>
      <c r="B654" s="236"/>
    </row>
    <row r="655">
      <c r="A655" s="236"/>
      <c r="B655" s="236"/>
    </row>
    <row r="656">
      <c r="A656" s="236"/>
      <c r="B656" s="236"/>
    </row>
    <row r="657">
      <c r="A657" s="236"/>
      <c r="B657" s="236"/>
    </row>
    <row r="658">
      <c r="A658" s="236"/>
      <c r="B658" s="236"/>
    </row>
    <row r="659">
      <c r="A659" s="236"/>
      <c r="B659" s="236"/>
    </row>
    <row r="660">
      <c r="A660" s="236"/>
      <c r="B660" s="236"/>
    </row>
    <row r="661">
      <c r="A661" s="236"/>
      <c r="B661" s="236"/>
    </row>
    <row r="662">
      <c r="A662" s="236"/>
      <c r="B662" s="236"/>
    </row>
    <row r="663">
      <c r="A663" s="236"/>
      <c r="B663" s="236"/>
    </row>
    <row r="664">
      <c r="A664" s="236"/>
      <c r="B664" s="236"/>
    </row>
    <row r="665">
      <c r="A665" s="236"/>
      <c r="B665" s="236"/>
    </row>
    <row r="666">
      <c r="A666" s="236"/>
      <c r="B666" s="236"/>
    </row>
    <row r="667">
      <c r="A667" s="236"/>
      <c r="B667" s="236"/>
    </row>
    <row r="668">
      <c r="A668" s="236"/>
      <c r="B668" s="236"/>
    </row>
    <row r="669">
      <c r="A669" s="236"/>
      <c r="B669" s="236"/>
    </row>
    <row r="670">
      <c r="A670" s="236"/>
      <c r="B670" s="236"/>
    </row>
    <row r="671">
      <c r="A671" s="236"/>
      <c r="B671" s="236"/>
    </row>
    <row r="672">
      <c r="A672" s="236"/>
      <c r="B672" s="236"/>
    </row>
    <row r="673">
      <c r="A673" s="236"/>
      <c r="B673" s="236"/>
    </row>
    <row r="674">
      <c r="A674" s="236"/>
      <c r="B674" s="236"/>
    </row>
    <row r="675">
      <c r="A675" s="236"/>
      <c r="B675" s="236"/>
    </row>
    <row r="676">
      <c r="A676" s="236"/>
      <c r="B676" s="236"/>
    </row>
    <row r="677">
      <c r="A677" s="236"/>
      <c r="B677" s="236"/>
    </row>
    <row r="678">
      <c r="A678" s="236"/>
      <c r="B678" s="236"/>
    </row>
    <row r="679">
      <c r="A679" s="236"/>
      <c r="B679" s="236"/>
    </row>
    <row r="680">
      <c r="A680" s="236"/>
      <c r="B680" s="236"/>
    </row>
    <row r="681">
      <c r="A681" s="236"/>
      <c r="B681" s="236"/>
    </row>
    <row r="682">
      <c r="A682" s="236"/>
      <c r="B682" s="236"/>
    </row>
    <row r="683">
      <c r="A683" s="236"/>
      <c r="B683" s="236"/>
    </row>
    <row r="684">
      <c r="A684" s="236"/>
      <c r="B684" s="236"/>
    </row>
    <row r="685">
      <c r="A685" s="236"/>
      <c r="B685" s="236"/>
    </row>
    <row r="686">
      <c r="A686" s="236"/>
      <c r="B686" s="236"/>
    </row>
    <row r="687">
      <c r="A687" s="236"/>
      <c r="B687" s="236"/>
    </row>
    <row r="688">
      <c r="A688" s="236"/>
      <c r="B688" s="236"/>
    </row>
    <row r="689">
      <c r="A689" s="236"/>
      <c r="B689" s="236"/>
    </row>
    <row r="690">
      <c r="A690" s="236"/>
      <c r="B690" s="236"/>
    </row>
    <row r="691">
      <c r="A691" s="236"/>
      <c r="B691" s="236"/>
    </row>
    <row r="692">
      <c r="A692" s="236"/>
      <c r="B692" s="236"/>
    </row>
    <row r="693">
      <c r="A693" s="236"/>
      <c r="B693" s="236"/>
    </row>
    <row r="694">
      <c r="A694" s="236"/>
      <c r="B694" s="236"/>
    </row>
    <row r="695">
      <c r="A695" s="236"/>
      <c r="B695" s="236"/>
    </row>
    <row r="696">
      <c r="A696" s="236"/>
      <c r="B696" s="236"/>
    </row>
    <row r="697">
      <c r="A697" s="236"/>
      <c r="B697" s="236"/>
    </row>
    <row r="698">
      <c r="A698" s="236"/>
      <c r="B698" s="236"/>
    </row>
    <row r="699">
      <c r="A699" s="236"/>
      <c r="B699" s="236"/>
    </row>
    <row r="700">
      <c r="A700" s="236"/>
      <c r="B700" s="236"/>
    </row>
    <row r="701">
      <c r="A701" s="236"/>
      <c r="B701" s="236"/>
    </row>
    <row r="702">
      <c r="A702" s="236"/>
      <c r="B702" s="236"/>
    </row>
    <row r="703">
      <c r="A703" s="236"/>
      <c r="B703" s="236"/>
    </row>
    <row r="704">
      <c r="A704" s="236"/>
      <c r="B704" s="236"/>
    </row>
    <row r="705">
      <c r="A705" s="236"/>
      <c r="B705" s="236"/>
    </row>
    <row r="706">
      <c r="A706" s="236"/>
      <c r="B706" s="236"/>
    </row>
    <row r="707">
      <c r="A707" s="236"/>
      <c r="B707" s="236"/>
    </row>
    <row r="708">
      <c r="A708" s="236"/>
      <c r="B708" s="236"/>
    </row>
    <row r="709">
      <c r="A709" s="236"/>
      <c r="B709" s="236"/>
    </row>
    <row r="710">
      <c r="A710" s="236"/>
      <c r="B710" s="236"/>
    </row>
    <row r="711">
      <c r="A711" s="236"/>
      <c r="B711" s="236"/>
    </row>
    <row r="712">
      <c r="A712" s="236"/>
      <c r="B712" s="236"/>
    </row>
    <row r="713">
      <c r="A713" s="236"/>
      <c r="B713" s="236"/>
    </row>
    <row r="714">
      <c r="A714" s="236"/>
      <c r="B714" s="236"/>
    </row>
    <row r="715">
      <c r="A715" s="236"/>
      <c r="B715" s="236"/>
    </row>
    <row r="716">
      <c r="A716" s="236"/>
      <c r="B716" s="236"/>
    </row>
    <row r="717">
      <c r="A717" s="236"/>
      <c r="B717" s="236"/>
    </row>
    <row r="718">
      <c r="A718" s="236"/>
      <c r="B718" s="236"/>
    </row>
    <row r="719">
      <c r="A719" s="236"/>
      <c r="B719" s="236"/>
    </row>
    <row r="720">
      <c r="A720" s="236"/>
      <c r="B720" s="236"/>
    </row>
    <row r="721">
      <c r="A721" s="236"/>
      <c r="B721" s="236"/>
    </row>
    <row r="722">
      <c r="A722" s="236"/>
      <c r="B722" s="236"/>
    </row>
    <row r="723">
      <c r="A723" s="236"/>
      <c r="B723" s="236"/>
    </row>
    <row r="724">
      <c r="A724" s="236"/>
      <c r="B724" s="236"/>
    </row>
    <row r="725">
      <c r="A725" s="236"/>
      <c r="B725" s="236"/>
    </row>
    <row r="726">
      <c r="A726" s="236"/>
      <c r="B726" s="236"/>
    </row>
    <row r="727">
      <c r="A727" s="236"/>
      <c r="B727" s="236"/>
    </row>
    <row r="728">
      <c r="A728" s="236"/>
      <c r="B728" s="236"/>
    </row>
    <row r="729">
      <c r="A729" s="236"/>
      <c r="B729" s="236"/>
    </row>
    <row r="730">
      <c r="A730" s="236"/>
      <c r="B730" s="236"/>
    </row>
    <row r="731">
      <c r="A731" s="236"/>
      <c r="B731" s="236"/>
    </row>
    <row r="732">
      <c r="A732" s="236"/>
      <c r="B732" s="236"/>
    </row>
    <row r="733">
      <c r="A733" s="236"/>
      <c r="B733" s="236"/>
    </row>
    <row r="734">
      <c r="A734" s="236"/>
      <c r="B734" s="236"/>
    </row>
    <row r="735">
      <c r="A735" s="236"/>
      <c r="B735" s="236"/>
    </row>
    <row r="736">
      <c r="A736" s="236"/>
      <c r="B736" s="236"/>
    </row>
    <row r="737">
      <c r="A737" s="236"/>
      <c r="B737" s="236"/>
    </row>
    <row r="738">
      <c r="A738" s="236"/>
      <c r="B738" s="236"/>
    </row>
    <row r="739">
      <c r="A739" s="236"/>
      <c r="B739" s="236"/>
    </row>
    <row r="740">
      <c r="A740" s="236"/>
      <c r="B740" s="236"/>
    </row>
    <row r="741">
      <c r="A741" s="236"/>
      <c r="B741" s="236"/>
    </row>
    <row r="742">
      <c r="A742" s="236"/>
      <c r="B742" s="236"/>
    </row>
    <row r="743">
      <c r="A743" s="236"/>
      <c r="B743" s="236"/>
    </row>
    <row r="744">
      <c r="A744" s="236"/>
      <c r="B744" s="236"/>
    </row>
    <row r="745">
      <c r="A745" s="236"/>
      <c r="B745" s="236"/>
    </row>
    <row r="746">
      <c r="A746" s="236"/>
      <c r="B746" s="236"/>
    </row>
    <row r="747">
      <c r="A747" s="236"/>
      <c r="B747" s="236"/>
    </row>
    <row r="748">
      <c r="A748" s="236"/>
      <c r="B748" s="236"/>
    </row>
    <row r="749">
      <c r="A749" s="236"/>
      <c r="B749" s="236"/>
    </row>
    <row r="750">
      <c r="A750" s="236"/>
      <c r="B750" s="236"/>
    </row>
    <row r="751">
      <c r="A751" s="236"/>
      <c r="B751" s="236"/>
    </row>
    <row r="752">
      <c r="A752" s="236"/>
      <c r="B752" s="236"/>
    </row>
    <row r="753">
      <c r="A753" s="236"/>
      <c r="B753" s="236"/>
    </row>
    <row r="754">
      <c r="A754" s="236"/>
      <c r="B754" s="236"/>
    </row>
    <row r="755">
      <c r="A755" s="236"/>
      <c r="B755" s="236"/>
    </row>
    <row r="756">
      <c r="A756" s="236"/>
      <c r="B756" s="236"/>
    </row>
    <row r="757">
      <c r="A757" s="236"/>
      <c r="B757" s="236"/>
    </row>
    <row r="758">
      <c r="A758" s="236"/>
      <c r="B758" s="236"/>
    </row>
    <row r="759">
      <c r="A759" s="236"/>
      <c r="B759" s="236"/>
    </row>
    <row r="760">
      <c r="A760" s="236"/>
      <c r="B760" s="236"/>
    </row>
    <row r="761">
      <c r="A761" s="236"/>
      <c r="B761" s="236"/>
    </row>
    <row r="762">
      <c r="A762" s="236"/>
      <c r="B762" s="236"/>
    </row>
    <row r="763">
      <c r="A763" s="236"/>
      <c r="B763" s="236"/>
    </row>
    <row r="764">
      <c r="A764" s="236"/>
      <c r="B764" s="236"/>
    </row>
    <row r="765">
      <c r="A765" s="236"/>
      <c r="B765" s="236"/>
    </row>
    <row r="766">
      <c r="A766" s="236"/>
      <c r="B766" s="236"/>
    </row>
    <row r="767">
      <c r="A767" s="236"/>
      <c r="B767" s="236"/>
    </row>
    <row r="768">
      <c r="A768" s="236"/>
      <c r="B768" s="236"/>
    </row>
    <row r="769">
      <c r="A769" s="236"/>
      <c r="B769" s="236"/>
    </row>
    <row r="770">
      <c r="A770" s="236"/>
      <c r="B770" s="236"/>
    </row>
    <row r="771">
      <c r="A771" s="236"/>
      <c r="B771" s="236"/>
    </row>
    <row r="772">
      <c r="A772" s="236"/>
      <c r="B772" s="236"/>
    </row>
    <row r="773">
      <c r="A773" s="236"/>
      <c r="B773" s="236"/>
    </row>
    <row r="774">
      <c r="A774" s="236"/>
      <c r="B774" s="236"/>
    </row>
    <row r="775">
      <c r="A775" s="236"/>
      <c r="B775" s="236"/>
    </row>
    <row r="776">
      <c r="A776" s="236"/>
      <c r="B776" s="236"/>
    </row>
    <row r="777">
      <c r="A777" s="236"/>
      <c r="B777" s="236"/>
    </row>
    <row r="778">
      <c r="A778" s="236"/>
      <c r="B778" s="236"/>
    </row>
    <row r="779">
      <c r="A779" s="236"/>
      <c r="B779" s="236"/>
    </row>
    <row r="780">
      <c r="A780" s="236"/>
      <c r="B780" s="236"/>
    </row>
    <row r="781">
      <c r="A781" s="236"/>
      <c r="B781" s="236"/>
    </row>
    <row r="782">
      <c r="A782" s="236"/>
      <c r="B782" s="236"/>
    </row>
    <row r="783">
      <c r="A783" s="236"/>
      <c r="B783" s="236"/>
    </row>
    <row r="784">
      <c r="A784" s="236"/>
      <c r="B784" s="236"/>
    </row>
    <row r="785">
      <c r="A785" s="236"/>
      <c r="B785" s="236"/>
    </row>
    <row r="786">
      <c r="A786" s="236"/>
      <c r="B786" s="236"/>
    </row>
    <row r="787">
      <c r="A787" s="236"/>
      <c r="B787" s="236"/>
    </row>
    <row r="788">
      <c r="A788" s="236"/>
      <c r="B788" s="236"/>
    </row>
    <row r="789">
      <c r="A789" s="236"/>
      <c r="B789" s="236"/>
    </row>
    <row r="790">
      <c r="A790" s="236"/>
      <c r="B790" s="236"/>
    </row>
    <row r="791">
      <c r="A791" s="236"/>
      <c r="B791" s="236"/>
    </row>
    <row r="792">
      <c r="A792" s="236"/>
      <c r="B792" s="236"/>
    </row>
    <row r="793">
      <c r="A793" s="236"/>
      <c r="B793" s="236"/>
    </row>
    <row r="794">
      <c r="A794" s="236"/>
      <c r="B794" s="236"/>
    </row>
    <row r="795">
      <c r="A795" s="236"/>
      <c r="B795" s="236"/>
    </row>
    <row r="796">
      <c r="A796" s="236"/>
      <c r="B796" s="236"/>
    </row>
    <row r="797">
      <c r="A797" s="236"/>
      <c r="B797" s="236"/>
    </row>
    <row r="798">
      <c r="A798" s="236"/>
      <c r="B798" s="236"/>
    </row>
    <row r="799">
      <c r="A799" s="236"/>
      <c r="B799" s="236"/>
    </row>
    <row r="800">
      <c r="A800" s="236"/>
      <c r="B800" s="236"/>
    </row>
    <row r="801">
      <c r="A801" s="236"/>
      <c r="B801" s="236"/>
    </row>
    <row r="802">
      <c r="A802" s="236"/>
      <c r="B802" s="236"/>
    </row>
    <row r="803">
      <c r="A803" s="236"/>
      <c r="B803" s="236"/>
    </row>
    <row r="804">
      <c r="A804" s="236"/>
      <c r="B804" s="236"/>
    </row>
    <row r="805">
      <c r="A805" s="236"/>
      <c r="B805" s="236"/>
    </row>
    <row r="806">
      <c r="A806" s="236"/>
      <c r="B806" s="236"/>
    </row>
    <row r="807">
      <c r="A807" s="236"/>
      <c r="B807" s="236"/>
    </row>
    <row r="808">
      <c r="A808" s="236"/>
      <c r="B808" s="236"/>
    </row>
    <row r="809">
      <c r="A809" s="236"/>
      <c r="B809" s="236"/>
    </row>
    <row r="810">
      <c r="A810" s="236"/>
      <c r="B810" s="236"/>
    </row>
    <row r="811">
      <c r="A811" s="236"/>
      <c r="B811" s="236"/>
    </row>
    <row r="812">
      <c r="A812" s="236"/>
      <c r="B812" s="236"/>
    </row>
    <row r="813">
      <c r="A813" s="236"/>
      <c r="B813" s="236"/>
    </row>
    <row r="814">
      <c r="A814" s="236"/>
      <c r="B814" s="236"/>
    </row>
    <row r="815">
      <c r="A815" s="236"/>
      <c r="B815" s="236"/>
    </row>
    <row r="816">
      <c r="A816" s="236"/>
      <c r="B816" s="236"/>
    </row>
    <row r="817">
      <c r="A817" s="236"/>
      <c r="B817" s="236"/>
    </row>
    <row r="818">
      <c r="A818" s="236"/>
      <c r="B818" s="236"/>
    </row>
    <row r="819">
      <c r="A819" s="236"/>
      <c r="B819" s="236"/>
    </row>
    <row r="820">
      <c r="A820" s="236"/>
      <c r="B820" s="236"/>
    </row>
    <row r="821">
      <c r="A821" s="236"/>
      <c r="B821" s="236"/>
    </row>
    <row r="822">
      <c r="A822" s="236"/>
      <c r="B822" s="236"/>
    </row>
    <row r="823">
      <c r="A823" s="236"/>
      <c r="B823" s="236"/>
    </row>
    <row r="824">
      <c r="A824" s="236"/>
      <c r="B824" s="236"/>
    </row>
    <row r="825">
      <c r="A825" s="236"/>
      <c r="B825" s="236"/>
    </row>
    <row r="826">
      <c r="A826" s="236"/>
      <c r="B826" s="236"/>
    </row>
    <row r="827">
      <c r="A827" s="236"/>
      <c r="B827" s="236"/>
    </row>
    <row r="828">
      <c r="A828" s="236"/>
      <c r="B828" s="236"/>
    </row>
    <row r="829">
      <c r="A829" s="236"/>
      <c r="B829" s="236"/>
    </row>
    <row r="830">
      <c r="A830" s="236"/>
      <c r="B830" s="236"/>
    </row>
    <row r="831">
      <c r="A831" s="236"/>
      <c r="B831" s="236"/>
    </row>
    <row r="832">
      <c r="A832" s="236"/>
      <c r="B832" s="236"/>
    </row>
    <row r="833">
      <c r="A833" s="236"/>
      <c r="B833" s="236"/>
    </row>
    <row r="834">
      <c r="A834" s="236"/>
      <c r="B834" s="236"/>
    </row>
    <row r="835">
      <c r="A835" s="236"/>
      <c r="B835" s="236"/>
    </row>
    <row r="836">
      <c r="A836" s="236"/>
      <c r="B836" s="236"/>
    </row>
    <row r="837">
      <c r="A837" s="236"/>
      <c r="B837" s="236"/>
    </row>
    <row r="838">
      <c r="A838" s="236"/>
      <c r="B838" s="236"/>
    </row>
    <row r="839">
      <c r="A839" s="236"/>
      <c r="B839" s="236"/>
    </row>
    <row r="840">
      <c r="A840" s="236"/>
      <c r="B840" s="236"/>
    </row>
    <row r="841">
      <c r="A841" s="236"/>
      <c r="B841" s="236"/>
    </row>
    <row r="842">
      <c r="A842" s="236"/>
      <c r="B842" s="236"/>
    </row>
    <row r="843">
      <c r="A843" s="236"/>
      <c r="B843" s="236"/>
    </row>
    <row r="844">
      <c r="A844" s="236"/>
      <c r="B844" s="236"/>
    </row>
    <row r="845">
      <c r="A845" s="236"/>
      <c r="B845" s="236"/>
    </row>
    <row r="846">
      <c r="A846" s="236"/>
      <c r="B846" s="236"/>
    </row>
    <row r="847">
      <c r="A847" s="236"/>
      <c r="B847" s="236"/>
    </row>
    <row r="848">
      <c r="A848" s="236"/>
      <c r="B848" s="236"/>
    </row>
    <row r="849">
      <c r="A849" s="236"/>
      <c r="B849" s="236"/>
    </row>
    <row r="850">
      <c r="A850" s="236"/>
      <c r="B850" s="236"/>
    </row>
    <row r="851">
      <c r="A851" s="236"/>
      <c r="B851" s="236"/>
    </row>
    <row r="852">
      <c r="A852" s="236"/>
      <c r="B852" s="236"/>
    </row>
    <row r="853">
      <c r="A853" s="236"/>
      <c r="B853" s="236"/>
    </row>
    <row r="854">
      <c r="A854" s="236"/>
      <c r="B854" s="236"/>
    </row>
    <row r="855">
      <c r="A855" s="236"/>
      <c r="B855" s="236"/>
    </row>
    <row r="856">
      <c r="A856" s="236"/>
      <c r="B856" s="236"/>
    </row>
    <row r="857">
      <c r="A857" s="236"/>
      <c r="B857" s="236"/>
    </row>
    <row r="858">
      <c r="A858" s="236"/>
      <c r="B858" s="236"/>
    </row>
    <row r="859">
      <c r="A859" s="236"/>
      <c r="B859" s="236"/>
    </row>
    <row r="860">
      <c r="A860" s="236"/>
      <c r="B860" s="236"/>
    </row>
    <row r="861">
      <c r="A861" s="236"/>
      <c r="B861" s="236"/>
    </row>
    <row r="862">
      <c r="A862" s="236"/>
      <c r="B862" s="236"/>
    </row>
    <row r="863">
      <c r="A863" s="236"/>
      <c r="B863" s="236"/>
    </row>
    <row r="864">
      <c r="A864" s="236"/>
      <c r="B864" s="236"/>
    </row>
    <row r="865">
      <c r="A865" s="236"/>
      <c r="B865" s="236"/>
    </row>
    <row r="866">
      <c r="A866" s="236"/>
      <c r="B866" s="236"/>
    </row>
    <row r="867">
      <c r="A867" s="236"/>
      <c r="B867" s="236"/>
    </row>
    <row r="868">
      <c r="A868" s="236"/>
      <c r="B868" s="236"/>
    </row>
    <row r="869">
      <c r="A869" s="236"/>
      <c r="B869" s="236"/>
    </row>
    <row r="870">
      <c r="A870" s="236"/>
      <c r="B870" s="236"/>
    </row>
    <row r="871">
      <c r="A871" s="236"/>
      <c r="B871" s="236"/>
    </row>
    <row r="872">
      <c r="A872" s="236"/>
      <c r="B872" s="236"/>
    </row>
    <row r="873">
      <c r="A873" s="236"/>
      <c r="B873" s="236"/>
    </row>
    <row r="874">
      <c r="A874" s="236"/>
      <c r="B874" s="236"/>
    </row>
    <row r="875">
      <c r="A875" s="236"/>
      <c r="B875" s="236"/>
    </row>
    <row r="876">
      <c r="A876" s="236"/>
      <c r="B876" s="236"/>
    </row>
    <row r="877">
      <c r="A877" s="236"/>
      <c r="B877" s="236"/>
    </row>
    <row r="878">
      <c r="A878" s="236"/>
      <c r="B878" s="236"/>
    </row>
    <row r="879">
      <c r="A879" s="236"/>
      <c r="B879" s="236"/>
    </row>
    <row r="880">
      <c r="A880" s="236"/>
      <c r="B880" s="236"/>
    </row>
    <row r="881">
      <c r="A881" s="236"/>
      <c r="B881" s="236"/>
    </row>
    <row r="882">
      <c r="A882" s="236"/>
      <c r="B882" s="236"/>
    </row>
    <row r="883">
      <c r="A883" s="236"/>
      <c r="B883" s="236"/>
    </row>
    <row r="884">
      <c r="A884" s="236"/>
      <c r="B884" s="236"/>
    </row>
    <row r="885">
      <c r="A885" s="236"/>
      <c r="B885" s="236"/>
    </row>
    <row r="886">
      <c r="A886" s="236"/>
      <c r="B886" s="236"/>
    </row>
    <row r="887">
      <c r="A887" s="236"/>
      <c r="B887" s="236"/>
    </row>
    <row r="888">
      <c r="A888" s="236"/>
      <c r="B888" s="236"/>
    </row>
    <row r="889">
      <c r="A889" s="236"/>
      <c r="B889" s="236"/>
    </row>
    <row r="890">
      <c r="A890" s="236"/>
      <c r="B890" s="236"/>
    </row>
    <row r="891">
      <c r="A891" s="236"/>
      <c r="B891" s="236"/>
    </row>
    <row r="892">
      <c r="A892" s="236"/>
      <c r="B892" s="236"/>
    </row>
    <row r="893">
      <c r="A893" s="236"/>
      <c r="B893" s="236"/>
    </row>
    <row r="894">
      <c r="A894" s="236"/>
      <c r="B894" s="236"/>
    </row>
    <row r="895">
      <c r="A895" s="236"/>
      <c r="B895" s="236"/>
    </row>
    <row r="896">
      <c r="A896" s="236"/>
      <c r="B896" s="236"/>
    </row>
    <row r="897">
      <c r="A897" s="236"/>
      <c r="B897" s="236"/>
    </row>
    <row r="898">
      <c r="A898" s="236"/>
      <c r="B898" s="236"/>
    </row>
    <row r="899">
      <c r="A899" s="236"/>
      <c r="B899" s="236"/>
    </row>
    <row r="900">
      <c r="A900" s="236"/>
      <c r="B900" s="236"/>
    </row>
    <row r="901">
      <c r="A901" s="236"/>
      <c r="B901" s="236"/>
    </row>
    <row r="902">
      <c r="A902" s="236"/>
      <c r="B902" s="236"/>
    </row>
    <row r="903">
      <c r="A903" s="236"/>
      <c r="B903" s="236"/>
    </row>
    <row r="904">
      <c r="A904" s="236"/>
      <c r="B904" s="236"/>
    </row>
    <row r="905">
      <c r="A905" s="236"/>
      <c r="B905" s="236"/>
    </row>
    <row r="906">
      <c r="A906" s="236"/>
      <c r="B906" s="236"/>
    </row>
    <row r="907">
      <c r="A907" s="236"/>
      <c r="B907" s="236"/>
    </row>
    <row r="908">
      <c r="A908" s="236"/>
      <c r="B908" s="236"/>
    </row>
    <row r="909">
      <c r="A909" s="236"/>
      <c r="B909" s="236"/>
    </row>
    <row r="910">
      <c r="A910" s="236"/>
      <c r="B910" s="236"/>
    </row>
    <row r="911">
      <c r="A911" s="236"/>
      <c r="B911" s="236"/>
    </row>
    <row r="912">
      <c r="A912" s="236"/>
      <c r="B912" s="236"/>
    </row>
    <row r="913">
      <c r="A913" s="236"/>
      <c r="B913" s="236"/>
    </row>
    <row r="914">
      <c r="A914" s="236"/>
      <c r="B914" s="236"/>
    </row>
    <row r="915">
      <c r="A915" s="236"/>
      <c r="B915" s="236"/>
    </row>
    <row r="916">
      <c r="A916" s="236"/>
      <c r="B916" s="236"/>
    </row>
    <row r="917">
      <c r="A917" s="236"/>
      <c r="B917" s="236"/>
    </row>
    <row r="918">
      <c r="A918" s="236"/>
      <c r="B918" s="236"/>
    </row>
    <row r="919">
      <c r="A919" s="236"/>
      <c r="B919" s="236"/>
    </row>
    <row r="920">
      <c r="A920" s="236"/>
      <c r="B920" s="236"/>
    </row>
    <row r="921">
      <c r="A921" s="236"/>
      <c r="B921" s="236"/>
    </row>
    <row r="922">
      <c r="A922" s="236"/>
      <c r="B922" s="236"/>
    </row>
    <row r="923">
      <c r="A923" s="236"/>
      <c r="B923" s="236"/>
    </row>
    <row r="924">
      <c r="A924" s="236"/>
      <c r="B924" s="236"/>
    </row>
    <row r="925">
      <c r="A925" s="236"/>
      <c r="B925" s="236"/>
    </row>
    <row r="926">
      <c r="A926" s="236"/>
      <c r="B926" s="236"/>
    </row>
    <row r="927">
      <c r="A927" s="236"/>
      <c r="B927" s="236"/>
    </row>
    <row r="928">
      <c r="A928" s="236"/>
      <c r="B928" s="236"/>
    </row>
    <row r="929">
      <c r="A929" s="236"/>
      <c r="B929" s="236"/>
    </row>
    <row r="930">
      <c r="A930" s="236"/>
      <c r="B930" s="236"/>
    </row>
    <row r="931">
      <c r="A931" s="236"/>
      <c r="B931" s="236"/>
    </row>
    <row r="932">
      <c r="A932" s="236"/>
      <c r="B932" s="236"/>
    </row>
    <row r="933">
      <c r="A933" s="236"/>
      <c r="B933" s="236"/>
    </row>
    <row r="934">
      <c r="A934" s="236"/>
      <c r="B934" s="236"/>
    </row>
    <row r="935">
      <c r="A935" s="236"/>
      <c r="B935" s="236"/>
    </row>
    <row r="936">
      <c r="A936" s="236"/>
      <c r="B936" s="236"/>
    </row>
    <row r="937">
      <c r="A937" s="236"/>
      <c r="B937" s="236"/>
    </row>
    <row r="938">
      <c r="A938" s="236"/>
      <c r="B938" s="236"/>
    </row>
    <row r="939">
      <c r="A939" s="236"/>
      <c r="B939" s="236"/>
    </row>
    <row r="940">
      <c r="A940" s="236"/>
      <c r="B940" s="236"/>
    </row>
    <row r="941">
      <c r="A941" s="236"/>
      <c r="B941" s="236"/>
    </row>
    <row r="942">
      <c r="A942" s="236"/>
      <c r="B942" s="236"/>
    </row>
    <row r="943">
      <c r="A943" s="236"/>
      <c r="B943" s="236"/>
    </row>
    <row r="944">
      <c r="A944" s="236"/>
      <c r="B944" s="236"/>
    </row>
    <row r="945">
      <c r="A945" s="236"/>
      <c r="B945" s="236"/>
    </row>
    <row r="946">
      <c r="A946" s="236"/>
      <c r="B946" s="236"/>
    </row>
    <row r="947">
      <c r="A947" s="236"/>
      <c r="B947" s="236"/>
    </row>
    <row r="948">
      <c r="A948" s="236"/>
      <c r="B948" s="236"/>
    </row>
    <row r="949">
      <c r="A949" s="236"/>
      <c r="B949" s="236"/>
    </row>
    <row r="950">
      <c r="A950" s="236"/>
      <c r="B950" s="236"/>
    </row>
    <row r="951">
      <c r="A951" s="236"/>
      <c r="B951" s="236"/>
    </row>
    <row r="952">
      <c r="A952" s="236"/>
      <c r="B952" s="236"/>
    </row>
    <row r="953">
      <c r="A953" s="236"/>
      <c r="B953" s="236"/>
    </row>
    <row r="954">
      <c r="A954" s="236"/>
      <c r="B954" s="236"/>
    </row>
    <row r="955">
      <c r="A955" s="236"/>
      <c r="B955" s="236"/>
    </row>
    <row r="956">
      <c r="A956" s="236"/>
      <c r="B956" s="236"/>
    </row>
    <row r="957">
      <c r="A957" s="236"/>
      <c r="B957" s="236"/>
    </row>
    <row r="958">
      <c r="A958" s="236"/>
      <c r="B958" s="236"/>
    </row>
    <row r="959">
      <c r="A959" s="236"/>
      <c r="B959" s="236"/>
    </row>
    <row r="960">
      <c r="A960" s="236"/>
      <c r="B960" s="236"/>
    </row>
    <row r="961">
      <c r="A961" s="236"/>
      <c r="B961" s="236"/>
    </row>
    <row r="962">
      <c r="A962" s="236"/>
      <c r="B962" s="236"/>
    </row>
    <row r="963">
      <c r="A963" s="236"/>
      <c r="B963" s="236"/>
    </row>
    <row r="964">
      <c r="A964" s="236"/>
      <c r="B964" s="236"/>
    </row>
    <row r="965">
      <c r="A965" s="236"/>
      <c r="B965" s="236"/>
    </row>
    <row r="966">
      <c r="A966" s="236"/>
      <c r="B966" s="236"/>
    </row>
    <row r="967">
      <c r="A967" s="236"/>
      <c r="B967" s="236"/>
    </row>
    <row r="968">
      <c r="A968" s="236"/>
      <c r="B968" s="236"/>
    </row>
    <row r="969">
      <c r="A969" s="236"/>
      <c r="B969" s="236"/>
    </row>
    <row r="970">
      <c r="A970" s="236"/>
      <c r="B970" s="236"/>
    </row>
    <row r="971">
      <c r="A971" s="236"/>
      <c r="B971" s="236"/>
    </row>
    <row r="972">
      <c r="A972" s="236"/>
      <c r="B972" s="236"/>
    </row>
    <row r="973">
      <c r="A973" s="236"/>
      <c r="B973" s="236"/>
    </row>
    <row r="974">
      <c r="A974" s="236"/>
      <c r="B974" s="236"/>
    </row>
    <row r="975">
      <c r="A975" s="236"/>
      <c r="B975" s="236"/>
    </row>
    <row r="976">
      <c r="A976" s="236"/>
      <c r="B976" s="236"/>
    </row>
    <row r="977">
      <c r="A977" s="236"/>
      <c r="B977" s="236"/>
    </row>
    <row r="978">
      <c r="A978" s="236"/>
      <c r="B978" s="236"/>
    </row>
    <row r="979">
      <c r="A979" s="236"/>
      <c r="B979" s="236"/>
    </row>
    <row r="980">
      <c r="A980" s="236"/>
      <c r="B980" s="236"/>
    </row>
    <row r="981">
      <c r="A981" s="236"/>
      <c r="B981" s="236"/>
    </row>
    <row r="982">
      <c r="A982" s="236"/>
      <c r="B982" s="236"/>
    </row>
    <row r="983">
      <c r="A983" s="236"/>
      <c r="B983" s="236"/>
    </row>
    <row r="984">
      <c r="A984" s="236"/>
      <c r="B984" s="236"/>
    </row>
    <row r="985">
      <c r="A985" s="236"/>
      <c r="B985" s="236"/>
    </row>
    <row r="986">
      <c r="A986" s="236"/>
      <c r="B986" s="236"/>
    </row>
    <row r="987">
      <c r="A987" s="236"/>
      <c r="B987" s="236"/>
    </row>
    <row r="988">
      <c r="A988" s="236"/>
      <c r="B988" s="236"/>
    </row>
    <row r="989">
      <c r="A989" s="236"/>
      <c r="B989" s="236"/>
    </row>
    <row r="990">
      <c r="A990" s="236"/>
      <c r="B990" s="236"/>
    </row>
    <row r="991">
      <c r="A991" s="236"/>
      <c r="B991" s="236"/>
    </row>
    <row r="992">
      <c r="A992" s="236"/>
      <c r="B992" s="236"/>
    </row>
    <row r="993">
      <c r="A993" s="236"/>
      <c r="B993" s="236"/>
    </row>
    <row r="994">
      <c r="A994" s="236"/>
      <c r="B994" s="236"/>
    </row>
    <row r="995">
      <c r="A995" s="236"/>
      <c r="B995" s="236"/>
    </row>
    <row r="996">
      <c r="A996" s="236"/>
      <c r="B996" s="236"/>
    </row>
    <row r="997">
      <c r="A997" s="236"/>
      <c r="B997" s="236"/>
    </row>
    <row r="998">
      <c r="A998" s="236"/>
      <c r="B998" s="236"/>
    </row>
    <row r="999">
      <c r="A999" s="236"/>
      <c r="B999" s="236"/>
    </row>
    <row r="1000">
      <c r="A1000" s="236"/>
      <c r="B1000" s="2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75"/>
  <cols>
    <col customWidth="1" min="1" max="1" width="1.57"/>
    <col customWidth="1" min="2" max="2" width="11.71"/>
    <col customWidth="1" min="3" max="3" width="24.43"/>
    <col customWidth="1" min="4" max="4" width="10.0"/>
    <col customWidth="1" min="5" max="5" width="14.43"/>
    <col customWidth="1" min="6" max="6" width="6.71"/>
    <col customWidth="1" min="7" max="7" width="17.0"/>
    <col customWidth="1" min="8" max="17" width="5.71"/>
    <col customWidth="1" min="18" max="18" width="7.71"/>
    <col customWidth="1" min="19" max="19" width="11.14"/>
    <col customWidth="1" min="20" max="20" width="10.71"/>
  </cols>
  <sheetData>
    <row r="1" ht="17.25" customHeight="1"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</row>
    <row r="2" ht="17.25" customHeight="1">
      <c r="B2" s="238" t="s">
        <v>278</v>
      </c>
      <c r="C2" s="239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ht="21.0" customHeight="1">
      <c r="B3" s="240" t="s">
        <v>279</v>
      </c>
      <c r="C3" s="179"/>
      <c r="D3" s="241" t="s">
        <v>280</v>
      </c>
      <c r="E3" s="242" t="s">
        <v>281</v>
      </c>
      <c r="F3" s="242" t="s">
        <v>282</v>
      </c>
      <c r="G3" s="242" t="s">
        <v>188</v>
      </c>
      <c r="H3" s="243" t="s">
        <v>283</v>
      </c>
      <c r="I3" s="243" t="s">
        <v>284</v>
      </c>
      <c r="J3" s="243" t="s">
        <v>285</v>
      </c>
      <c r="K3" s="243" t="s">
        <v>286</v>
      </c>
      <c r="L3" s="243" t="s">
        <v>287</v>
      </c>
      <c r="M3" s="243" t="s">
        <v>288</v>
      </c>
      <c r="N3" s="243" t="s">
        <v>289</v>
      </c>
      <c r="O3" s="243" t="s">
        <v>290</v>
      </c>
      <c r="P3" s="243" t="s">
        <v>291</v>
      </c>
      <c r="Q3" s="243" t="s">
        <v>292</v>
      </c>
      <c r="R3" s="244" t="s">
        <v>293</v>
      </c>
      <c r="S3" s="244" t="s">
        <v>294</v>
      </c>
      <c r="T3" s="245" t="s">
        <v>90</v>
      </c>
    </row>
    <row r="4" ht="21.0" customHeight="1">
      <c r="B4" s="182"/>
      <c r="C4" s="183"/>
      <c r="D4" s="164"/>
      <c r="E4" s="164"/>
      <c r="F4" s="164"/>
      <c r="G4" s="164"/>
      <c r="H4" s="243" t="s">
        <v>190</v>
      </c>
      <c r="I4" s="243" t="s">
        <v>191</v>
      </c>
      <c r="J4" s="243" t="s">
        <v>192</v>
      </c>
      <c r="K4" s="243" t="s">
        <v>193</v>
      </c>
      <c r="L4" s="243" t="s">
        <v>194</v>
      </c>
      <c r="M4" s="243" t="s">
        <v>195</v>
      </c>
      <c r="N4" s="243" t="s">
        <v>196</v>
      </c>
      <c r="O4" s="243" t="s">
        <v>197</v>
      </c>
      <c r="P4" s="243" t="s">
        <v>198</v>
      </c>
      <c r="Q4" s="243" t="s">
        <v>199</v>
      </c>
      <c r="R4" s="164"/>
      <c r="S4" s="164"/>
      <c r="T4" s="245"/>
    </row>
    <row r="5" ht="19.5" customHeight="1">
      <c r="B5" s="246" t="s">
        <v>295</v>
      </c>
      <c r="C5" s="246" t="s">
        <v>205</v>
      </c>
      <c r="D5" s="247">
        <v>18000.0</v>
      </c>
      <c r="E5" s="248" t="s">
        <v>296</v>
      </c>
      <c r="F5" s="248"/>
      <c r="G5" s="248"/>
      <c r="H5" s="249">
        <v>1.0</v>
      </c>
      <c r="I5" s="249">
        <v>1.0</v>
      </c>
      <c r="J5" s="249">
        <v>1.0</v>
      </c>
      <c r="K5" s="249">
        <v>1.0</v>
      </c>
      <c r="L5" s="249">
        <v>1.0</v>
      </c>
      <c r="M5" s="249">
        <v>1.0</v>
      </c>
      <c r="N5" s="249">
        <v>1.0</v>
      </c>
      <c r="O5" s="249">
        <v>1.0</v>
      </c>
      <c r="P5" s="249">
        <v>1.0</v>
      </c>
      <c r="Q5" s="249">
        <v>1.0</v>
      </c>
      <c r="R5" s="250">
        <f t="shared" ref="R5:R15" si="1">SUM(H5:Q5)</f>
        <v>10</v>
      </c>
      <c r="S5" s="251">
        <f t="shared" ref="S5:S15" si="2">+R5*D5</f>
        <v>180000</v>
      </c>
      <c r="T5" s="252"/>
    </row>
    <row r="6" ht="19.5" customHeight="1">
      <c r="B6" s="253"/>
      <c r="C6" s="253" t="s">
        <v>297</v>
      </c>
      <c r="D6" s="247">
        <f t="shared" ref="D6:D7" si="3">IF(E6="특급개발자",13000,IF(E6="고급개발자",11000,IF(E6="중급개발자",9000,6000)))</f>
        <v>11000</v>
      </c>
      <c r="E6" s="248" t="s">
        <v>298</v>
      </c>
      <c r="F6" s="248"/>
      <c r="G6" s="248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50">
        <f t="shared" si="1"/>
        <v>0</v>
      </c>
      <c r="S6" s="251">
        <f t="shared" si="2"/>
        <v>0</v>
      </c>
      <c r="T6" s="252"/>
    </row>
    <row r="7" ht="19.5" customHeight="1">
      <c r="B7" s="164"/>
      <c r="C7" s="164"/>
      <c r="D7" s="247">
        <f t="shared" si="3"/>
        <v>11000</v>
      </c>
      <c r="E7" s="248" t="s">
        <v>298</v>
      </c>
      <c r="F7" s="248"/>
      <c r="G7" s="248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50">
        <f t="shared" si="1"/>
        <v>0</v>
      </c>
      <c r="S7" s="251">
        <f t="shared" si="2"/>
        <v>0</v>
      </c>
      <c r="T7" s="254"/>
    </row>
    <row r="8" ht="19.5" customHeight="1">
      <c r="B8" s="255"/>
      <c r="C8" s="255" t="s">
        <v>299</v>
      </c>
      <c r="D8" s="256">
        <v>18000.0</v>
      </c>
      <c r="E8" s="248" t="s">
        <v>296</v>
      </c>
      <c r="F8" s="248"/>
      <c r="G8" s="248"/>
      <c r="H8" s="249">
        <v>1.0</v>
      </c>
      <c r="I8" s="249">
        <v>1.0</v>
      </c>
      <c r="J8" s="249">
        <v>1.0</v>
      </c>
      <c r="K8" s="249">
        <v>1.0</v>
      </c>
      <c r="L8" s="249">
        <v>1.0</v>
      </c>
      <c r="M8" s="249">
        <v>0.5</v>
      </c>
      <c r="N8" s="249">
        <v>0.5</v>
      </c>
      <c r="O8" s="257">
        <v>0.5</v>
      </c>
      <c r="P8" s="249"/>
      <c r="Q8" s="249"/>
      <c r="R8" s="250">
        <f t="shared" si="1"/>
        <v>6.5</v>
      </c>
      <c r="S8" s="251">
        <f t="shared" si="2"/>
        <v>117000</v>
      </c>
      <c r="T8" s="252"/>
    </row>
    <row r="9" ht="19.5" customHeight="1">
      <c r="B9" s="246"/>
      <c r="C9" s="246" t="s">
        <v>300</v>
      </c>
      <c r="D9" s="247">
        <v>40000.0</v>
      </c>
      <c r="E9" s="248" t="s">
        <v>296</v>
      </c>
      <c r="F9" s="248"/>
      <c r="G9" s="248"/>
      <c r="H9" s="249">
        <v>0.5</v>
      </c>
      <c r="I9" s="249">
        <v>0.5</v>
      </c>
      <c r="J9" s="249">
        <v>0.5</v>
      </c>
      <c r="K9" s="249">
        <v>0.5</v>
      </c>
      <c r="L9" s="249">
        <v>0.5</v>
      </c>
      <c r="M9" s="249">
        <v>0.2</v>
      </c>
      <c r="N9" s="249">
        <v>0.2</v>
      </c>
      <c r="O9" s="249"/>
      <c r="P9" s="249"/>
      <c r="Q9" s="249"/>
      <c r="R9" s="250">
        <f t="shared" si="1"/>
        <v>2.9</v>
      </c>
      <c r="S9" s="251">
        <f t="shared" si="2"/>
        <v>116000</v>
      </c>
      <c r="T9" s="252"/>
    </row>
    <row r="10" ht="19.5" customHeight="1">
      <c r="B10" s="246"/>
      <c r="C10" s="246" t="s">
        <v>301</v>
      </c>
      <c r="D10" s="247">
        <v>18000.0</v>
      </c>
      <c r="E10" s="248" t="s">
        <v>296</v>
      </c>
      <c r="F10" s="248"/>
      <c r="G10" s="248"/>
      <c r="H10" s="249">
        <v>0.5</v>
      </c>
      <c r="I10" s="249">
        <v>1.0</v>
      </c>
      <c r="J10" s="249">
        <v>1.0</v>
      </c>
      <c r="K10" s="249">
        <v>0.5</v>
      </c>
      <c r="L10" s="249">
        <v>0.5</v>
      </c>
      <c r="M10" s="249">
        <v>0.5</v>
      </c>
      <c r="N10" s="249">
        <v>0.2</v>
      </c>
      <c r="O10" s="249">
        <v>0.2</v>
      </c>
      <c r="P10" s="249"/>
      <c r="Q10" s="249"/>
      <c r="R10" s="250">
        <f t="shared" si="1"/>
        <v>4.4</v>
      </c>
      <c r="S10" s="251">
        <f t="shared" si="2"/>
        <v>79200</v>
      </c>
      <c r="T10" s="252"/>
    </row>
    <row r="11" ht="19.5" customHeight="1">
      <c r="B11" s="246"/>
      <c r="C11" s="246" t="s">
        <v>302</v>
      </c>
      <c r="D11" s="247">
        <v>9000.0</v>
      </c>
      <c r="E11" s="248" t="s">
        <v>303</v>
      </c>
      <c r="F11" s="248"/>
      <c r="G11" s="248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50">
        <f t="shared" si="1"/>
        <v>0</v>
      </c>
      <c r="S11" s="251">
        <f t="shared" si="2"/>
        <v>0</v>
      </c>
      <c r="T11" s="252"/>
    </row>
    <row r="12" ht="19.5" customHeight="1">
      <c r="B12" s="246" t="s">
        <v>304</v>
      </c>
      <c r="C12" s="246" t="s">
        <v>305</v>
      </c>
      <c r="D12" s="247">
        <f t="shared" ref="D12:D15" si="4">IF(E12="특급개발자",13000,IF(E12="고급개발자",11000,IF(E12="중급개발자",9000,6000)))</f>
        <v>13000</v>
      </c>
      <c r="E12" s="248" t="s">
        <v>306</v>
      </c>
      <c r="F12" s="248"/>
      <c r="G12" s="248"/>
      <c r="H12" s="249">
        <v>1.0</v>
      </c>
      <c r="I12" s="249">
        <v>1.0</v>
      </c>
      <c r="J12" s="249">
        <v>1.0</v>
      </c>
      <c r="K12" s="249">
        <v>1.0</v>
      </c>
      <c r="L12" s="249">
        <v>1.0</v>
      </c>
      <c r="M12" s="249">
        <v>1.0</v>
      </c>
      <c r="N12" s="249">
        <v>1.0</v>
      </c>
      <c r="O12" s="249">
        <v>1.0</v>
      </c>
      <c r="P12" s="249">
        <v>1.0</v>
      </c>
      <c r="Q12" s="249">
        <v>1.0</v>
      </c>
      <c r="R12" s="250">
        <f t="shared" si="1"/>
        <v>10</v>
      </c>
      <c r="S12" s="251">
        <f t="shared" si="2"/>
        <v>130000</v>
      </c>
      <c r="T12" s="252"/>
    </row>
    <row r="13" ht="19.5" customHeight="1">
      <c r="B13" s="246"/>
      <c r="C13" s="246"/>
      <c r="D13" s="247">
        <f t="shared" si="4"/>
        <v>13000</v>
      </c>
      <c r="E13" s="248" t="s">
        <v>306</v>
      </c>
      <c r="F13" s="248"/>
      <c r="G13" s="248"/>
      <c r="H13" s="249"/>
      <c r="I13" s="249">
        <v>0.5</v>
      </c>
      <c r="J13" s="249">
        <v>1.0</v>
      </c>
      <c r="K13" s="249">
        <v>1.0</v>
      </c>
      <c r="L13" s="249">
        <v>1.0</v>
      </c>
      <c r="M13" s="257">
        <v>1.0</v>
      </c>
      <c r="N13" s="257">
        <v>1.0</v>
      </c>
      <c r="O13" s="249"/>
      <c r="P13" s="249"/>
      <c r="Q13" s="249"/>
      <c r="R13" s="250">
        <f t="shared" si="1"/>
        <v>5.5</v>
      </c>
      <c r="S13" s="251">
        <f t="shared" si="2"/>
        <v>71500</v>
      </c>
      <c r="T13" s="252"/>
    </row>
    <row r="14" ht="19.5" customHeight="1">
      <c r="B14" s="246"/>
      <c r="C14" s="246"/>
      <c r="D14" s="247">
        <f t="shared" si="4"/>
        <v>9000</v>
      </c>
      <c r="E14" s="248" t="s">
        <v>303</v>
      </c>
      <c r="F14" s="248"/>
      <c r="G14" s="248"/>
      <c r="H14" s="249"/>
      <c r="I14" s="257">
        <v>1.0</v>
      </c>
      <c r="J14" s="249">
        <v>1.0</v>
      </c>
      <c r="K14" s="249">
        <v>1.0</v>
      </c>
      <c r="L14" s="249">
        <v>1.0</v>
      </c>
      <c r="M14" s="249">
        <v>1.0</v>
      </c>
      <c r="N14" s="249">
        <v>1.0</v>
      </c>
      <c r="O14" s="249">
        <v>1.0</v>
      </c>
      <c r="P14" s="249">
        <v>1.0</v>
      </c>
      <c r="Q14" s="249"/>
      <c r="R14" s="250">
        <f t="shared" si="1"/>
        <v>8</v>
      </c>
      <c r="S14" s="251">
        <f t="shared" si="2"/>
        <v>72000</v>
      </c>
      <c r="T14" s="252"/>
    </row>
    <row r="15" ht="19.5" customHeight="1">
      <c r="B15" s="246"/>
      <c r="C15" s="246"/>
      <c r="D15" s="247">
        <f t="shared" si="4"/>
        <v>6000</v>
      </c>
      <c r="E15" s="248" t="s">
        <v>307</v>
      </c>
      <c r="F15" s="248"/>
      <c r="G15" s="248"/>
      <c r="H15" s="249"/>
      <c r="I15" s="257">
        <v>1.0</v>
      </c>
      <c r="J15" s="249">
        <v>1.0</v>
      </c>
      <c r="K15" s="249">
        <v>1.0</v>
      </c>
      <c r="L15" s="249">
        <v>1.0</v>
      </c>
      <c r="M15" s="249">
        <v>1.0</v>
      </c>
      <c r="N15" s="249">
        <v>1.0</v>
      </c>
      <c r="O15" s="249">
        <v>1.0</v>
      </c>
      <c r="P15" s="249">
        <v>1.0</v>
      </c>
      <c r="Q15" s="249"/>
      <c r="R15" s="250">
        <f t="shared" si="1"/>
        <v>8</v>
      </c>
      <c r="S15" s="251">
        <f t="shared" si="2"/>
        <v>48000</v>
      </c>
      <c r="T15" s="252"/>
    </row>
    <row r="16" ht="33.75" customHeight="1">
      <c r="B16" s="258" t="s">
        <v>293</v>
      </c>
      <c r="C16" s="258"/>
      <c r="D16" s="258"/>
      <c r="E16" s="259"/>
      <c r="F16" s="248"/>
      <c r="G16" s="260"/>
      <c r="H16" s="261">
        <f t="shared" ref="H16:K16" si="5">SUM(H5:H15)</f>
        <v>4</v>
      </c>
      <c r="I16" s="261">
        <f t="shared" si="5"/>
        <v>7</v>
      </c>
      <c r="J16" s="261">
        <f t="shared" si="5"/>
        <v>7.5</v>
      </c>
      <c r="K16" s="261">
        <f t="shared" si="5"/>
        <v>7</v>
      </c>
      <c r="L16" s="261"/>
      <c r="M16" s="261"/>
      <c r="N16" s="261"/>
      <c r="O16" s="261">
        <f t="shared" ref="O16:S16" si="6">SUM(O5:O15)</f>
        <v>4.7</v>
      </c>
      <c r="P16" s="261">
        <f t="shared" si="6"/>
        <v>4</v>
      </c>
      <c r="Q16" s="261">
        <f t="shared" si="6"/>
        <v>2</v>
      </c>
      <c r="R16" s="262">
        <f t="shared" si="6"/>
        <v>55.3</v>
      </c>
      <c r="S16" s="251">
        <f t="shared" si="6"/>
        <v>813700</v>
      </c>
      <c r="T16" s="248"/>
    </row>
    <row r="17" ht="21.75" customHeight="1"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</row>
    <row r="18" ht="17.25" customHeight="1">
      <c r="E18" s="263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64"/>
      <c r="S18" s="264"/>
    </row>
    <row r="19" ht="17.25" customHeight="1">
      <c r="E19" s="265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</row>
    <row r="20" ht="17.25" customHeight="1"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</row>
    <row r="21" ht="17.25" customHeight="1"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</row>
    <row r="22" ht="17.25" customHeight="1"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</row>
    <row r="23" ht="17.25" customHeight="1"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</row>
    <row r="24" ht="17.25" customHeight="1"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</row>
    <row r="25" ht="17.25" customHeight="1"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</row>
    <row r="26" ht="17.25" customHeight="1"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</row>
    <row r="27" ht="17.25" customHeight="1"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</row>
    <row r="28" ht="17.25" customHeight="1"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</row>
    <row r="29" ht="17.25" customHeight="1"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</row>
    <row r="30" ht="17.25" customHeight="1"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</row>
    <row r="31" ht="17.25" customHeight="1"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</row>
    <row r="32" ht="17.25" customHeight="1"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</row>
    <row r="33" ht="17.25" customHeight="1"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</row>
    <row r="34" ht="17.25" customHeight="1"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</row>
    <row r="35" ht="17.25" customHeight="1"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</row>
    <row r="36" ht="17.25" customHeight="1"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</row>
    <row r="37" ht="17.25" customHeight="1"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</row>
    <row r="38" ht="17.25" customHeight="1"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</row>
    <row r="39" ht="17.25" customHeight="1"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</row>
    <row r="40" ht="17.25" customHeight="1"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</row>
    <row r="41" ht="17.25" customHeight="1"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</row>
    <row r="42" ht="17.25" customHeight="1"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</row>
    <row r="43" ht="17.25" customHeight="1"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</row>
    <row r="44" ht="17.25" customHeight="1"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</row>
    <row r="45" ht="17.25" customHeight="1"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</row>
    <row r="46" ht="17.25" customHeight="1"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</row>
    <row r="47" ht="17.25" customHeight="1"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</row>
    <row r="48" ht="17.25" customHeight="1"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</row>
    <row r="49" ht="17.25" customHeight="1"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</row>
    <row r="50" ht="17.25" customHeight="1"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</row>
    <row r="51" ht="17.25" customHeight="1"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</row>
    <row r="52" ht="17.25" customHeight="1"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</row>
    <row r="53" ht="17.25" customHeight="1"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</row>
    <row r="54" ht="17.25" customHeight="1"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</row>
    <row r="55" ht="17.25" customHeight="1"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</row>
    <row r="56" ht="17.25" customHeight="1"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</row>
    <row r="57" ht="17.25" customHeight="1"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</row>
    <row r="58" ht="17.25" customHeight="1"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</row>
    <row r="59" ht="17.25" customHeight="1"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</row>
    <row r="60" ht="17.25" customHeight="1"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</row>
    <row r="61" ht="17.25" customHeight="1"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</row>
    <row r="62" ht="17.25" customHeight="1"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</row>
    <row r="63" ht="17.25" customHeight="1"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</row>
    <row r="64" ht="17.25" customHeight="1"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</row>
    <row r="65" ht="17.25" customHeight="1"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</row>
    <row r="66" ht="17.25" customHeight="1"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</row>
    <row r="67" ht="17.25" customHeight="1"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</row>
    <row r="68" ht="17.25" customHeight="1"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</row>
    <row r="69" ht="17.25" customHeight="1"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</row>
    <row r="70" ht="17.25" customHeight="1"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</row>
    <row r="71" ht="17.25" customHeight="1"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</row>
    <row r="72" ht="17.25" customHeight="1"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</row>
    <row r="73" ht="17.25" customHeight="1"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</row>
    <row r="74" ht="17.25" customHeight="1"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</row>
    <row r="75" ht="17.25" customHeight="1"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</row>
    <row r="76" ht="17.25" customHeight="1"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</row>
    <row r="77" ht="17.25" customHeight="1"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</row>
    <row r="78" ht="17.25" customHeight="1"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</row>
    <row r="79" ht="17.25" customHeight="1"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</row>
    <row r="80" ht="17.25" customHeight="1"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</row>
    <row r="81" ht="17.25" customHeight="1"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</row>
    <row r="82" ht="17.25" customHeight="1"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</row>
    <row r="83" ht="17.25" customHeight="1"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</row>
    <row r="84" ht="17.25" customHeight="1"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</row>
    <row r="85" ht="17.25" customHeight="1"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</row>
    <row r="86" ht="17.25" customHeight="1"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</row>
    <row r="87" ht="17.25" customHeight="1"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</row>
    <row r="88" ht="17.25" customHeight="1"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</row>
    <row r="89" ht="17.25" customHeight="1"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</row>
    <row r="90" ht="17.25" customHeight="1"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</row>
    <row r="91" ht="17.25" customHeight="1"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</row>
    <row r="92" ht="17.25" customHeight="1"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</row>
    <row r="93" ht="17.25" customHeight="1"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</row>
    <row r="94" ht="17.25" customHeight="1"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</row>
    <row r="95" ht="17.25" customHeight="1"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</row>
    <row r="96" ht="17.25" customHeight="1"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</row>
    <row r="97" ht="17.25" customHeight="1"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</row>
    <row r="98" ht="17.25" customHeight="1"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</row>
    <row r="99" ht="17.25" customHeight="1"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</row>
    <row r="100" ht="17.25" customHeight="1"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</row>
    <row r="101" ht="17.25" customHeight="1"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</row>
    <row r="102" ht="17.25" customHeight="1"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</row>
    <row r="103" ht="17.25" customHeight="1"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</row>
    <row r="104" ht="17.25" customHeight="1"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</row>
    <row r="105" ht="17.25" customHeight="1"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</row>
    <row r="106" ht="17.25" customHeight="1"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</row>
    <row r="107" ht="17.25" customHeight="1"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</row>
    <row r="108" ht="17.25" customHeight="1"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</row>
    <row r="109" ht="17.25" customHeight="1"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</row>
    <row r="110" ht="17.25" customHeight="1"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</row>
    <row r="111" ht="17.25" customHeight="1"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</row>
    <row r="112" ht="17.25" customHeight="1"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</row>
    <row r="113" ht="17.25" customHeight="1"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</row>
    <row r="114" ht="17.25" customHeight="1"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</row>
    <row r="115" ht="17.25" customHeight="1"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</row>
    <row r="116" ht="17.25" customHeight="1"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</row>
    <row r="117" ht="17.25" customHeight="1"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</row>
    <row r="118" ht="17.25" customHeight="1"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</row>
    <row r="119" ht="17.25" customHeight="1"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</row>
    <row r="120" ht="17.25" customHeight="1"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</row>
    <row r="121" ht="17.25" customHeight="1"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</row>
    <row r="122" ht="17.25" customHeight="1"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</row>
    <row r="123" ht="17.25" customHeight="1"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</row>
    <row r="124" ht="17.25" customHeight="1"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</row>
    <row r="125" ht="17.25" customHeight="1"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</row>
    <row r="126" ht="17.25" customHeight="1"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</row>
    <row r="127" ht="17.25" customHeight="1"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</row>
    <row r="128" ht="17.25" customHeight="1"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</row>
    <row r="129" ht="17.25" customHeight="1"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</row>
    <row r="130" ht="17.25" customHeight="1"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</row>
    <row r="131" ht="17.25" customHeight="1"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</row>
    <row r="132" ht="17.25" customHeight="1"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</row>
    <row r="133" ht="17.25" customHeight="1"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</row>
    <row r="134" ht="17.25" customHeight="1"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</row>
    <row r="135" ht="17.25" customHeight="1"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</row>
    <row r="136" ht="17.25" customHeight="1"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</row>
    <row r="137" ht="17.25" customHeight="1"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</row>
    <row r="138" ht="17.25" customHeight="1"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</row>
    <row r="139" ht="17.25" customHeight="1"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</row>
    <row r="140" ht="17.25" customHeight="1"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</row>
    <row r="141" ht="17.25" customHeight="1"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</row>
    <row r="142" ht="17.25" customHeight="1"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</row>
    <row r="143" ht="17.25" customHeight="1"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</row>
    <row r="144" ht="17.25" customHeight="1"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</row>
    <row r="145" ht="17.25" customHeight="1"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</row>
    <row r="146" ht="17.25" customHeight="1"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</row>
    <row r="147" ht="17.25" customHeight="1"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</row>
    <row r="148" ht="17.25" customHeight="1"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</row>
    <row r="149" ht="17.25" customHeight="1"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</row>
    <row r="150" ht="17.25" customHeight="1"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</row>
    <row r="151" ht="17.25" customHeight="1"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</row>
    <row r="152" ht="17.25" customHeight="1"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</row>
    <row r="153" ht="17.25" customHeight="1"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</row>
    <row r="154" ht="17.25" customHeight="1"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</row>
    <row r="155" ht="17.25" customHeight="1"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</row>
    <row r="156" ht="17.25" customHeight="1"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</row>
    <row r="157" ht="17.25" customHeight="1"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</row>
    <row r="158" ht="17.25" customHeight="1"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</row>
    <row r="159" ht="17.25" customHeight="1"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</row>
    <row r="160" ht="17.25" customHeight="1"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</row>
    <row r="161" ht="17.25" customHeight="1"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</row>
    <row r="162" ht="17.25" customHeight="1"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</row>
    <row r="163" ht="17.25" customHeight="1"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</row>
    <row r="164" ht="17.25" customHeight="1"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</row>
    <row r="165" ht="17.25" customHeight="1"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</row>
    <row r="166" ht="17.25" customHeight="1"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</row>
    <row r="167" ht="17.25" customHeight="1"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</row>
    <row r="168" ht="17.25" customHeight="1"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</row>
    <row r="169" ht="17.25" customHeight="1"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</row>
    <row r="170" ht="17.25" customHeight="1"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</row>
    <row r="171" ht="17.25" customHeight="1"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</row>
    <row r="172" ht="17.25" customHeight="1"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</row>
    <row r="173" ht="17.25" customHeight="1"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</row>
    <row r="174" ht="17.25" customHeight="1"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</row>
    <row r="175" ht="17.25" customHeight="1"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</row>
    <row r="176" ht="17.25" customHeight="1"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</row>
    <row r="177" ht="17.25" customHeight="1"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</row>
    <row r="178" ht="17.25" customHeight="1"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</row>
    <row r="179" ht="17.25" customHeight="1"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</row>
    <row r="180" ht="17.25" customHeight="1"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</row>
    <row r="181" ht="17.25" customHeight="1"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</row>
    <row r="182" ht="17.25" customHeight="1"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</row>
    <row r="183" ht="17.25" customHeight="1"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</row>
    <row r="184" ht="17.25" customHeight="1"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</row>
    <row r="185" ht="17.25" customHeight="1"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</row>
    <row r="186" ht="17.25" customHeight="1"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</row>
    <row r="187" ht="17.25" customHeight="1"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</row>
    <row r="188" ht="17.25" customHeight="1"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</row>
    <row r="189" ht="17.25" customHeight="1"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</row>
    <row r="190" ht="17.25" customHeight="1"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</row>
    <row r="191" ht="17.25" customHeight="1"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</row>
    <row r="192" ht="17.25" customHeight="1"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</row>
    <row r="193" ht="17.25" customHeight="1"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</row>
    <row r="194" ht="17.25" customHeight="1"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</row>
    <row r="195" ht="17.25" customHeight="1"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</row>
    <row r="196" ht="17.25" customHeight="1"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</row>
    <row r="197" ht="17.25" customHeight="1"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</row>
    <row r="198" ht="17.25" customHeight="1"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</row>
    <row r="199" ht="17.25" customHeight="1"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</row>
    <row r="200" ht="17.25" customHeight="1"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</row>
    <row r="201" ht="17.25" customHeight="1"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</row>
    <row r="202" ht="17.25" customHeight="1"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</row>
    <row r="203" ht="17.25" customHeight="1"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</row>
    <row r="204" ht="17.25" customHeight="1"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</row>
    <row r="205" ht="17.25" customHeight="1"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</row>
    <row r="206" ht="17.25" customHeight="1"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</row>
    <row r="207" ht="17.25" customHeight="1"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</row>
    <row r="208" ht="17.25" customHeight="1"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</row>
    <row r="209" ht="17.25" customHeight="1"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</row>
    <row r="210" ht="17.25" customHeight="1"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</row>
    <row r="211" ht="17.25" customHeight="1"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</row>
    <row r="212" ht="17.25" customHeight="1"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</row>
    <row r="213" ht="17.25" customHeight="1"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</row>
    <row r="214" ht="17.25" customHeight="1"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</row>
    <row r="215" ht="17.25" customHeight="1"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</row>
    <row r="216" ht="17.25" customHeight="1"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</row>
    <row r="217" ht="17.25" customHeight="1"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</row>
    <row r="218" ht="17.25" customHeight="1"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</row>
    <row r="219" ht="17.25" customHeight="1"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</row>
    <row r="220" ht="17.25" customHeight="1"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</row>
    <row r="221" ht="17.25" customHeight="1"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</row>
    <row r="222" ht="17.25" customHeight="1"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</row>
    <row r="223" ht="17.25" customHeight="1"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</row>
    <row r="224" ht="17.25" customHeight="1"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</row>
    <row r="225" ht="17.25" customHeight="1"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</row>
    <row r="226" ht="17.25" customHeight="1"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</row>
    <row r="227" ht="17.25" customHeight="1"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</row>
    <row r="228" ht="17.25" customHeight="1"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</row>
    <row r="229" ht="17.25" customHeight="1"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</row>
    <row r="230" ht="17.25" customHeight="1"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</row>
    <row r="231" ht="17.25" customHeight="1"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</row>
    <row r="232" ht="17.25" customHeight="1"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</row>
    <row r="233" ht="17.25" customHeight="1"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</row>
    <row r="234" ht="17.25" customHeight="1"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</row>
    <row r="235" ht="17.25" customHeight="1"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</row>
    <row r="236" ht="17.25" customHeight="1"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</row>
    <row r="237" ht="17.25" customHeight="1"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</row>
    <row r="238" ht="17.25" customHeight="1"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</row>
    <row r="239" ht="17.25" customHeight="1"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</row>
    <row r="240" ht="17.25" customHeight="1"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</row>
    <row r="241" ht="17.25" customHeight="1"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</row>
    <row r="242" ht="17.25" customHeight="1"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</row>
    <row r="243" ht="17.25" customHeight="1"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</row>
    <row r="244" ht="17.25" customHeight="1"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</row>
    <row r="245" ht="17.25" customHeight="1"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</row>
    <row r="246" ht="17.25" customHeight="1"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</row>
    <row r="247" ht="17.25" customHeight="1"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</row>
    <row r="248" ht="17.25" customHeight="1"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</row>
    <row r="249" ht="17.25" customHeight="1"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</row>
    <row r="250" ht="17.25" customHeight="1"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</row>
    <row r="251" ht="17.25" customHeight="1"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</row>
    <row r="252" ht="17.25" customHeight="1"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</row>
    <row r="253" ht="17.25" customHeight="1"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</row>
    <row r="254" ht="17.25" customHeight="1"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</row>
    <row r="255" ht="17.25" customHeight="1"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</row>
    <row r="256" ht="17.25" customHeight="1"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</row>
    <row r="257" ht="17.25" customHeight="1"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</row>
    <row r="258" ht="17.25" customHeight="1"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</row>
    <row r="259" ht="17.25" customHeight="1"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</row>
    <row r="260" ht="17.25" customHeight="1"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</row>
    <row r="261" ht="17.25" customHeight="1"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</row>
    <row r="262" ht="17.25" customHeight="1"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</row>
    <row r="263" ht="17.25" customHeight="1"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</row>
    <row r="264" ht="17.25" customHeight="1"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</row>
    <row r="265" ht="17.25" customHeight="1"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</row>
    <row r="266" ht="17.25" customHeight="1"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</row>
    <row r="267" ht="17.25" customHeight="1"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</row>
    <row r="268" ht="17.25" customHeight="1"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</row>
    <row r="269" ht="17.25" customHeight="1"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</row>
    <row r="270" ht="17.25" customHeight="1"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</row>
    <row r="271" ht="17.25" customHeight="1"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</row>
    <row r="272" ht="17.25" customHeight="1"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</row>
    <row r="273" ht="17.25" customHeight="1"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</row>
    <row r="274" ht="17.25" customHeight="1"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</row>
    <row r="275" ht="17.25" customHeight="1"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</row>
    <row r="276" ht="17.25" customHeight="1"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</row>
    <row r="277" ht="17.25" customHeight="1"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</row>
    <row r="278" ht="17.25" customHeight="1"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</row>
    <row r="279" ht="17.25" customHeight="1"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</row>
    <row r="280" ht="17.25" customHeight="1"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</row>
    <row r="281" ht="17.25" customHeight="1"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</row>
    <row r="282" ht="17.25" customHeight="1"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</row>
    <row r="283" ht="17.25" customHeight="1"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</row>
    <row r="284" ht="17.25" customHeight="1"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</row>
    <row r="285" ht="17.25" customHeight="1"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</row>
    <row r="286" ht="17.25" customHeight="1"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</row>
    <row r="287" ht="17.25" customHeight="1"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</row>
    <row r="288" ht="17.25" customHeight="1"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</row>
    <row r="289" ht="17.25" customHeight="1"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</row>
    <row r="290" ht="17.25" customHeight="1"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</row>
    <row r="291" ht="17.25" customHeight="1"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</row>
    <row r="292" ht="17.25" customHeight="1"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</row>
    <row r="293" ht="17.25" customHeight="1"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</row>
    <row r="294" ht="17.25" customHeight="1"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</row>
    <row r="295" ht="17.25" customHeight="1"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</row>
    <row r="296" ht="17.25" customHeight="1"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</row>
    <row r="297" ht="17.25" customHeight="1"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</row>
    <row r="298" ht="17.25" customHeight="1"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</row>
    <row r="299" ht="17.25" customHeight="1"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</row>
    <row r="300" ht="17.25" customHeight="1"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</row>
    <row r="301" ht="17.25" customHeight="1"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</row>
    <row r="302" ht="17.25" customHeight="1"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</row>
    <row r="303" ht="17.25" customHeight="1"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</row>
    <row r="304" ht="17.25" customHeight="1"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</row>
    <row r="305" ht="17.25" customHeight="1"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</row>
    <row r="306" ht="17.25" customHeight="1"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</row>
    <row r="307" ht="17.25" customHeight="1"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</row>
    <row r="308" ht="17.25" customHeight="1"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</row>
    <row r="309" ht="17.25" customHeight="1"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</row>
    <row r="310" ht="17.25" customHeight="1"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</row>
    <row r="311" ht="17.25" customHeight="1"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</row>
    <row r="312" ht="17.25" customHeight="1"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</row>
    <row r="313" ht="17.25" customHeight="1"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</row>
    <row r="314" ht="17.25" customHeight="1"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</row>
    <row r="315" ht="17.25" customHeight="1"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</row>
    <row r="316" ht="17.25" customHeight="1"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</row>
    <row r="317" ht="17.25" customHeight="1"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</row>
    <row r="318" ht="17.25" customHeight="1"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</row>
    <row r="319" ht="17.25" customHeight="1"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</row>
    <row r="320" ht="17.25" customHeight="1"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</row>
    <row r="321" ht="17.25" customHeight="1"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</row>
    <row r="322" ht="17.25" customHeight="1"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</row>
    <row r="323" ht="17.25" customHeight="1"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</row>
    <row r="324" ht="17.25" customHeight="1"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</row>
    <row r="325" ht="17.25" customHeight="1"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</row>
    <row r="326" ht="17.25" customHeight="1"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</row>
    <row r="327" ht="17.25" customHeight="1"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</row>
    <row r="328" ht="17.25" customHeight="1"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</row>
    <row r="329" ht="17.25" customHeight="1"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</row>
    <row r="330" ht="17.25" customHeight="1"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</row>
    <row r="331" ht="17.25" customHeight="1"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</row>
    <row r="332" ht="17.25" customHeight="1"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</row>
    <row r="333" ht="17.25" customHeight="1"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</row>
    <row r="334" ht="17.25" customHeight="1"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</row>
    <row r="335" ht="17.25" customHeight="1"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</row>
    <row r="336" ht="17.25" customHeight="1"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</row>
    <row r="337" ht="17.25" customHeight="1"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</row>
    <row r="338" ht="17.25" customHeight="1"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</row>
    <row r="339" ht="17.25" customHeight="1"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</row>
    <row r="340" ht="17.25" customHeight="1"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</row>
    <row r="341" ht="17.25" customHeight="1"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</row>
    <row r="342" ht="17.25" customHeight="1"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</row>
    <row r="343" ht="17.25" customHeight="1"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</row>
    <row r="344" ht="17.25" customHeight="1"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</row>
    <row r="345" ht="17.25" customHeight="1"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</row>
    <row r="346" ht="17.25" customHeight="1"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</row>
    <row r="347" ht="17.25" customHeight="1"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</row>
    <row r="348" ht="17.25" customHeight="1"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</row>
    <row r="349" ht="17.25" customHeight="1"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</row>
    <row r="350" ht="17.25" customHeight="1"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</row>
    <row r="351" ht="17.25" customHeight="1"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</row>
    <row r="352" ht="17.25" customHeight="1"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</row>
    <row r="353" ht="17.25" customHeight="1"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</row>
    <row r="354" ht="17.25" customHeight="1"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</row>
    <row r="355" ht="17.25" customHeight="1"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</row>
    <row r="356" ht="17.25" customHeight="1"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</row>
    <row r="357" ht="17.25" customHeight="1"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</row>
    <row r="358" ht="17.25" customHeight="1"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</row>
    <row r="359" ht="17.25" customHeight="1"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</row>
    <row r="360" ht="17.25" customHeight="1"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</row>
    <row r="361" ht="17.25" customHeight="1"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</row>
    <row r="362" ht="17.25" customHeight="1"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</row>
    <row r="363" ht="17.25" customHeight="1"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</row>
    <row r="364" ht="17.25" customHeight="1"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</row>
    <row r="365" ht="17.25" customHeight="1"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</row>
    <row r="366" ht="17.25" customHeight="1"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</row>
    <row r="367" ht="17.25" customHeight="1"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</row>
    <row r="368" ht="17.25" customHeight="1"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</row>
    <row r="369" ht="17.25" customHeight="1"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</row>
    <row r="370" ht="17.25" customHeight="1"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</row>
    <row r="371" ht="17.25" customHeight="1"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</row>
    <row r="372" ht="17.25" customHeight="1"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</row>
    <row r="373" ht="17.25" customHeight="1"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</row>
    <row r="374" ht="17.25" customHeight="1"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</row>
    <row r="375" ht="17.25" customHeight="1"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</row>
    <row r="376" ht="17.25" customHeight="1"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</row>
    <row r="377" ht="17.25" customHeight="1"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</row>
    <row r="378" ht="17.25" customHeight="1"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</row>
    <row r="379" ht="17.25" customHeight="1"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</row>
    <row r="380" ht="17.25" customHeight="1"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</row>
    <row r="381" ht="17.25" customHeight="1"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</row>
    <row r="382" ht="17.25" customHeight="1"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</row>
    <row r="383" ht="17.25" customHeight="1"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</row>
    <row r="384" ht="17.25" customHeight="1"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</row>
    <row r="385" ht="17.25" customHeight="1"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</row>
    <row r="386" ht="17.25" customHeight="1"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</row>
    <row r="387" ht="17.25" customHeight="1"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</row>
    <row r="388" ht="17.25" customHeight="1"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</row>
    <row r="389" ht="17.25" customHeight="1"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</row>
    <row r="390" ht="17.25" customHeight="1"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</row>
    <row r="391" ht="17.25" customHeight="1"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</row>
    <row r="392" ht="17.25" customHeight="1"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</row>
    <row r="393" ht="17.25" customHeight="1"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</row>
    <row r="394" ht="17.25" customHeight="1"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</row>
    <row r="395" ht="17.25" customHeight="1"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</row>
    <row r="396" ht="17.25" customHeight="1"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</row>
    <row r="397" ht="17.25" customHeight="1"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</row>
    <row r="398" ht="17.25" customHeight="1"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</row>
    <row r="399" ht="17.25" customHeight="1"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</row>
    <row r="400" ht="17.25" customHeight="1"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</row>
    <row r="401" ht="17.25" customHeight="1"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</row>
    <row r="402" ht="17.25" customHeight="1"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</row>
    <row r="403" ht="17.25" customHeight="1"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</row>
    <row r="404" ht="17.25" customHeight="1"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</row>
    <row r="405" ht="17.25" customHeight="1"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</row>
    <row r="406" ht="17.25" customHeight="1"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</row>
    <row r="407" ht="17.25" customHeight="1"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</row>
    <row r="408" ht="17.25" customHeight="1"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</row>
    <row r="409" ht="17.25" customHeight="1"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</row>
    <row r="410" ht="17.25" customHeight="1"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</row>
    <row r="411" ht="17.25" customHeight="1"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</row>
    <row r="412" ht="17.25" customHeight="1"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</row>
    <row r="413" ht="17.25" customHeight="1"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</row>
    <row r="414" ht="17.25" customHeight="1"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</row>
    <row r="415" ht="17.25" customHeight="1"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</row>
    <row r="416" ht="17.25" customHeight="1"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</row>
    <row r="417" ht="17.25" customHeight="1"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</row>
    <row r="418" ht="17.25" customHeight="1"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</row>
    <row r="419" ht="17.25" customHeight="1"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</row>
    <row r="420" ht="17.25" customHeight="1"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</row>
    <row r="421" ht="17.25" customHeight="1"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</row>
    <row r="422" ht="17.25" customHeight="1"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</row>
    <row r="423" ht="17.25" customHeight="1"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</row>
    <row r="424" ht="17.25" customHeight="1"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</row>
    <row r="425" ht="17.25" customHeight="1"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</row>
    <row r="426" ht="17.25" customHeight="1"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</row>
    <row r="427" ht="17.25" customHeight="1"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</row>
    <row r="428" ht="17.25" customHeight="1"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</row>
    <row r="429" ht="17.25" customHeight="1"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</row>
    <row r="430" ht="17.25" customHeight="1"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</row>
    <row r="431" ht="17.25" customHeight="1"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</row>
    <row r="432" ht="17.25" customHeight="1"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</row>
    <row r="433" ht="17.25" customHeight="1"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</row>
    <row r="434" ht="17.25" customHeight="1"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</row>
    <row r="435" ht="17.25" customHeight="1"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</row>
    <row r="436" ht="17.25" customHeight="1"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</row>
    <row r="437" ht="17.25" customHeight="1"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</row>
    <row r="438" ht="17.25" customHeight="1"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</row>
    <row r="439" ht="17.25" customHeight="1"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</row>
    <row r="440" ht="17.25" customHeight="1"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</row>
    <row r="441" ht="17.25" customHeight="1"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</row>
    <row r="442" ht="17.25" customHeight="1"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</row>
    <row r="443" ht="17.25" customHeight="1"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</row>
    <row r="444" ht="17.25" customHeight="1"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</row>
    <row r="445" ht="17.25" customHeight="1"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</row>
    <row r="446" ht="17.25" customHeight="1"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</row>
    <row r="447" ht="17.25" customHeight="1"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</row>
    <row r="448" ht="17.25" customHeight="1"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</row>
    <row r="449" ht="17.25" customHeight="1"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</row>
    <row r="450" ht="17.25" customHeight="1"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</row>
    <row r="451" ht="17.25" customHeight="1"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</row>
    <row r="452" ht="17.25" customHeight="1"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</row>
    <row r="453" ht="17.25" customHeight="1"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</row>
    <row r="454" ht="17.25" customHeight="1"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</row>
    <row r="455" ht="17.25" customHeight="1"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</row>
    <row r="456" ht="17.25" customHeight="1"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</row>
    <row r="457" ht="17.25" customHeight="1"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</row>
    <row r="458" ht="17.25" customHeight="1"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</row>
    <row r="459" ht="17.25" customHeight="1"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</row>
    <row r="460" ht="17.25" customHeight="1"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</row>
    <row r="461" ht="17.25" customHeight="1"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</row>
    <row r="462" ht="17.25" customHeight="1"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</row>
    <row r="463" ht="17.25" customHeight="1"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</row>
    <row r="464" ht="17.25" customHeight="1"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</row>
    <row r="465" ht="17.25" customHeight="1"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</row>
    <row r="466" ht="17.25" customHeight="1"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</row>
    <row r="467" ht="17.25" customHeight="1"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</row>
    <row r="468" ht="17.25" customHeight="1"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</row>
    <row r="469" ht="17.25" customHeight="1"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</row>
    <row r="470" ht="17.25" customHeight="1"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</row>
    <row r="471" ht="17.25" customHeight="1"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</row>
    <row r="472" ht="17.25" customHeight="1"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</row>
    <row r="473" ht="17.25" customHeight="1"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</row>
    <row r="474" ht="17.25" customHeight="1"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</row>
    <row r="475" ht="17.25" customHeight="1"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</row>
    <row r="476" ht="17.25" customHeight="1"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</row>
    <row r="477" ht="17.25" customHeight="1"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</row>
    <row r="478" ht="17.25" customHeight="1"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</row>
    <row r="479" ht="17.25" customHeight="1"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</row>
    <row r="480" ht="17.25" customHeight="1"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</row>
    <row r="481" ht="17.25" customHeight="1"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</row>
    <row r="482" ht="17.25" customHeight="1"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</row>
    <row r="483" ht="17.25" customHeight="1"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</row>
    <row r="484" ht="17.25" customHeight="1"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</row>
    <row r="485" ht="17.25" customHeight="1"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</row>
    <row r="486" ht="17.25" customHeight="1"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</row>
    <row r="487" ht="17.25" customHeight="1"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</row>
    <row r="488" ht="17.25" customHeight="1"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</row>
    <row r="489" ht="17.25" customHeight="1"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</row>
    <row r="490" ht="17.25" customHeight="1"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</row>
    <row r="491" ht="17.25" customHeight="1"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</row>
    <row r="492" ht="17.25" customHeight="1"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</row>
    <row r="493" ht="17.25" customHeight="1"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</row>
    <row r="494" ht="17.25" customHeight="1"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</row>
    <row r="495" ht="17.25" customHeight="1"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</row>
    <row r="496" ht="17.25" customHeight="1"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</row>
    <row r="497" ht="17.25" customHeight="1"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</row>
    <row r="498" ht="17.25" customHeight="1"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</row>
    <row r="499" ht="17.25" customHeight="1"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</row>
    <row r="500" ht="17.25" customHeight="1"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</row>
    <row r="501" ht="17.25" customHeight="1"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</row>
    <row r="502" ht="17.25" customHeight="1"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</row>
    <row r="503" ht="17.25" customHeight="1"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</row>
    <row r="504" ht="17.25" customHeight="1"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</row>
    <row r="505" ht="17.25" customHeight="1"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</row>
    <row r="506" ht="17.25" customHeight="1"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</row>
    <row r="507" ht="17.25" customHeight="1"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</row>
    <row r="508" ht="17.25" customHeight="1"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</row>
    <row r="509" ht="17.25" customHeight="1"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</row>
    <row r="510" ht="17.25" customHeight="1"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</row>
    <row r="511" ht="17.25" customHeight="1"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</row>
    <row r="512" ht="17.25" customHeight="1"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</row>
    <row r="513" ht="17.25" customHeight="1"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</row>
    <row r="514" ht="17.25" customHeight="1"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</row>
    <row r="515" ht="17.25" customHeight="1"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</row>
    <row r="516" ht="17.25" customHeight="1"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</row>
    <row r="517" ht="17.25" customHeight="1"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</row>
    <row r="518" ht="17.25" customHeight="1"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</row>
    <row r="519" ht="17.25" customHeight="1"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</row>
    <row r="520" ht="17.25" customHeight="1"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</row>
    <row r="521" ht="17.25" customHeight="1"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</row>
    <row r="522" ht="17.25" customHeight="1"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</row>
    <row r="523" ht="17.25" customHeight="1"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</row>
    <row r="524" ht="17.25" customHeight="1"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</row>
    <row r="525" ht="17.25" customHeight="1"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</row>
    <row r="526" ht="17.25" customHeight="1"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</row>
    <row r="527" ht="17.25" customHeight="1"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</row>
    <row r="528" ht="17.25" customHeight="1"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</row>
    <row r="529" ht="17.25" customHeight="1"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</row>
    <row r="530" ht="17.25" customHeight="1"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</row>
    <row r="531" ht="17.25" customHeight="1"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</row>
    <row r="532" ht="17.25" customHeight="1"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</row>
    <row r="533" ht="17.25" customHeight="1"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</row>
    <row r="534" ht="17.25" customHeight="1"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</row>
    <row r="535" ht="17.25" customHeight="1"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</row>
    <row r="536" ht="17.25" customHeight="1"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</row>
    <row r="537" ht="17.25" customHeight="1"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</row>
    <row r="538" ht="17.25" customHeight="1"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</row>
    <row r="539" ht="17.25" customHeight="1"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</row>
    <row r="540" ht="17.25" customHeight="1"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</row>
    <row r="541" ht="17.25" customHeight="1"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</row>
    <row r="542" ht="17.25" customHeight="1"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</row>
    <row r="543" ht="17.25" customHeight="1"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</row>
    <row r="544" ht="17.25" customHeight="1"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</row>
    <row r="545" ht="17.25" customHeight="1"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</row>
    <row r="546" ht="17.25" customHeight="1"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</row>
    <row r="547" ht="17.25" customHeight="1"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</row>
    <row r="548" ht="17.25" customHeight="1"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</row>
    <row r="549" ht="17.25" customHeight="1"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</row>
    <row r="550" ht="17.25" customHeight="1"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</row>
    <row r="551" ht="17.25" customHeight="1"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</row>
    <row r="552" ht="17.25" customHeight="1"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</row>
    <row r="553" ht="17.25" customHeight="1"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</row>
    <row r="554" ht="17.25" customHeight="1"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</row>
    <row r="555" ht="17.25" customHeight="1"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</row>
    <row r="556" ht="17.25" customHeight="1"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</row>
    <row r="557" ht="17.25" customHeight="1"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</row>
    <row r="558" ht="17.25" customHeight="1"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</row>
    <row r="559" ht="17.25" customHeight="1"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</row>
    <row r="560" ht="17.25" customHeight="1"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</row>
    <row r="561" ht="17.25" customHeight="1"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</row>
    <row r="562" ht="17.25" customHeight="1"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</row>
    <row r="563" ht="17.25" customHeight="1"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</row>
    <row r="564" ht="17.25" customHeight="1"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</row>
    <row r="565" ht="17.25" customHeight="1"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</row>
    <row r="566" ht="17.25" customHeight="1"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</row>
    <row r="567" ht="17.25" customHeight="1"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</row>
    <row r="568" ht="17.25" customHeight="1"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</row>
    <row r="569" ht="17.25" customHeight="1"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</row>
    <row r="570" ht="17.25" customHeight="1"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</row>
    <row r="571" ht="17.25" customHeight="1"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</row>
    <row r="572" ht="17.25" customHeight="1"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</row>
    <row r="573" ht="17.25" customHeight="1"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</row>
    <row r="574" ht="17.25" customHeight="1"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</row>
    <row r="575" ht="17.25" customHeight="1"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</row>
    <row r="576" ht="17.25" customHeight="1"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</row>
    <row r="577" ht="17.25" customHeight="1"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</row>
    <row r="578" ht="17.25" customHeight="1"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</row>
    <row r="579" ht="17.25" customHeight="1"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</row>
    <row r="580" ht="17.25" customHeight="1"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</row>
    <row r="581" ht="17.25" customHeight="1"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</row>
    <row r="582" ht="17.25" customHeight="1"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</row>
    <row r="583" ht="17.25" customHeight="1"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</row>
    <row r="584" ht="17.25" customHeight="1"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</row>
    <row r="585" ht="17.25" customHeight="1"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</row>
    <row r="586" ht="17.25" customHeight="1"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</row>
    <row r="587" ht="17.25" customHeight="1"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</row>
    <row r="588" ht="17.25" customHeight="1"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</row>
    <row r="589" ht="17.25" customHeight="1"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</row>
    <row r="590" ht="17.25" customHeight="1"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</row>
    <row r="591" ht="17.25" customHeight="1"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</row>
    <row r="592" ht="17.25" customHeight="1"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</row>
    <row r="593" ht="17.25" customHeight="1"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</row>
    <row r="594" ht="17.25" customHeight="1"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</row>
    <row r="595" ht="17.25" customHeight="1"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</row>
    <row r="596" ht="17.25" customHeight="1"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</row>
    <row r="597" ht="17.25" customHeight="1"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</row>
    <row r="598" ht="17.25" customHeight="1"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</row>
    <row r="599" ht="17.25" customHeight="1"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</row>
    <row r="600" ht="17.25" customHeight="1"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</row>
    <row r="601" ht="17.25" customHeight="1"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</row>
    <row r="602" ht="17.25" customHeight="1"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</row>
    <row r="603" ht="17.25" customHeight="1"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</row>
    <row r="604" ht="17.25" customHeight="1"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</row>
    <row r="605" ht="17.25" customHeight="1"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</row>
    <row r="606" ht="17.25" customHeight="1"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</row>
    <row r="607" ht="17.25" customHeight="1"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</row>
    <row r="608" ht="17.25" customHeight="1"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</row>
    <row r="609" ht="17.25" customHeight="1"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</row>
    <row r="610" ht="17.25" customHeight="1"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</row>
    <row r="611" ht="17.25" customHeight="1"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</row>
    <row r="612" ht="17.25" customHeight="1"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</row>
    <row r="613" ht="17.25" customHeight="1"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</row>
    <row r="614" ht="17.25" customHeight="1"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</row>
    <row r="615" ht="17.25" customHeight="1"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</row>
    <row r="616" ht="17.25" customHeight="1"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</row>
    <row r="617" ht="17.25" customHeight="1"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</row>
    <row r="618" ht="17.25" customHeight="1"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</row>
    <row r="619" ht="17.25" customHeight="1"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</row>
    <row r="620" ht="17.25" customHeight="1"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</row>
    <row r="621" ht="17.25" customHeight="1"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</row>
    <row r="622" ht="17.25" customHeight="1"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</row>
    <row r="623" ht="17.25" customHeight="1"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</row>
    <row r="624" ht="17.25" customHeight="1"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</row>
    <row r="625" ht="17.25" customHeight="1"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</row>
    <row r="626" ht="17.25" customHeight="1"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</row>
    <row r="627" ht="17.25" customHeight="1"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</row>
    <row r="628" ht="17.25" customHeight="1"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</row>
    <row r="629" ht="17.25" customHeight="1"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</row>
    <row r="630" ht="17.25" customHeight="1"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</row>
    <row r="631" ht="17.25" customHeight="1"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</row>
    <row r="632" ht="17.25" customHeight="1"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</row>
    <row r="633" ht="17.25" customHeight="1"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</row>
    <row r="634" ht="17.25" customHeight="1"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</row>
    <row r="635" ht="17.25" customHeight="1"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</row>
    <row r="636" ht="17.25" customHeight="1"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</row>
    <row r="637" ht="17.25" customHeight="1"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</row>
    <row r="638" ht="17.25" customHeight="1"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</row>
    <row r="639" ht="17.25" customHeight="1"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</row>
    <row r="640" ht="17.25" customHeight="1"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</row>
    <row r="641" ht="17.25" customHeight="1"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</row>
    <row r="642" ht="17.25" customHeight="1"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</row>
    <row r="643" ht="17.25" customHeight="1"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</row>
    <row r="644" ht="17.25" customHeight="1"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</row>
    <row r="645" ht="17.25" customHeight="1"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</row>
    <row r="646" ht="17.25" customHeight="1"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</row>
    <row r="647" ht="17.25" customHeight="1"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</row>
    <row r="648" ht="17.25" customHeight="1"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</row>
    <row r="649" ht="17.25" customHeight="1"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</row>
    <row r="650" ht="17.25" customHeight="1"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</row>
    <row r="651" ht="17.25" customHeight="1"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</row>
    <row r="652" ht="17.25" customHeight="1"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</row>
    <row r="653" ht="17.25" customHeight="1"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</row>
    <row r="654" ht="17.25" customHeight="1"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</row>
    <row r="655" ht="17.25" customHeight="1"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</row>
    <row r="656" ht="17.25" customHeight="1"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</row>
    <row r="657" ht="17.25" customHeight="1"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</row>
    <row r="658" ht="17.25" customHeight="1"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</row>
    <row r="659" ht="17.25" customHeight="1"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</row>
    <row r="660" ht="17.25" customHeight="1"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</row>
    <row r="661" ht="17.25" customHeight="1"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</row>
    <row r="662" ht="17.25" customHeight="1"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</row>
    <row r="663" ht="17.25" customHeight="1"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</row>
    <row r="664" ht="17.25" customHeight="1"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</row>
    <row r="665" ht="17.25" customHeight="1"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</row>
    <row r="666" ht="17.25" customHeight="1"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</row>
    <row r="667" ht="17.25" customHeight="1"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</row>
    <row r="668" ht="17.25" customHeight="1"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</row>
    <row r="669" ht="17.25" customHeight="1"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</row>
    <row r="670" ht="17.25" customHeight="1"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</row>
    <row r="671" ht="17.25" customHeight="1"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</row>
    <row r="672" ht="17.25" customHeight="1"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</row>
    <row r="673" ht="17.25" customHeight="1"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</row>
    <row r="674" ht="17.25" customHeight="1"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</row>
    <row r="675" ht="17.25" customHeight="1"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</row>
    <row r="676" ht="17.25" customHeight="1"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</row>
    <row r="677" ht="17.25" customHeight="1"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</row>
    <row r="678" ht="17.25" customHeight="1"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</row>
    <row r="679" ht="17.25" customHeight="1"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</row>
    <row r="680" ht="17.25" customHeight="1"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</row>
    <row r="681" ht="17.25" customHeight="1"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</row>
    <row r="682" ht="17.25" customHeight="1"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</row>
    <row r="683" ht="17.25" customHeight="1"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</row>
    <row r="684" ht="17.25" customHeight="1"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</row>
    <row r="685" ht="17.25" customHeight="1"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</row>
    <row r="686" ht="17.25" customHeight="1"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</row>
    <row r="687" ht="17.25" customHeight="1"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</row>
    <row r="688" ht="17.25" customHeight="1"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</row>
    <row r="689" ht="17.25" customHeight="1"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</row>
    <row r="690" ht="17.25" customHeight="1"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</row>
    <row r="691" ht="17.25" customHeight="1"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</row>
    <row r="692" ht="17.25" customHeight="1"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</row>
    <row r="693" ht="17.25" customHeight="1"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</row>
    <row r="694" ht="17.25" customHeight="1"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</row>
    <row r="695" ht="17.25" customHeight="1"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</row>
    <row r="696" ht="17.25" customHeight="1"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</row>
    <row r="697" ht="17.25" customHeight="1"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</row>
    <row r="698" ht="17.25" customHeight="1"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</row>
    <row r="699" ht="17.25" customHeight="1"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</row>
    <row r="700" ht="17.25" customHeight="1"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</row>
    <row r="701" ht="17.25" customHeight="1"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</row>
    <row r="702" ht="17.25" customHeight="1"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</row>
    <row r="703" ht="17.25" customHeight="1"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</row>
    <row r="704" ht="17.25" customHeight="1"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</row>
    <row r="705" ht="17.25" customHeight="1"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</row>
    <row r="706" ht="17.25" customHeight="1"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</row>
    <row r="707" ht="17.25" customHeight="1"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</row>
    <row r="708" ht="17.25" customHeight="1"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</row>
    <row r="709" ht="17.25" customHeight="1"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</row>
    <row r="710" ht="17.25" customHeight="1"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</row>
    <row r="711" ht="17.25" customHeight="1"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</row>
    <row r="712" ht="17.25" customHeight="1"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</row>
    <row r="713" ht="17.25" customHeight="1"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</row>
    <row r="714" ht="17.25" customHeight="1"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</row>
    <row r="715" ht="17.25" customHeight="1"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</row>
    <row r="716" ht="17.25" customHeight="1"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</row>
    <row r="717" ht="17.25" customHeight="1"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</row>
    <row r="718" ht="17.25" customHeight="1"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</row>
    <row r="719" ht="17.25" customHeight="1"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</row>
    <row r="720" ht="17.25" customHeight="1"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</row>
    <row r="721" ht="17.25" customHeight="1"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</row>
    <row r="722" ht="17.25" customHeight="1"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</row>
    <row r="723" ht="17.25" customHeight="1"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</row>
    <row r="724" ht="17.25" customHeight="1"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</row>
    <row r="725" ht="17.25" customHeight="1"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</row>
    <row r="726" ht="17.25" customHeight="1"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</row>
    <row r="727" ht="17.25" customHeight="1"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</row>
    <row r="728" ht="17.25" customHeight="1"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</row>
    <row r="729" ht="17.25" customHeight="1"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</row>
    <row r="730" ht="17.25" customHeight="1"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</row>
    <row r="731" ht="17.25" customHeight="1"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</row>
    <row r="732" ht="17.25" customHeight="1"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</row>
    <row r="733" ht="17.25" customHeight="1"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</row>
    <row r="734" ht="17.25" customHeight="1"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</row>
    <row r="735" ht="17.25" customHeight="1"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</row>
    <row r="736" ht="17.25" customHeight="1"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</row>
    <row r="737" ht="17.25" customHeight="1"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</row>
    <row r="738" ht="17.25" customHeight="1"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</row>
    <row r="739" ht="17.25" customHeight="1"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</row>
    <row r="740" ht="17.25" customHeight="1"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</row>
    <row r="741" ht="17.25" customHeight="1"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</row>
    <row r="742" ht="17.25" customHeight="1"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</row>
    <row r="743" ht="17.25" customHeight="1"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</row>
    <row r="744" ht="17.25" customHeight="1"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</row>
    <row r="745" ht="17.25" customHeight="1"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</row>
    <row r="746" ht="17.25" customHeight="1"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</row>
    <row r="747" ht="17.25" customHeight="1"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</row>
    <row r="748" ht="17.25" customHeight="1"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</row>
    <row r="749" ht="17.25" customHeight="1"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</row>
    <row r="750" ht="17.25" customHeight="1"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</row>
    <row r="751" ht="17.25" customHeight="1"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</row>
    <row r="752" ht="17.25" customHeight="1"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</row>
    <row r="753" ht="17.25" customHeight="1"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</row>
    <row r="754" ht="17.25" customHeight="1"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</row>
    <row r="755" ht="17.25" customHeight="1"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</row>
    <row r="756" ht="17.25" customHeight="1"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</row>
    <row r="757" ht="17.25" customHeight="1"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</row>
    <row r="758" ht="17.25" customHeight="1"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</row>
    <row r="759" ht="17.25" customHeight="1"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</row>
    <row r="760" ht="17.25" customHeight="1"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</row>
    <row r="761" ht="17.25" customHeight="1"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</row>
    <row r="762" ht="17.25" customHeight="1"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</row>
    <row r="763" ht="17.25" customHeight="1"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</row>
    <row r="764" ht="17.25" customHeight="1"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</row>
    <row r="765" ht="17.25" customHeight="1"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</row>
    <row r="766" ht="17.25" customHeight="1"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</row>
    <row r="767" ht="17.25" customHeight="1"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</row>
    <row r="768" ht="17.25" customHeight="1"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</row>
    <row r="769" ht="17.25" customHeight="1"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</row>
    <row r="770" ht="17.25" customHeight="1"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</row>
    <row r="771" ht="17.25" customHeight="1"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</row>
    <row r="772" ht="17.25" customHeight="1"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</row>
    <row r="773" ht="17.25" customHeight="1"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</row>
    <row r="774" ht="17.25" customHeight="1"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</row>
    <row r="775" ht="17.25" customHeight="1"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</row>
    <row r="776" ht="17.25" customHeight="1"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</row>
    <row r="777" ht="17.25" customHeight="1"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</row>
    <row r="778" ht="17.25" customHeight="1"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</row>
    <row r="779" ht="17.25" customHeight="1"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</row>
    <row r="780" ht="17.25" customHeight="1"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</row>
    <row r="781" ht="17.25" customHeight="1"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</row>
    <row r="782" ht="17.25" customHeight="1"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</row>
    <row r="783" ht="17.25" customHeight="1"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</row>
    <row r="784" ht="17.25" customHeight="1"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</row>
    <row r="785" ht="17.25" customHeight="1"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</row>
    <row r="786" ht="17.25" customHeight="1"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</row>
    <row r="787" ht="17.25" customHeight="1"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</row>
    <row r="788" ht="17.25" customHeight="1"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</row>
    <row r="789" ht="17.25" customHeight="1"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</row>
    <row r="790" ht="17.25" customHeight="1"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</row>
    <row r="791" ht="17.25" customHeight="1"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</row>
    <row r="792" ht="17.25" customHeight="1"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</row>
    <row r="793" ht="17.25" customHeight="1"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</row>
    <row r="794" ht="17.25" customHeight="1"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</row>
    <row r="795" ht="17.25" customHeight="1"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</row>
    <row r="796" ht="17.25" customHeight="1"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</row>
    <row r="797" ht="17.25" customHeight="1"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</row>
    <row r="798" ht="17.25" customHeight="1"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</row>
    <row r="799" ht="17.25" customHeight="1"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</row>
    <row r="800" ht="17.25" customHeight="1"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</row>
    <row r="801" ht="17.25" customHeight="1"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</row>
    <row r="802" ht="17.25" customHeight="1"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</row>
    <row r="803" ht="17.25" customHeight="1"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</row>
    <row r="804" ht="17.25" customHeight="1"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</row>
    <row r="805" ht="17.25" customHeight="1"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</row>
    <row r="806" ht="17.25" customHeight="1"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</row>
    <row r="807" ht="17.25" customHeight="1"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</row>
    <row r="808" ht="17.25" customHeight="1"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</row>
    <row r="809" ht="17.25" customHeight="1"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</row>
    <row r="810" ht="17.25" customHeight="1"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</row>
    <row r="811" ht="17.25" customHeight="1"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</row>
    <row r="812" ht="17.25" customHeight="1"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</row>
    <row r="813" ht="17.25" customHeight="1"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</row>
    <row r="814" ht="17.25" customHeight="1"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</row>
    <row r="815" ht="17.25" customHeight="1"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</row>
    <row r="816" ht="17.25" customHeight="1"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</row>
    <row r="817" ht="17.25" customHeight="1"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</row>
    <row r="818" ht="17.25" customHeight="1"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</row>
    <row r="819" ht="17.25" customHeight="1"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</row>
    <row r="820" ht="17.25" customHeight="1"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</row>
    <row r="821" ht="17.25" customHeight="1"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</row>
    <row r="822" ht="17.25" customHeight="1"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</row>
    <row r="823" ht="17.25" customHeight="1"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</row>
    <row r="824" ht="17.25" customHeight="1"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</row>
    <row r="825" ht="17.25" customHeight="1"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</row>
    <row r="826" ht="17.25" customHeight="1"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</row>
    <row r="827" ht="17.25" customHeight="1"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</row>
    <row r="828" ht="17.25" customHeight="1"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</row>
    <row r="829" ht="17.25" customHeight="1"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</row>
    <row r="830" ht="17.25" customHeight="1"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</row>
    <row r="831" ht="17.25" customHeight="1"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</row>
    <row r="832" ht="17.25" customHeight="1"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</row>
    <row r="833" ht="17.25" customHeight="1"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</row>
    <row r="834" ht="17.25" customHeight="1"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</row>
    <row r="835" ht="17.25" customHeight="1"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</row>
    <row r="836" ht="17.25" customHeight="1"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</row>
    <row r="837" ht="17.25" customHeight="1"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</row>
    <row r="838" ht="17.25" customHeight="1"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</row>
    <row r="839" ht="17.25" customHeight="1"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</row>
    <row r="840" ht="17.25" customHeight="1"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</row>
    <row r="841" ht="17.25" customHeight="1"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</row>
    <row r="842" ht="17.25" customHeight="1"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</row>
    <row r="843" ht="17.25" customHeight="1"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</row>
    <row r="844" ht="17.25" customHeight="1"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</row>
    <row r="845" ht="17.25" customHeight="1"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</row>
    <row r="846" ht="17.25" customHeight="1"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</row>
    <row r="847" ht="17.25" customHeight="1"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</row>
    <row r="848" ht="17.25" customHeight="1"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</row>
    <row r="849" ht="17.25" customHeight="1"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</row>
    <row r="850" ht="17.25" customHeight="1"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</row>
    <row r="851" ht="17.25" customHeight="1"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</row>
    <row r="852" ht="17.25" customHeight="1"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</row>
    <row r="853" ht="17.25" customHeight="1"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</row>
    <row r="854" ht="17.25" customHeight="1"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</row>
    <row r="855" ht="17.25" customHeight="1"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</row>
    <row r="856" ht="17.25" customHeight="1"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</row>
    <row r="857" ht="17.25" customHeight="1"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</row>
    <row r="858" ht="17.25" customHeight="1"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</row>
    <row r="859" ht="17.25" customHeight="1"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</row>
    <row r="860" ht="17.25" customHeight="1"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</row>
    <row r="861" ht="17.25" customHeight="1"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</row>
    <row r="862" ht="17.25" customHeight="1"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</row>
    <row r="863" ht="17.25" customHeight="1"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</row>
    <row r="864" ht="17.25" customHeight="1"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</row>
    <row r="865" ht="17.25" customHeight="1"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</row>
    <row r="866" ht="17.25" customHeight="1"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</row>
    <row r="867" ht="17.25" customHeight="1"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</row>
    <row r="868" ht="17.25" customHeight="1"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</row>
    <row r="869" ht="17.25" customHeight="1"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</row>
    <row r="870" ht="17.25" customHeight="1"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</row>
    <row r="871" ht="17.25" customHeight="1"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</row>
    <row r="872" ht="17.25" customHeight="1"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</row>
    <row r="873" ht="17.25" customHeight="1"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</row>
    <row r="874" ht="17.25" customHeight="1"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</row>
    <row r="875" ht="17.25" customHeight="1"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</row>
    <row r="876" ht="17.25" customHeight="1"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</row>
    <row r="877" ht="17.25" customHeight="1"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</row>
    <row r="878" ht="17.25" customHeight="1"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</row>
    <row r="879" ht="17.25" customHeight="1"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</row>
    <row r="880" ht="17.25" customHeight="1"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</row>
    <row r="881" ht="17.25" customHeight="1"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</row>
    <row r="882" ht="17.25" customHeight="1"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</row>
    <row r="883" ht="17.25" customHeight="1"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</row>
    <row r="884" ht="17.25" customHeight="1"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</row>
    <row r="885" ht="17.25" customHeight="1"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</row>
    <row r="886" ht="17.25" customHeight="1"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</row>
    <row r="887" ht="17.25" customHeight="1"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</row>
    <row r="888" ht="17.25" customHeight="1"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</row>
    <row r="889" ht="17.25" customHeight="1"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</row>
    <row r="890" ht="17.25" customHeight="1"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</row>
    <row r="891" ht="17.25" customHeight="1"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</row>
    <row r="892" ht="17.25" customHeight="1"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</row>
    <row r="893" ht="17.25" customHeight="1"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</row>
    <row r="894" ht="17.25" customHeight="1"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</row>
    <row r="895" ht="17.25" customHeight="1"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</row>
    <row r="896" ht="17.25" customHeight="1"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</row>
    <row r="897" ht="17.25" customHeight="1"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</row>
    <row r="898" ht="17.25" customHeight="1"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</row>
    <row r="899" ht="17.25" customHeight="1"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</row>
    <row r="900" ht="17.25" customHeight="1"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</row>
    <row r="901" ht="17.25" customHeight="1"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</row>
    <row r="902" ht="17.25" customHeight="1"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</row>
    <row r="903" ht="17.25" customHeight="1"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</row>
    <row r="904" ht="17.25" customHeight="1"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</row>
    <row r="905" ht="17.25" customHeight="1"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</row>
    <row r="906" ht="17.25" customHeight="1"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</row>
    <row r="907" ht="17.25" customHeight="1"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</row>
    <row r="908" ht="17.25" customHeight="1"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</row>
    <row r="909" ht="17.25" customHeight="1"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</row>
    <row r="910" ht="17.25" customHeight="1"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</row>
    <row r="911" ht="17.25" customHeight="1"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</row>
    <row r="912" ht="17.25" customHeight="1"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</row>
    <row r="913" ht="17.25" customHeight="1"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</row>
    <row r="914" ht="17.25" customHeight="1"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</row>
    <row r="915" ht="17.25" customHeight="1"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</row>
    <row r="916" ht="17.25" customHeight="1"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</row>
    <row r="917" ht="17.25" customHeight="1"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</row>
    <row r="918" ht="17.25" customHeight="1"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</row>
    <row r="919" ht="17.25" customHeight="1"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</row>
    <row r="920" ht="17.25" customHeight="1"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</row>
    <row r="921" ht="17.25" customHeight="1"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</row>
    <row r="922" ht="17.25" customHeight="1"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</row>
    <row r="923" ht="17.25" customHeight="1"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</row>
    <row r="924" ht="17.25" customHeight="1"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</row>
    <row r="925" ht="17.25" customHeight="1"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</row>
    <row r="926" ht="17.25" customHeight="1"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</row>
    <row r="927" ht="17.25" customHeight="1"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</row>
    <row r="928" ht="17.25" customHeight="1"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</row>
    <row r="929" ht="17.25" customHeight="1"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</row>
    <row r="930" ht="17.25" customHeight="1"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</row>
    <row r="931" ht="17.25" customHeight="1"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</row>
    <row r="932" ht="17.25" customHeight="1"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</row>
    <row r="933" ht="17.25" customHeight="1"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</row>
    <row r="934" ht="17.25" customHeight="1"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</row>
    <row r="935" ht="17.25" customHeight="1"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</row>
    <row r="936" ht="17.25" customHeight="1"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</row>
    <row r="937" ht="17.25" customHeight="1"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</row>
    <row r="938" ht="17.25" customHeight="1"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</row>
    <row r="939" ht="17.25" customHeight="1"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</row>
    <row r="940" ht="17.25" customHeight="1"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</row>
    <row r="941" ht="17.25" customHeight="1"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</row>
    <row r="942" ht="17.25" customHeight="1"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</row>
    <row r="943" ht="17.25" customHeight="1"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</row>
    <row r="944" ht="17.25" customHeight="1"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</row>
    <row r="945" ht="17.25" customHeight="1"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</row>
    <row r="946" ht="17.25" customHeight="1"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</row>
    <row r="947" ht="17.25" customHeight="1"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</row>
    <row r="948" ht="17.25" customHeight="1"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</row>
    <row r="949" ht="17.25" customHeight="1"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</row>
    <row r="950" ht="17.25" customHeight="1"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</row>
    <row r="951" ht="17.25" customHeight="1"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</row>
    <row r="952" ht="17.25" customHeight="1"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</row>
    <row r="953" ht="17.25" customHeight="1"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</row>
    <row r="954" ht="17.25" customHeight="1"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</row>
    <row r="955" ht="17.25" customHeight="1"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</row>
    <row r="956" ht="17.25" customHeight="1"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</row>
    <row r="957" ht="17.25" customHeight="1"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</row>
    <row r="958" ht="17.25" customHeight="1"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</row>
    <row r="959" ht="17.25" customHeight="1"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</row>
    <row r="960" ht="17.25" customHeight="1"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</row>
    <row r="961" ht="17.25" customHeight="1"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</row>
    <row r="962" ht="17.25" customHeight="1"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</row>
    <row r="963" ht="17.25" customHeight="1"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</row>
    <row r="964" ht="17.25" customHeight="1"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</row>
    <row r="965" ht="17.25" customHeight="1"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</row>
    <row r="966" ht="17.25" customHeight="1"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</row>
    <row r="967" ht="17.25" customHeight="1"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</row>
    <row r="968" ht="17.25" customHeight="1"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</row>
    <row r="969" ht="17.25" customHeight="1"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</row>
    <row r="970" ht="17.25" customHeight="1"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</row>
  </sheetData>
  <mergeCells count="9">
    <mergeCell ref="B6:B7"/>
    <mergeCell ref="C6:C7"/>
    <mergeCell ref="B3:C4"/>
    <mergeCell ref="D3:D4"/>
    <mergeCell ref="E3:E4"/>
    <mergeCell ref="F3:F4"/>
    <mergeCell ref="G3:G4"/>
    <mergeCell ref="R3:R4"/>
    <mergeCell ref="S3:S4"/>
  </mergeCells>
  <printOptions/>
  <pageMargins bottom="0.15748031496062992" footer="0.0" header="0.0" left="0.5905511811023623" right="0.0" top="0.35433070866141736"/>
  <pageSetup paperSize="9" scale="88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1.57"/>
    <col customWidth="1" min="2" max="2" width="11.71"/>
    <col customWidth="1" min="3" max="3" width="10.0"/>
    <col customWidth="1" min="4" max="14" width="11.43"/>
    <col customWidth="1" min="15" max="17" width="12.14"/>
    <col customWidth="1" min="18" max="18" width="8.71"/>
    <col customWidth="1" min="19" max="19" width="14.43"/>
    <col customWidth="1" min="20" max="20" width="9.43"/>
    <col customWidth="1" min="21" max="22" width="8.71"/>
    <col customWidth="1" min="23" max="23" width="15.43"/>
    <col customWidth="1" min="24" max="26" width="8.71"/>
  </cols>
  <sheetData>
    <row r="1" ht="17.25" customHeight="1">
      <c r="O1" s="265"/>
      <c r="P1" s="265"/>
      <c r="Q1" s="265"/>
    </row>
    <row r="2" ht="17.25" customHeight="1">
      <c r="B2" s="239" t="s">
        <v>308</v>
      </c>
      <c r="O2" s="265"/>
      <c r="P2" s="265"/>
      <c r="Q2" s="265"/>
    </row>
    <row r="3" ht="21.0" customHeight="1">
      <c r="B3" s="267" t="s">
        <v>279</v>
      </c>
      <c r="C3" s="179"/>
      <c r="D3" s="268" t="s">
        <v>283</v>
      </c>
      <c r="E3" s="268" t="s">
        <v>284</v>
      </c>
      <c r="F3" s="268" t="s">
        <v>285</v>
      </c>
      <c r="G3" s="268" t="s">
        <v>286</v>
      </c>
      <c r="H3" s="268" t="s">
        <v>287</v>
      </c>
      <c r="I3" s="268" t="s">
        <v>288</v>
      </c>
      <c r="J3" s="268" t="s">
        <v>289</v>
      </c>
      <c r="K3" s="268" t="s">
        <v>290</v>
      </c>
      <c r="L3" s="268" t="s">
        <v>291</v>
      </c>
      <c r="M3" s="268" t="s">
        <v>292</v>
      </c>
      <c r="N3" s="269" t="s">
        <v>293</v>
      </c>
      <c r="O3" s="270" t="s">
        <v>90</v>
      </c>
      <c r="P3" s="265"/>
      <c r="Q3" s="265"/>
    </row>
    <row r="4" ht="21.0" customHeight="1">
      <c r="B4" s="182"/>
      <c r="C4" s="183"/>
      <c r="D4" s="271" t="s">
        <v>190</v>
      </c>
      <c r="E4" s="268" t="s">
        <v>191</v>
      </c>
      <c r="F4" s="268" t="s">
        <v>192</v>
      </c>
      <c r="G4" s="268" t="s">
        <v>193</v>
      </c>
      <c r="H4" s="268" t="s">
        <v>194</v>
      </c>
      <c r="I4" s="268" t="s">
        <v>195</v>
      </c>
      <c r="J4" s="268" t="s">
        <v>196</v>
      </c>
      <c r="K4" s="268" t="s">
        <v>197</v>
      </c>
      <c r="L4" s="268" t="s">
        <v>198</v>
      </c>
      <c r="M4" s="268" t="s">
        <v>199</v>
      </c>
      <c r="N4" s="164"/>
      <c r="O4" s="270"/>
      <c r="P4" s="265"/>
      <c r="Q4" s="265"/>
    </row>
    <row r="5" ht="21.75" customHeight="1">
      <c r="B5" s="272" t="s">
        <v>309</v>
      </c>
      <c r="C5" s="270" t="s">
        <v>310</v>
      </c>
      <c r="D5" s="273">
        <v>1000.0</v>
      </c>
      <c r="E5" s="273">
        <v>1500.0</v>
      </c>
      <c r="F5" s="273">
        <v>1500.0</v>
      </c>
      <c r="G5" s="273">
        <v>1500.0</v>
      </c>
      <c r="H5" s="273">
        <v>1500.0</v>
      </c>
      <c r="I5" s="273">
        <v>1500.0</v>
      </c>
      <c r="J5" s="273">
        <v>1500.0</v>
      </c>
      <c r="K5" s="273">
        <v>1500.0</v>
      </c>
      <c r="L5" s="273">
        <v>1500.0</v>
      </c>
      <c r="M5" s="273">
        <v>1500.0</v>
      </c>
      <c r="N5" s="274">
        <f t="shared" ref="N5:N10" si="1">SUM(D5:M5)</f>
        <v>14500</v>
      </c>
      <c r="O5" s="275"/>
      <c r="P5" s="265"/>
      <c r="Q5" s="265"/>
    </row>
    <row r="6" ht="21.75" customHeight="1">
      <c r="B6" s="174"/>
      <c r="C6" s="276" t="s">
        <v>311</v>
      </c>
      <c r="D6" s="273"/>
      <c r="E6" s="273"/>
      <c r="F6" s="273">
        <v>2500.0</v>
      </c>
      <c r="G6" s="273">
        <v>3500.0</v>
      </c>
      <c r="H6" s="273">
        <v>4500.0</v>
      </c>
      <c r="I6" s="273">
        <v>5000.0</v>
      </c>
      <c r="J6" s="273">
        <v>5000.0</v>
      </c>
      <c r="K6" s="273">
        <v>5000.0</v>
      </c>
      <c r="L6" s="273">
        <v>5000.0</v>
      </c>
      <c r="M6" s="273">
        <v>5000.0</v>
      </c>
      <c r="N6" s="274">
        <f t="shared" si="1"/>
        <v>35500</v>
      </c>
      <c r="O6" s="275"/>
      <c r="P6" s="265"/>
      <c r="Q6" s="265"/>
    </row>
    <row r="7" ht="21.75" customHeight="1">
      <c r="B7" s="164"/>
      <c r="C7" s="277" t="s">
        <v>221</v>
      </c>
      <c r="D7" s="273">
        <f t="shared" ref="D7:M7" si="2">+D6+D5</f>
        <v>1000</v>
      </c>
      <c r="E7" s="273">
        <f t="shared" si="2"/>
        <v>1500</v>
      </c>
      <c r="F7" s="273">
        <f t="shared" si="2"/>
        <v>4000</v>
      </c>
      <c r="G7" s="273">
        <f t="shared" si="2"/>
        <v>5000</v>
      </c>
      <c r="H7" s="273">
        <f t="shared" si="2"/>
        <v>6000</v>
      </c>
      <c r="I7" s="273">
        <f t="shared" si="2"/>
        <v>6500</v>
      </c>
      <c r="J7" s="273">
        <f t="shared" si="2"/>
        <v>6500</v>
      </c>
      <c r="K7" s="273">
        <f t="shared" si="2"/>
        <v>6500</v>
      </c>
      <c r="L7" s="273">
        <f t="shared" si="2"/>
        <v>6500</v>
      </c>
      <c r="M7" s="273">
        <f t="shared" si="2"/>
        <v>6500</v>
      </c>
      <c r="N7" s="274">
        <f t="shared" si="1"/>
        <v>50000</v>
      </c>
      <c r="O7" s="275"/>
      <c r="P7" s="265"/>
      <c r="Q7" s="265"/>
    </row>
    <row r="8" ht="33.75" customHeight="1">
      <c r="B8" s="278"/>
      <c r="C8" s="278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4">
        <f t="shared" si="1"/>
        <v>0</v>
      </c>
      <c r="O8" s="275"/>
      <c r="P8" s="265"/>
      <c r="Q8" s="265"/>
    </row>
    <row r="9" ht="21.75" customHeight="1">
      <c r="B9" s="276"/>
      <c r="C9" s="276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4">
        <f t="shared" si="1"/>
        <v>0</v>
      </c>
      <c r="O9" s="275"/>
      <c r="P9" s="265"/>
      <c r="Q9" s="265"/>
      <c r="R9" s="279"/>
      <c r="S9" s="265"/>
      <c r="V9" s="279"/>
      <c r="W9" s="279"/>
    </row>
    <row r="10" ht="17.25" customHeight="1">
      <c r="B10" s="276"/>
      <c r="C10" s="276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4">
        <f t="shared" si="1"/>
        <v>0</v>
      </c>
      <c r="O10" s="275"/>
      <c r="P10" s="265"/>
      <c r="Q10" s="265"/>
      <c r="R10" s="265"/>
      <c r="S10" s="265"/>
    </row>
    <row r="11" ht="17.25" customHeight="1">
      <c r="B11" s="280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2"/>
      <c r="O11" s="265"/>
      <c r="P11" s="265"/>
      <c r="Q11" s="265"/>
      <c r="R11" s="265"/>
      <c r="S11" s="265"/>
    </row>
    <row r="12" ht="17.25" customHeight="1"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65"/>
      <c r="P12" s="265"/>
      <c r="Q12" s="265"/>
      <c r="R12" s="265"/>
      <c r="S12" s="265"/>
    </row>
    <row r="13" ht="17.25" customHeight="1">
      <c r="B13" s="280"/>
      <c r="O13" s="265"/>
      <c r="P13" s="265"/>
      <c r="Q13" s="265"/>
      <c r="R13" s="265"/>
      <c r="S13" s="265"/>
    </row>
    <row r="14" ht="17.25" customHeight="1">
      <c r="O14" s="265"/>
      <c r="P14" s="265"/>
      <c r="Q14" s="265"/>
    </row>
    <row r="15" ht="17.25" customHeight="1">
      <c r="O15" s="265"/>
      <c r="P15" s="265"/>
      <c r="Q15" s="265"/>
    </row>
    <row r="16" ht="17.25" customHeight="1">
      <c r="O16" s="265"/>
      <c r="P16" s="265"/>
      <c r="Q16" s="265"/>
    </row>
    <row r="17" ht="17.25" customHeight="1">
      <c r="O17" s="265"/>
      <c r="P17" s="265"/>
      <c r="Q17" s="265"/>
    </row>
    <row r="18" ht="17.25" customHeight="1">
      <c r="O18" s="265"/>
      <c r="P18" s="265"/>
      <c r="Q18" s="265"/>
    </row>
    <row r="19" ht="17.25" customHeight="1">
      <c r="O19" s="265"/>
      <c r="P19" s="265"/>
      <c r="Q19" s="265"/>
    </row>
    <row r="20" ht="17.25" customHeight="1">
      <c r="O20" s="265"/>
      <c r="P20" s="265"/>
      <c r="Q20" s="265"/>
    </row>
    <row r="21" ht="17.25" customHeight="1">
      <c r="O21" s="265"/>
      <c r="P21" s="265"/>
      <c r="Q21" s="265"/>
    </row>
    <row r="22" ht="17.25" customHeight="1">
      <c r="O22" s="265"/>
      <c r="P22" s="265"/>
      <c r="Q22" s="265"/>
    </row>
    <row r="23" ht="17.25" customHeight="1">
      <c r="O23" s="265"/>
      <c r="P23" s="265"/>
      <c r="Q23" s="265"/>
    </row>
    <row r="24" ht="17.25" customHeight="1">
      <c r="O24" s="265"/>
      <c r="P24" s="265"/>
      <c r="Q24" s="265"/>
    </row>
    <row r="25" ht="17.25" customHeight="1">
      <c r="O25" s="265"/>
      <c r="P25" s="265"/>
      <c r="Q25" s="265"/>
    </row>
    <row r="26" ht="17.25" customHeight="1">
      <c r="O26" s="265"/>
      <c r="P26" s="265"/>
      <c r="Q26" s="265"/>
    </row>
    <row r="27" ht="17.25" customHeight="1">
      <c r="O27" s="265"/>
      <c r="P27" s="265"/>
      <c r="Q27" s="265"/>
    </row>
    <row r="28" ht="17.25" customHeight="1">
      <c r="O28" s="265"/>
      <c r="P28" s="265"/>
      <c r="Q28" s="265"/>
    </row>
    <row r="29" ht="17.25" customHeight="1">
      <c r="O29" s="265"/>
      <c r="P29" s="265"/>
      <c r="Q29" s="265"/>
    </row>
    <row r="30" ht="17.25" customHeight="1">
      <c r="O30" s="265"/>
      <c r="P30" s="265"/>
      <c r="Q30" s="265"/>
    </row>
    <row r="31" ht="17.25" customHeight="1">
      <c r="O31" s="265"/>
      <c r="P31" s="265"/>
      <c r="Q31" s="265"/>
    </row>
    <row r="32" ht="17.25" customHeight="1">
      <c r="O32" s="265"/>
      <c r="P32" s="265"/>
      <c r="Q32" s="265"/>
    </row>
    <row r="33" ht="17.25" customHeight="1">
      <c r="O33" s="265"/>
      <c r="P33" s="265"/>
      <c r="Q33" s="265"/>
    </row>
    <row r="34" ht="17.25" customHeight="1">
      <c r="O34" s="265"/>
      <c r="P34" s="265"/>
      <c r="Q34" s="265"/>
    </row>
    <row r="35" ht="17.25" customHeight="1">
      <c r="O35" s="265"/>
      <c r="P35" s="265"/>
      <c r="Q35" s="265"/>
    </row>
    <row r="36" ht="17.25" customHeight="1">
      <c r="O36" s="265"/>
      <c r="P36" s="265"/>
      <c r="Q36" s="265"/>
    </row>
    <row r="37" ht="17.25" customHeight="1">
      <c r="O37" s="265"/>
      <c r="P37" s="265"/>
      <c r="Q37" s="265"/>
    </row>
    <row r="38" ht="17.25" customHeight="1">
      <c r="O38" s="265"/>
      <c r="P38" s="265"/>
      <c r="Q38" s="265"/>
    </row>
    <row r="39" ht="17.25" customHeight="1">
      <c r="O39" s="265"/>
      <c r="P39" s="265"/>
      <c r="Q39" s="265"/>
    </row>
    <row r="40" ht="17.25" customHeight="1">
      <c r="O40" s="265"/>
      <c r="P40" s="265"/>
      <c r="Q40" s="265"/>
    </row>
    <row r="41" ht="17.25" customHeight="1">
      <c r="O41" s="265"/>
      <c r="P41" s="265"/>
      <c r="Q41" s="265"/>
    </row>
    <row r="42" ht="17.25" customHeight="1">
      <c r="O42" s="265"/>
      <c r="P42" s="265"/>
      <c r="Q42" s="265"/>
    </row>
    <row r="43" ht="17.25" customHeight="1">
      <c r="O43" s="265"/>
      <c r="P43" s="265"/>
      <c r="Q43" s="265"/>
    </row>
    <row r="44" ht="17.25" customHeight="1">
      <c r="O44" s="265"/>
      <c r="P44" s="265"/>
      <c r="Q44" s="265"/>
    </row>
    <row r="45" ht="17.25" customHeight="1">
      <c r="O45" s="265"/>
      <c r="P45" s="265"/>
      <c r="Q45" s="265"/>
    </row>
    <row r="46" ht="17.25" customHeight="1">
      <c r="O46" s="265"/>
      <c r="P46" s="265"/>
      <c r="Q46" s="265"/>
    </row>
    <row r="47" ht="17.25" customHeight="1">
      <c r="O47" s="265"/>
      <c r="P47" s="265"/>
      <c r="Q47" s="265"/>
    </row>
    <row r="48" ht="17.25" customHeight="1">
      <c r="O48" s="265"/>
      <c r="P48" s="265"/>
      <c r="Q48" s="265"/>
    </row>
    <row r="49" ht="17.25" customHeight="1">
      <c r="O49" s="265"/>
      <c r="P49" s="265"/>
      <c r="Q49" s="265"/>
    </row>
    <row r="50" ht="17.25" customHeight="1">
      <c r="O50" s="265"/>
      <c r="P50" s="265"/>
      <c r="Q50" s="265"/>
    </row>
    <row r="51" ht="17.25" customHeight="1">
      <c r="O51" s="265"/>
      <c r="P51" s="265"/>
      <c r="Q51" s="265"/>
    </row>
    <row r="52" ht="17.25" customHeight="1">
      <c r="O52" s="265"/>
      <c r="P52" s="265"/>
      <c r="Q52" s="265"/>
    </row>
    <row r="53" ht="17.25" customHeight="1">
      <c r="O53" s="265"/>
      <c r="P53" s="265"/>
      <c r="Q53" s="265"/>
    </row>
    <row r="54" ht="17.25" customHeight="1">
      <c r="O54" s="265"/>
      <c r="P54" s="265"/>
      <c r="Q54" s="265"/>
    </row>
    <row r="55" ht="17.25" customHeight="1">
      <c r="O55" s="265"/>
      <c r="P55" s="265"/>
      <c r="Q55" s="265"/>
    </row>
    <row r="56" ht="17.25" customHeight="1">
      <c r="O56" s="265"/>
      <c r="P56" s="265"/>
      <c r="Q56" s="265"/>
    </row>
    <row r="57" ht="17.25" customHeight="1">
      <c r="O57" s="265"/>
      <c r="P57" s="265"/>
      <c r="Q57" s="265"/>
    </row>
    <row r="58" ht="17.25" customHeight="1">
      <c r="O58" s="265"/>
      <c r="P58" s="265"/>
      <c r="Q58" s="265"/>
    </row>
    <row r="59" ht="17.25" customHeight="1">
      <c r="O59" s="265"/>
      <c r="P59" s="265"/>
      <c r="Q59" s="265"/>
    </row>
    <row r="60" ht="17.25" customHeight="1">
      <c r="O60" s="265"/>
      <c r="P60" s="265"/>
      <c r="Q60" s="265"/>
    </row>
    <row r="61" ht="17.25" customHeight="1">
      <c r="O61" s="265"/>
      <c r="P61" s="265"/>
      <c r="Q61" s="265"/>
    </row>
    <row r="62" ht="17.25" customHeight="1">
      <c r="O62" s="265"/>
      <c r="P62" s="265"/>
      <c r="Q62" s="265"/>
    </row>
    <row r="63" ht="17.25" customHeight="1">
      <c r="O63" s="265"/>
      <c r="P63" s="265"/>
      <c r="Q63" s="265"/>
    </row>
    <row r="64" ht="17.25" customHeight="1">
      <c r="O64" s="265"/>
      <c r="P64" s="265"/>
      <c r="Q64" s="265"/>
    </row>
    <row r="65" ht="17.25" customHeight="1">
      <c r="O65" s="265"/>
      <c r="P65" s="265"/>
      <c r="Q65" s="265"/>
    </row>
    <row r="66" ht="17.25" customHeight="1">
      <c r="O66" s="265"/>
      <c r="P66" s="265"/>
      <c r="Q66" s="265"/>
    </row>
    <row r="67" ht="17.25" customHeight="1">
      <c r="O67" s="265"/>
      <c r="P67" s="265"/>
      <c r="Q67" s="265"/>
    </row>
    <row r="68" ht="17.25" customHeight="1">
      <c r="O68" s="265"/>
      <c r="P68" s="265"/>
      <c r="Q68" s="265"/>
    </row>
    <row r="69" ht="17.25" customHeight="1">
      <c r="O69" s="265"/>
      <c r="P69" s="265"/>
      <c r="Q69" s="265"/>
    </row>
    <row r="70" ht="17.25" customHeight="1">
      <c r="O70" s="265"/>
      <c r="P70" s="265"/>
      <c r="Q70" s="265"/>
    </row>
    <row r="71" ht="17.25" customHeight="1">
      <c r="O71" s="265"/>
      <c r="P71" s="265"/>
      <c r="Q71" s="265"/>
    </row>
    <row r="72" ht="17.25" customHeight="1">
      <c r="O72" s="265"/>
      <c r="P72" s="265"/>
      <c r="Q72" s="265"/>
    </row>
    <row r="73" ht="17.25" customHeight="1">
      <c r="O73" s="265"/>
      <c r="P73" s="265"/>
      <c r="Q73" s="265"/>
    </row>
    <row r="74" ht="17.25" customHeight="1">
      <c r="O74" s="265"/>
      <c r="P74" s="265"/>
      <c r="Q74" s="265"/>
    </row>
    <row r="75" ht="17.25" customHeight="1">
      <c r="O75" s="265"/>
      <c r="P75" s="265"/>
      <c r="Q75" s="265"/>
    </row>
    <row r="76" ht="17.25" customHeight="1">
      <c r="O76" s="265"/>
      <c r="P76" s="265"/>
      <c r="Q76" s="265"/>
    </row>
    <row r="77" ht="17.25" customHeight="1">
      <c r="O77" s="265"/>
      <c r="P77" s="265"/>
      <c r="Q77" s="265"/>
    </row>
    <row r="78" ht="17.25" customHeight="1">
      <c r="O78" s="265"/>
      <c r="P78" s="265"/>
      <c r="Q78" s="265"/>
    </row>
    <row r="79" ht="17.25" customHeight="1">
      <c r="O79" s="265"/>
      <c r="P79" s="265"/>
      <c r="Q79" s="265"/>
    </row>
    <row r="80" ht="17.25" customHeight="1">
      <c r="O80" s="265"/>
      <c r="P80" s="265"/>
      <c r="Q80" s="265"/>
    </row>
    <row r="81" ht="17.25" customHeight="1">
      <c r="O81" s="265"/>
      <c r="P81" s="265"/>
      <c r="Q81" s="265"/>
    </row>
    <row r="82" ht="17.25" customHeight="1">
      <c r="O82" s="265"/>
      <c r="P82" s="265"/>
      <c r="Q82" s="265"/>
    </row>
    <row r="83" ht="17.25" customHeight="1">
      <c r="O83" s="265"/>
      <c r="P83" s="265"/>
      <c r="Q83" s="265"/>
    </row>
    <row r="84" ht="17.25" customHeight="1">
      <c r="O84" s="265"/>
      <c r="P84" s="265"/>
      <c r="Q84" s="265"/>
    </row>
    <row r="85" ht="17.25" customHeight="1">
      <c r="O85" s="265"/>
      <c r="P85" s="265"/>
      <c r="Q85" s="265"/>
    </row>
    <row r="86" ht="17.25" customHeight="1">
      <c r="O86" s="265"/>
      <c r="P86" s="265"/>
      <c r="Q86" s="265"/>
    </row>
    <row r="87" ht="17.25" customHeight="1">
      <c r="O87" s="265"/>
      <c r="P87" s="265"/>
      <c r="Q87" s="265"/>
    </row>
    <row r="88" ht="17.25" customHeight="1">
      <c r="O88" s="265"/>
      <c r="P88" s="265"/>
      <c r="Q88" s="265"/>
    </row>
    <row r="89" ht="17.25" customHeight="1">
      <c r="O89" s="265"/>
      <c r="P89" s="265"/>
      <c r="Q89" s="265"/>
    </row>
    <row r="90" ht="17.25" customHeight="1">
      <c r="O90" s="265"/>
      <c r="P90" s="265"/>
      <c r="Q90" s="265"/>
    </row>
    <row r="91" ht="17.25" customHeight="1">
      <c r="O91" s="265"/>
      <c r="P91" s="265"/>
      <c r="Q91" s="265"/>
    </row>
    <row r="92" ht="17.25" customHeight="1">
      <c r="O92" s="265"/>
      <c r="P92" s="265"/>
      <c r="Q92" s="265"/>
    </row>
    <row r="93" ht="17.25" customHeight="1">
      <c r="O93" s="265"/>
      <c r="P93" s="265"/>
      <c r="Q93" s="265"/>
    </row>
    <row r="94" ht="17.25" customHeight="1">
      <c r="O94" s="265"/>
      <c r="P94" s="265"/>
      <c r="Q94" s="265"/>
    </row>
    <row r="95" ht="17.25" customHeight="1">
      <c r="O95" s="265"/>
      <c r="P95" s="265"/>
      <c r="Q95" s="265"/>
    </row>
    <row r="96" ht="17.25" customHeight="1">
      <c r="O96" s="265"/>
      <c r="P96" s="265"/>
      <c r="Q96" s="265"/>
    </row>
    <row r="97" ht="17.25" customHeight="1">
      <c r="O97" s="265"/>
      <c r="P97" s="265"/>
      <c r="Q97" s="265"/>
    </row>
    <row r="98" ht="17.25" customHeight="1">
      <c r="O98" s="265"/>
      <c r="P98" s="265"/>
      <c r="Q98" s="265"/>
    </row>
    <row r="99" ht="17.25" customHeight="1">
      <c r="O99" s="265"/>
      <c r="P99" s="265"/>
      <c r="Q99" s="265"/>
    </row>
    <row r="100" ht="17.25" customHeight="1">
      <c r="O100" s="265"/>
      <c r="P100" s="265"/>
      <c r="Q100" s="265"/>
    </row>
    <row r="101" ht="17.25" customHeight="1">
      <c r="O101" s="265"/>
      <c r="P101" s="265"/>
      <c r="Q101" s="265"/>
    </row>
    <row r="102" ht="17.25" customHeight="1">
      <c r="O102" s="265"/>
      <c r="P102" s="265"/>
      <c r="Q102" s="265"/>
    </row>
    <row r="103" ht="17.25" customHeight="1">
      <c r="O103" s="265"/>
      <c r="P103" s="265"/>
      <c r="Q103" s="265"/>
    </row>
    <row r="104" ht="17.25" customHeight="1">
      <c r="O104" s="265"/>
      <c r="P104" s="265"/>
      <c r="Q104" s="265"/>
    </row>
    <row r="105" ht="17.25" customHeight="1">
      <c r="O105" s="265"/>
      <c r="P105" s="265"/>
      <c r="Q105" s="265"/>
    </row>
    <row r="106" ht="17.25" customHeight="1">
      <c r="O106" s="265"/>
      <c r="P106" s="265"/>
      <c r="Q106" s="265"/>
    </row>
    <row r="107" ht="17.25" customHeight="1">
      <c r="O107" s="265"/>
      <c r="P107" s="265"/>
      <c r="Q107" s="265"/>
    </row>
    <row r="108" ht="17.25" customHeight="1">
      <c r="O108" s="265"/>
      <c r="P108" s="265"/>
      <c r="Q108" s="265"/>
    </row>
    <row r="109" ht="17.25" customHeight="1">
      <c r="O109" s="265"/>
      <c r="P109" s="265"/>
      <c r="Q109" s="265"/>
    </row>
    <row r="110" ht="17.25" customHeight="1">
      <c r="O110" s="265"/>
      <c r="P110" s="265"/>
      <c r="Q110" s="265"/>
    </row>
    <row r="111" ht="17.25" customHeight="1">
      <c r="O111" s="265"/>
      <c r="P111" s="265"/>
      <c r="Q111" s="265"/>
    </row>
    <row r="112" ht="17.25" customHeight="1">
      <c r="O112" s="265"/>
      <c r="P112" s="265"/>
      <c r="Q112" s="265"/>
    </row>
    <row r="113" ht="17.25" customHeight="1">
      <c r="O113" s="265"/>
      <c r="P113" s="265"/>
      <c r="Q113" s="265"/>
    </row>
    <row r="114" ht="17.25" customHeight="1">
      <c r="O114" s="265"/>
      <c r="P114" s="265"/>
      <c r="Q114" s="265"/>
    </row>
    <row r="115" ht="17.25" customHeight="1">
      <c r="O115" s="265"/>
      <c r="P115" s="265"/>
      <c r="Q115" s="265"/>
    </row>
    <row r="116" ht="17.25" customHeight="1">
      <c r="O116" s="265"/>
      <c r="P116" s="265"/>
      <c r="Q116" s="265"/>
    </row>
    <row r="117" ht="17.25" customHeight="1">
      <c r="O117" s="265"/>
      <c r="P117" s="265"/>
      <c r="Q117" s="265"/>
    </row>
    <row r="118" ht="17.25" customHeight="1">
      <c r="O118" s="265"/>
      <c r="P118" s="265"/>
      <c r="Q118" s="265"/>
    </row>
    <row r="119" ht="17.25" customHeight="1">
      <c r="O119" s="265"/>
      <c r="P119" s="265"/>
      <c r="Q119" s="265"/>
    </row>
    <row r="120" ht="17.25" customHeight="1">
      <c r="O120" s="265"/>
      <c r="P120" s="265"/>
      <c r="Q120" s="265"/>
    </row>
    <row r="121" ht="17.25" customHeight="1">
      <c r="O121" s="265"/>
      <c r="P121" s="265"/>
      <c r="Q121" s="265"/>
    </row>
    <row r="122" ht="17.25" customHeight="1">
      <c r="O122" s="265"/>
      <c r="P122" s="265"/>
      <c r="Q122" s="265"/>
    </row>
    <row r="123" ht="17.25" customHeight="1">
      <c r="O123" s="265"/>
      <c r="P123" s="265"/>
      <c r="Q123" s="265"/>
    </row>
    <row r="124" ht="17.25" customHeight="1">
      <c r="O124" s="265"/>
      <c r="P124" s="265"/>
      <c r="Q124" s="265"/>
    </row>
    <row r="125" ht="17.25" customHeight="1">
      <c r="O125" s="265"/>
      <c r="P125" s="265"/>
      <c r="Q125" s="265"/>
    </row>
    <row r="126" ht="17.25" customHeight="1">
      <c r="O126" s="265"/>
      <c r="P126" s="265"/>
      <c r="Q126" s="265"/>
    </row>
    <row r="127" ht="17.25" customHeight="1">
      <c r="O127" s="265"/>
      <c r="P127" s="265"/>
      <c r="Q127" s="265"/>
    </row>
    <row r="128" ht="17.25" customHeight="1">
      <c r="O128" s="265"/>
      <c r="P128" s="265"/>
      <c r="Q128" s="265"/>
    </row>
    <row r="129" ht="17.25" customHeight="1">
      <c r="O129" s="265"/>
      <c r="P129" s="265"/>
      <c r="Q129" s="265"/>
    </row>
    <row r="130" ht="17.25" customHeight="1">
      <c r="O130" s="265"/>
      <c r="P130" s="265"/>
      <c r="Q130" s="265"/>
    </row>
    <row r="131" ht="17.25" customHeight="1">
      <c r="O131" s="265"/>
      <c r="P131" s="265"/>
      <c r="Q131" s="265"/>
    </row>
    <row r="132" ht="17.25" customHeight="1">
      <c r="O132" s="265"/>
      <c r="P132" s="265"/>
      <c r="Q132" s="265"/>
    </row>
    <row r="133" ht="17.25" customHeight="1">
      <c r="O133" s="265"/>
      <c r="P133" s="265"/>
      <c r="Q133" s="265"/>
    </row>
    <row r="134" ht="17.25" customHeight="1">
      <c r="O134" s="265"/>
      <c r="P134" s="265"/>
      <c r="Q134" s="265"/>
    </row>
    <row r="135" ht="17.25" customHeight="1">
      <c r="O135" s="265"/>
      <c r="P135" s="265"/>
      <c r="Q135" s="265"/>
    </row>
    <row r="136" ht="17.25" customHeight="1">
      <c r="O136" s="265"/>
      <c r="P136" s="265"/>
      <c r="Q136" s="265"/>
    </row>
    <row r="137" ht="17.25" customHeight="1">
      <c r="O137" s="265"/>
      <c r="P137" s="265"/>
      <c r="Q137" s="265"/>
    </row>
    <row r="138" ht="17.25" customHeight="1">
      <c r="O138" s="265"/>
      <c r="P138" s="265"/>
      <c r="Q138" s="265"/>
    </row>
    <row r="139" ht="17.25" customHeight="1">
      <c r="O139" s="265"/>
      <c r="P139" s="265"/>
      <c r="Q139" s="265"/>
    </row>
    <row r="140" ht="17.25" customHeight="1">
      <c r="O140" s="265"/>
      <c r="P140" s="265"/>
      <c r="Q140" s="265"/>
    </row>
    <row r="141" ht="17.25" customHeight="1">
      <c r="O141" s="265"/>
      <c r="P141" s="265"/>
      <c r="Q141" s="265"/>
    </row>
    <row r="142" ht="17.25" customHeight="1">
      <c r="O142" s="265"/>
      <c r="P142" s="265"/>
      <c r="Q142" s="265"/>
    </row>
    <row r="143" ht="17.25" customHeight="1">
      <c r="O143" s="265"/>
      <c r="P143" s="265"/>
      <c r="Q143" s="265"/>
    </row>
    <row r="144" ht="17.25" customHeight="1">
      <c r="O144" s="265"/>
      <c r="P144" s="265"/>
      <c r="Q144" s="265"/>
    </row>
    <row r="145" ht="17.25" customHeight="1">
      <c r="O145" s="265"/>
      <c r="P145" s="265"/>
      <c r="Q145" s="265"/>
    </row>
    <row r="146" ht="17.25" customHeight="1">
      <c r="O146" s="265"/>
      <c r="P146" s="265"/>
      <c r="Q146" s="265"/>
    </row>
    <row r="147" ht="17.25" customHeight="1">
      <c r="O147" s="265"/>
      <c r="P147" s="265"/>
      <c r="Q147" s="265"/>
    </row>
    <row r="148" ht="17.25" customHeight="1">
      <c r="O148" s="265"/>
      <c r="P148" s="265"/>
      <c r="Q148" s="265"/>
    </row>
    <row r="149" ht="17.25" customHeight="1">
      <c r="O149" s="265"/>
      <c r="P149" s="265"/>
      <c r="Q149" s="265"/>
    </row>
    <row r="150" ht="17.25" customHeight="1">
      <c r="O150" s="265"/>
      <c r="P150" s="265"/>
      <c r="Q150" s="265"/>
    </row>
    <row r="151" ht="17.25" customHeight="1">
      <c r="O151" s="265"/>
      <c r="P151" s="265"/>
      <c r="Q151" s="265"/>
    </row>
    <row r="152" ht="17.25" customHeight="1">
      <c r="O152" s="265"/>
      <c r="P152" s="265"/>
      <c r="Q152" s="265"/>
    </row>
    <row r="153" ht="17.25" customHeight="1">
      <c r="O153" s="265"/>
      <c r="P153" s="265"/>
      <c r="Q153" s="265"/>
    </row>
    <row r="154" ht="17.25" customHeight="1">
      <c r="O154" s="265"/>
      <c r="P154" s="265"/>
      <c r="Q154" s="265"/>
    </row>
    <row r="155" ht="17.25" customHeight="1">
      <c r="O155" s="265"/>
      <c r="P155" s="265"/>
      <c r="Q155" s="265"/>
    </row>
    <row r="156" ht="17.25" customHeight="1">
      <c r="O156" s="265"/>
      <c r="P156" s="265"/>
      <c r="Q156" s="265"/>
    </row>
    <row r="157" ht="17.25" customHeight="1">
      <c r="O157" s="265"/>
      <c r="P157" s="265"/>
      <c r="Q157" s="265"/>
    </row>
    <row r="158" ht="17.25" customHeight="1">
      <c r="O158" s="265"/>
      <c r="P158" s="265"/>
      <c r="Q158" s="265"/>
    </row>
    <row r="159" ht="17.25" customHeight="1">
      <c r="O159" s="265"/>
      <c r="P159" s="265"/>
      <c r="Q159" s="265"/>
    </row>
    <row r="160" ht="17.25" customHeight="1">
      <c r="O160" s="265"/>
      <c r="P160" s="265"/>
      <c r="Q160" s="265"/>
    </row>
    <row r="161" ht="17.25" customHeight="1">
      <c r="O161" s="265"/>
      <c r="P161" s="265"/>
      <c r="Q161" s="265"/>
    </row>
    <row r="162" ht="17.25" customHeight="1">
      <c r="O162" s="265"/>
      <c r="P162" s="265"/>
      <c r="Q162" s="265"/>
    </row>
    <row r="163" ht="17.25" customHeight="1">
      <c r="O163" s="265"/>
      <c r="P163" s="265"/>
      <c r="Q163" s="265"/>
    </row>
    <row r="164" ht="17.25" customHeight="1">
      <c r="O164" s="265"/>
      <c r="P164" s="265"/>
      <c r="Q164" s="265"/>
    </row>
    <row r="165" ht="17.25" customHeight="1">
      <c r="O165" s="265"/>
      <c r="P165" s="265"/>
      <c r="Q165" s="265"/>
    </row>
    <row r="166" ht="17.25" customHeight="1">
      <c r="O166" s="265"/>
      <c r="P166" s="265"/>
      <c r="Q166" s="265"/>
    </row>
    <row r="167" ht="17.25" customHeight="1">
      <c r="O167" s="265"/>
      <c r="P167" s="265"/>
      <c r="Q167" s="265"/>
    </row>
    <row r="168" ht="17.25" customHeight="1">
      <c r="O168" s="265"/>
      <c r="P168" s="265"/>
      <c r="Q168" s="265"/>
    </row>
    <row r="169" ht="17.25" customHeight="1">
      <c r="O169" s="265"/>
      <c r="P169" s="265"/>
      <c r="Q169" s="265"/>
    </row>
    <row r="170" ht="17.25" customHeight="1">
      <c r="O170" s="265"/>
      <c r="P170" s="265"/>
      <c r="Q170" s="265"/>
    </row>
    <row r="171" ht="17.25" customHeight="1">
      <c r="O171" s="265"/>
      <c r="P171" s="265"/>
      <c r="Q171" s="265"/>
    </row>
    <row r="172" ht="17.25" customHeight="1">
      <c r="O172" s="265"/>
      <c r="P172" s="265"/>
      <c r="Q172" s="265"/>
    </row>
    <row r="173" ht="17.25" customHeight="1">
      <c r="O173" s="265"/>
      <c r="P173" s="265"/>
      <c r="Q173" s="265"/>
    </row>
    <row r="174" ht="17.25" customHeight="1">
      <c r="O174" s="265"/>
      <c r="P174" s="265"/>
      <c r="Q174" s="265"/>
    </row>
    <row r="175" ht="17.25" customHeight="1">
      <c r="O175" s="265"/>
      <c r="P175" s="265"/>
      <c r="Q175" s="265"/>
    </row>
    <row r="176" ht="17.25" customHeight="1">
      <c r="O176" s="265"/>
      <c r="P176" s="265"/>
      <c r="Q176" s="265"/>
    </row>
    <row r="177" ht="17.25" customHeight="1">
      <c r="O177" s="265"/>
      <c r="P177" s="265"/>
      <c r="Q177" s="265"/>
    </row>
    <row r="178" ht="17.25" customHeight="1">
      <c r="O178" s="265"/>
      <c r="P178" s="265"/>
      <c r="Q178" s="265"/>
    </row>
    <row r="179" ht="17.25" customHeight="1">
      <c r="O179" s="265"/>
      <c r="P179" s="265"/>
      <c r="Q179" s="265"/>
    </row>
    <row r="180" ht="17.25" customHeight="1">
      <c r="O180" s="265"/>
      <c r="P180" s="265"/>
      <c r="Q180" s="265"/>
    </row>
    <row r="181" ht="17.25" customHeight="1">
      <c r="O181" s="265"/>
      <c r="P181" s="265"/>
      <c r="Q181" s="265"/>
    </row>
    <row r="182" ht="17.25" customHeight="1">
      <c r="O182" s="265"/>
      <c r="P182" s="265"/>
      <c r="Q182" s="265"/>
    </row>
    <row r="183" ht="17.25" customHeight="1">
      <c r="O183" s="265"/>
      <c r="P183" s="265"/>
      <c r="Q183" s="265"/>
    </row>
    <row r="184" ht="17.25" customHeight="1">
      <c r="O184" s="265"/>
      <c r="P184" s="265"/>
      <c r="Q184" s="265"/>
    </row>
    <row r="185" ht="17.25" customHeight="1">
      <c r="O185" s="265"/>
      <c r="P185" s="265"/>
      <c r="Q185" s="265"/>
    </row>
    <row r="186" ht="17.25" customHeight="1">
      <c r="O186" s="265"/>
      <c r="P186" s="265"/>
      <c r="Q186" s="265"/>
    </row>
    <row r="187" ht="17.25" customHeight="1">
      <c r="O187" s="265"/>
      <c r="P187" s="265"/>
      <c r="Q187" s="265"/>
    </row>
    <row r="188" ht="17.25" customHeight="1">
      <c r="O188" s="265"/>
      <c r="P188" s="265"/>
      <c r="Q188" s="265"/>
    </row>
    <row r="189" ht="17.25" customHeight="1">
      <c r="O189" s="265"/>
      <c r="P189" s="265"/>
      <c r="Q189" s="265"/>
    </row>
    <row r="190" ht="17.25" customHeight="1">
      <c r="O190" s="265"/>
      <c r="P190" s="265"/>
      <c r="Q190" s="265"/>
    </row>
    <row r="191" ht="17.25" customHeight="1">
      <c r="O191" s="265"/>
      <c r="P191" s="265"/>
      <c r="Q191" s="265"/>
    </row>
    <row r="192" ht="17.25" customHeight="1">
      <c r="O192" s="265"/>
      <c r="P192" s="265"/>
      <c r="Q192" s="265"/>
    </row>
    <row r="193" ht="17.25" customHeight="1">
      <c r="O193" s="265"/>
      <c r="P193" s="265"/>
      <c r="Q193" s="265"/>
    </row>
    <row r="194" ht="17.25" customHeight="1">
      <c r="O194" s="265"/>
      <c r="P194" s="265"/>
      <c r="Q194" s="265"/>
    </row>
    <row r="195" ht="17.25" customHeight="1">
      <c r="O195" s="265"/>
      <c r="P195" s="265"/>
      <c r="Q195" s="265"/>
    </row>
    <row r="196" ht="17.25" customHeight="1">
      <c r="O196" s="265"/>
      <c r="P196" s="265"/>
      <c r="Q196" s="265"/>
    </row>
    <row r="197" ht="17.25" customHeight="1">
      <c r="O197" s="265"/>
      <c r="P197" s="265"/>
      <c r="Q197" s="265"/>
    </row>
    <row r="198" ht="17.25" customHeight="1">
      <c r="O198" s="265"/>
      <c r="P198" s="265"/>
      <c r="Q198" s="265"/>
    </row>
    <row r="199" ht="17.25" customHeight="1">
      <c r="O199" s="265"/>
      <c r="P199" s="265"/>
      <c r="Q199" s="265"/>
    </row>
    <row r="200" ht="17.25" customHeight="1">
      <c r="O200" s="265"/>
      <c r="P200" s="265"/>
      <c r="Q200" s="265"/>
    </row>
    <row r="201" ht="17.25" customHeight="1">
      <c r="O201" s="265"/>
      <c r="P201" s="265"/>
      <c r="Q201" s="265"/>
    </row>
    <row r="202" ht="17.25" customHeight="1">
      <c r="O202" s="265"/>
      <c r="P202" s="265"/>
      <c r="Q202" s="265"/>
    </row>
    <row r="203" ht="17.25" customHeight="1">
      <c r="O203" s="265"/>
      <c r="P203" s="265"/>
      <c r="Q203" s="265"/>
    </row>
    <row r="204" ht="17.25" customHeight="1">
      <c r="O204" s="265"/>
      <c r="P204" s="265"/>
      <c r="Q204" s="265"/>
    </row>
    <row r="205" ht="17.25" customHeight="1">
      <c r="O205" s="265"/>
      <c r="P205" s="265"/>
      <c r="Q205" s="265"/>
    </row>
    <row r="206" ht="17.25" customHeight="1">
      <c r="O206" s="265"/>
      <c r="P206" s="265"/>
      <c r="Q206" s="265"/>
    </row>
    <row r="207" ht="17.25" customHeight="1">
      <c r="O207" s="265"/>
      <c r="P207" s="265"/>
      <c r="Q207" s="265"/>
    </row>
    <row r="208" ht="17.25" customHeight="1">
      <c r="O208" s="265"/>
      <c r="P208" s="265"/>
      <c r="Q208" s="265"/>
    </row>
    <row r="209" ht="17.25" customHeight="1">
      <c r="O209" s="265"/>
      <c r="P209" s="265"/>
      <c r="Q209" s="265"/>
    </row>
    <row r="210" ht="17.25" customHeight="1">
      <c r="O210" s="265"/>
      <c r="P210" s="265"/>
      <c r="Q210" s="265"/>
    </row>
    <row r="211" ht="17.25" customHeight="1">
      <c r="O211" s="265"/>
      <c r="P211" s="265"/>
      <c r="Q211" s="265"/>
    </row>
    <row r="212" ht="17.25" customHeight="1">
      <c r="O212" s="265"/>
      <c r="P212" s="265"/>
      <c r="Q212" s="265"/>
    </row>
    <row r="213" ht="17.25" customHeight="1">
      <c r="O213" s="265"/>
      <c r="P213" s="265"/>
      <c r="Q213" s="265"/>
    </row>
    <row r="214" ht="17.25" customHeight="1">
      <c r="O214" s="265"/>
      <c r="P214" s="265"/>
      <c r="Q214" s="265"/>
    </row>
    <row r="215" ht="17.25" customHeight="1">
      <c r="O215" s="265"/>
      <c r="P215" s="265"/>
      <c r="Q215" s="265"/>
    </row>
    <row r="216" ht="17.25" customHeight="1">
      <c r="O216" s="265"/>
      <c r="P216" s="265"/>
      <c r="Q216" s="265"/>
    </row>
    <row r="217" ht="17.25" customHeight="1">
      <c r="O217" s="265"/>
      <c r="P217" s="265"/>
      <c r="Q217" s="265"/>
    </row>
    <row r="218" ht="17.25" customHeight="1">
      <c r="O218" s="265"/>
      <c r="P218" s="265"/>
      <c r="Q218" s="265"/>
    </row>
    <row r="219" ht="17.25" customHeight="1">
      <c r="O219" s="265"/>
      <c r="P219" s="265"/>
      <c r="Q219" s="265"/>
    </row>
    <row r="220" ht="17.25" customHeight="1">
      <c r="O220" s="265"/>
      <c r="P220" s="265"/>
      <c r="Q220" s="265"/>
    </row>
    <row r="221" ht="17.25" customHeight="1">
      <c r="O221" s="265"/>
      <c r="P221" s="265"/>
      <c r="Q221" s="265"/>
    </row>
    <row r="222" ht="17.25" customHeight="1">
      <c r="O222" s="265"/>
      <c r="P222" s="265"/>
      <c r="Q222" s="265"/>
    </row>
    <row r="223" ht="17.25" customHeight="1">
      <c r="O223" s="265"/>
      <c r="P223" s="265"/>
      <c r="Q223" s="265"/>
    </row>
    <row r="224" ht="17.25" customHeight="1">
      <c r="O224" s="265"/>
      <c r="P224" s="265"/>
      <c r="Q224" s="265"/>
    </row>
    <row r="225" ht="17.25" customHeight="1">
      <c r="O225" s="265"/>
      <c r="P225" s="265"/>
      <c r="Q225" s="265"/>
    </row>
    <row r="226" ht="17.25" customHeight="1">
      <c r="O226" s="265"/>
      <c r="P226" s="265"/>
      <c r="Q226" s="265"/>
    </row>
    <row r="227" ht="17.25" customHeight="1">
      <c r="O227" s="265"/>
      <c r="P227" s="265"/>
      <c r="Q227" s="265"/>
    </row>
    <row r="228" ht="17.25" customHeight="1">
      <c r="O228" s="265"/>
      <c r="P228" s="265"/>
      <c r="Q228" s="265"/>
    </row>
    <row r="229" ht="17.25" customHeight="1">
      <c r="O229" s="265"/>
      <c r="P229" s="265"/>
      <c r="Q229" s="265"/>
    </row>
    <row r="230" ht="17.25" customHeight="1">
      <c r="O230" s="265"/>
      <c r="P230" s="265"/>
      <c r="Q230" s="265"/>
    </row>
    <row r="231" ht="17.25" customHeight="1">
      <c r="O231" s="265"/>
      <c r="P231" s="265"/>
      <c r="Q231" s="265"/>
    </row>
    <row r="232" ht="17.25" customHeight="1">
      <c r="O232" s="265"/>
      <c r="P232" s="265"/>
      <c r="Q232" s="265"/>
    </row>
    <row r="233" ht="17.25" customHeight="1">
      <c r="O233" s="265"/>
      <c r="P233" s="265"/>
      <c r="Q233" s="265"/>
    </row>
    <row r="234" ht="17.25" customHeight="1">
      <c r="O234" s="265"/>
      <c r="P234" s="265"/>
      <c r="Q234" s="265"/>
    </row>
    <row r="235" ht="17.25" customHeight="1">
      <c r="O235" s="265"/>
      <c r="P235" s="265"/>
      <c r="Q235" s="265"/>
    </row>
    <row r="236" ht="17.25" customHeight="1">
      <c r="O236" s="265"/>
      <c r="P236" s="265"/>
      <c r="Q236" s="265"/>
    </row>
    <row r="237" ht="17.25" customHeight="1">
      <c r="O237" s="265"/>
      <c r="P237" s="265"/>
      <c r="Q237" s="265"/>
    </row>
    <row r="238" ht="17.25" customHeight="1">
      <c r="O238" s="265"/>
      <c r="P238" s="265"/>
      <c r="Q238" s="265"/>
    </row>
    <row r="239" ht="17.25" customHeight="1">
      <c r="O239" s="265"/>
      <c r="P239" s="265"/>
      <c r="Q239" s="265"/>
    </row>
    <row r="240" ht="17.25" customHeight="1">
      <c r="O240" s="265"/>
      <c r="P240" s="265"/>
      <c r="Q240" s="265"/>
    </row>
    <row r="241" ht="17.25" customHeight="1">
      <c r="O241" s="265"/>
      <c r="P241" s="265"/>
      <c r="Q241" s="265"/>
    </row>
    <row r="242" ht="17.25" customHeight="1">
      <c r="O242" s="265"/>
      <c r="P242" s="265"/>
      <c r="Q242" s="265"/>
    </row>
    <row r="243" ht="17.25" customHeight="1">
      <c r="O243" s="265"/>
      <c r="P243" s="265"/>
      <c r="Q243" s="265"/>
    </row>
    <row r="244" ht="17.25" customHeight="1">
      <c r="O244" s="265"/>
      <c r="P244" s="265"/>
      <c r="Q244" s="265"/>
    </row>
    <row r="245" ht="17.25" customHeight="1">
      <c r="O245" s="265"/>
      <c r="P245" s="265"/>
      <c r="Q245" s="265"/>
    </row>
    <row r="246" ht="17.25" customHeight="1">
      <c r="O246" s="265"/>
      <c r="P246" s="265"/>
      <c r="Q246" s="265"/>
    </row>
    <row r="247" ht="17.25" customHeight="1">
      <c r="O247" s="265"/>
      <c r="P247" s="265"/>
      <c r="Q247" s="265"/>
    </row>
    <row r="248" ht="17.25" customHeight="1">
      <c r="O248" s="265"/>
      <c r="P248" s="265"/>
      <c r="Q248" s="265"/>
    </row>
    <row r="249" ht="17.25" customHeight="1">
      <c r="O249" s="265"/>
      <c r="P249" s="265"/>
      <c r="Q249" s="265"/>
    </row>
    <row r="250" ht="17.25" customHeight="1">
      <c r="O250" s="265"/>
      <c r="P250" s="265"/>
      <c r="Q250" s="265"/>
    </row>
    <row r="251" ht="17.25" customHeight="1">
      <c r="O251" s="265"/>
      <c r="P251" s="265"/>
      <c r="Q251" s="265"/>
    </row>
    <row r="252" ht="17.25" customHeight="1">
      <c r="O252" s="265"/>
      <c r="P252" s="265"/>
      <c r="Q252" s="265"/>
    </row>
    <row r="253" ht="17.25" customHeight="1">
      <c r="O253" s="265"/>
      <c r="P253" s="265"/>
      <c r="Q253" s="265"/>
    </row>
    <row r="254" ht="17.25" customHeight="1">
      <c r="O254" s="265"/>
      <c r="P254" s="265"/>
      <c r="Q254" s="265"/>
    </row>
    <row r="255" ht="17.25" customHeight="1">
      <c r="O255" s="265"/>
      <c r="P255" s="265"/>
      <c r="Q255" s="265"/>
    </row>
    <row r="256" ht="17.25" customHeight="1">
      <c r="O256" s="265"/>
      <c r="P256" s="265"/>
      <c r="Q256" s="265"/>
    </row>
    <row r="257" ht="17.25" customHeight="1">
      <c r="O257" s="265"/>
      <c r="P257" s="265"/>
      <c r="Q257" s="265"/>
    </row>
    <row r="258" ht="17.25" customHeight="1">
      <c r="O258" s="265"/>
      <c r="P258" s="265"/>
      <c r="Q258" s="265"/>
    </row>
    <row r="259" ht="17.25" customHeight="1">
      <c r="O259" s="265"/>
      <c r="P259" s="265"/>
      <c r="Q259" s="265"/>
    </row>
    <row r="260" ht="17.25" customHeight="1">
      <c r="O260" s="265"/>
      <c r="P260" s="265"/>
      <c r="Q260" s="265"/>
    </row>
    <row r="261" ht="17.25" customHeight="1">
      <c r="O261" s="265"/>
      <c r="P261" s="265"/>
      <c r="Q261" s="265"/>
    </row>
    <row r="262" ht="17.25" customHeight="1">
      <c r="O262" s="265"/>
      <c r="P262" s="265"/>
      <c r="Q262" s="265"/>
    </row>
    <row r="263" ht="17.25" customHeight="1">
      <c r="O263" s="265"/>
      <c r="P263" s="265"/>
      <c r="Q263" s="265"/>
    </row>
    <row r="264" ht="17.25" customHeight="1">
      <c r="O264" s="265"/>
      <c r="P264" s="265"/>
      <c r="Q264" s="265"/>
    </row>
    <row r="265" ht="17.25" customHeight="1">
      <c r="O265" s="265"/>
      <c r="P265" s="265"/>
      <c r="Q265" s="265"/>
    </row>
    <row r="266" ht="17.25" customHeight="1">
      <c r="O266" s="265"/>
      <c r="P266" s="265"/>
      <c r="Q266" s="265"/>
    </row>
    <row r="267" ht="17.25" customHeight="1">
      <c r="O267" s="265"/>
      <c r="P267" s="265"/>
      <c r="Q267" s="265"/>
    </row>
    <row r="268" ht="17.25" customHeight="1">
      <c r="O268" s="265"/>
      <c r="P268" s="265"/>
      <c r="Q268" s="265"/>
    </row>
    <row r="269" ht="17.25" customHeight="1">
      <c r="O269" s="265"/>
      <c r="P269" s="265"/>
      <c r="Q269" s="265"/>
    </row>
    <row r="270" ht="17.25" customHeight="1">
      <c r="O270" s="265"/>
      <c r="P270" s="265"/>
      <c r="Q270" s="265"/>
    </row>
    <row r="271" ht="17.25" customHeight="1">
      <c r="O271" s="265"/>
      <c r="P271" s="265"/>
      <c r="Q271" s="265"/>
    </row>
    <row r="272" ht="17.25" customHeight="1">
      <c r="O272" s="265"/>
      <c r="P272" s="265"/>
      <c r="Q272" s="265"/>
    </row>
    <row r="273" ht="17.25" customHeight="1">
      <c r="O273" s="265"/>
      <c r="P273" s="265"/>
      <c r="Q273" s="265"/>
    </row>
    <row r="274" ht="17.25" customHeight="1">
      <c r="O274" s="265"/>
      <c r="P274" s="265"/>
      <c r="Q274" s="265"/>
    </row>
    <row r="275" ht="17.25" customHeight="1">
      <c r="O275" s="265"/>
      <c r="P275" s="265"/>
      <c r="Q275" s="265"/>
    </row>
    <row r="276" ht="17.25" customHeight="1">
      <c r="O276" s="265"/>
      <c r="P276" s="265"/>
      <c r="Q276" s="265"/>
    </row>
    <row r="277" ht="17.25" customHeight="1">
      <c r="O277" s="265"/>
      <c r="P277" s="265"/>
      <c r="Q277" s="265"/>
    </row>
    <row r="278" ht="17.25" customHeight="1">
      <c r="O278" s="265"/>
      <c r="P278" s="265"/>
      <c r="Q278" s="265"/>
    </row>
    <row r="279" ht="17.25" customHeight="1">
      <c r="O279" s="265"/>
      <c r="P279" s="265"/>
      <c r="Q279" s="265"/>
    </row>
    <row r="280" ht="17.25" customHeight="1">
      <c r="O280" s="265"/>
      <c r="P280" s="265"/>
      <c r="Q280" s="265"/>
    </row>
    <row r="281" ht="17.25" customHeight="1">
      <c r="O281" s="265"/>
      <c r="P281" s="265"/>
      <c r="Q281" s="265"/>
    </row>
    <row r="282" ht="17.25" customHeight="1">
      <c r="O282" s="265"/>
      <c r="P282" s="265"/>
      <c r="Q282" s="265"/>
    </row>
    <row r="283" ht="17.25" customHeight="1">
      <c r="O283" s="265"/>
      <c r="P283" s="265"/>
      <c r="Q283" s="265"/>
    </row>
    <row r="284" ht="17.25" customHeight="1">
      <c r="O284" s="265"/>
      <c r="P284" s="265"/>
      <c r="Q284" s="265"/>
    </row>
    <row r="285" ht="17.25" customHeight="1">
      <c r="O285" s="265"/>
      <c r="P285" s="265"/>
      <c r="Q285" s="265"/>
    </row>
    <row r="286" ht="17.25" customHeight="1">
      <c r="O286" s="265"/>
      <c r="P286" s="265"/>
      <c r="Q286" s="265"/>
    </row>
    <row r="287" ht="17.25" customHeight="1">
      <c r="O287" s="265"/>
      <c r="P287" s="265"/>
      <c r="Q287" s="265"/>
    </row>
    <row r="288" ht="17.25" customHeight="1">
      <c r="O288" s="265"/>
      <c r="P288" s="265"/>
      <c r="Q288" s="265"/>
    </row>
    <row r="289" ht="17.25" customHeight="1">
      <c r="O289" s="265"/>
      <c r="P289" s="265"/>
      <c r="Q289" s="265"/>
    </row>
    <row r="290" ht="17.25" customHeight="1">
      <c r="O290" s="265"/>
      <c r="P290" s="265"/>
      <c r="Q290" s="265"/>
    </row>
    <row r="291" ht="17.25" customHeight="1">
      <c r="O291" s="265"/>
      <c r="P291" s="265"/>
      <c r="Q291" s="265"/>
    </row>
    <row r="292" ht="17.25" customHeight="1">
      <c r="O292" s="265"/>
      <c r="P292" s="265"/>
      <c r="Q292" s="265"/>
    </row>
    <row r="293" ht="17.25" customHeight="1">
      <c r="O293" s="265"/>
      <c r="P293" s="265"/>
      <c r="Q293" s="265"/>
    </row>
    <row r="294" ht="17.25" customHeight="1">
      <c r="O294" s="265"/>
      <c r="P294" s="265"/>
      <c r="Q294" s="265"/>
    </row>
    <row r="295" ht="17.25" customHeight="1">
      <c r="O295" s="265"/>
      <c r="P295" s="265"/>
      <c r="Q295" s="265"/>
    </row>
    <row r="296" ht="17.25" customHeight="1">
      <c r="O296" s="265"/>
      <c r="P296" s="265"/>
      <c r="Q296" s="265"/>
    </row>
    <row r="297" ht="17.25" customHeight="1">
      <c r="O297" s="265"/>
      <c r="P297" s="265"/>
      <c r="Q297" s="265"/>
    </row>
    <row r="298" ht="17.25" customHeight="1">
      <c r="O298" s="265"/>
      <c r="P298" s="265"/>
      <c r="Q298" s="265"/>
    </row>
    <row r="299" ht="17.25" customHeight="1">
      <c r="O299" s="265"/>
      <c r="P299" s="265"/>
      <c r="Q299" s="265"/>
    </row>
    <row r="300" ht="17.25" customHeight="1">
      <c r="O300" s="265"/>
      <c r="P300" s="265"/>
      <c r="Q300" s="265"/>
    </row>
    <row r="301" ht="17.25" customHeight="1">
      <c r="O301" s="265"/>
      <c r="P301" s="265"/>
      <c r="Q301" s="265"/>
    </row>
    <row r="302" ht="17.25" customHeight="1">
      <c r="O302" s="265"/>
      <c r="P302" s="265"/>
      <c r="Q302" s="265"/>
    </row>
    <row r="303" ht="17.25" customHeight="1">
      <c r="O303" s="265"/>
      <c r="P303" s="265"/>
      <c r="Q303" s="265"/>
    </row>
    <row r="304" ht="17.25" customHeight="1">
      <c r="O304" s="265"/>
      <c r="P304" s="265"/>
      <c r="Q304" s="265"/>
    </row>
    <row r="305" ht="17.25" customHeight="1">
      <c r="O305" s="265"/>
      <c r="P305" s="265"/>
      <c r="Q305" s="265"/>
    </row>
    <row r="306" ht="17.25" customHeight="1">
      <c r="O306" s="265"/>
      <c r="P306" s="265"/>
      <c r="Q306" s="265"/>
    </row>
    <row r="307" ht="17.25" customHeight="1">
      <c r="O307" s="265"/>
      <c r="P307" s="265"/>
      <c r="Q307" s="265"/>
    </row>
    <row r="308" ht="17.25" customHeight="1">
      <c r="O308" s="265"/>
      <c r="P308" s="265"/>
      <c r="Q308" s="265"/>
    </row>
    <row r="309" ht="17.25" customHeight="1">
      <c r="O309" s="265"/>
      <c r="P309" s="265"/>
      <c r="Q309" s="265"/>
    </row>
    <row r="310" ht="17.25" customHeight="1">
      <c r="O310" s="265"/>
      <c r="P310" s="265"/>
      <c r="Q310" s="265"/>
    </row>
    <row r="311" ht="17.25" customHeight="1">
      <c r="O311" s="265"/>
      <c r="P311" s="265"/>
      <c r="Q311" s="265"/>
    </row>
    <row r="312" ht="17.25" customHeight="1">
      <c r="O312" s="265"/>
      <c r="P312" s="265"/>
      <c r="Q312" s="265"/>
    </row>
    <row r="313" ht="17.25" customHeight="1">
      <c r="O313" s="265"/>
      <c r="P313" s="265"/>
      <c r="Q313" s="265"/>
    </row>
    <row r="314" ht="17.25" customHeight="1">
      <c r="O314" s="265"/>
      <c r="P314" s="265"/>
      <c r="Q314" s="265"/>
    </row>
    <row r="315" ht="17.25" customHeight="1">
      <c r="O315" s="265"/>
      <c r="P315" s="265"/>
      <c r="Q315" s="265"/>
    </row>
    <row r="316" ht="17.25" customHeight="1">
      <c r="O316" s="265"/>
      <c r="P316" s="265"/>
      <c r="Q316" s="265"/>
    </row>
    <row r="317" ht="17.25" customHeight="1">
      <c r="O317" s="265"/>
      <c r="P317" s="265"/>
      <c r="Q317" s="265"/>
    </row>
    <row r="318" ht="17.25" customHeight="1">
      <c r="O318" s="265"/>
      <c r="P318" s="265"/>
      <c r="Q318" s="265"/>
    </row>
    <row r="319" ht="17.25" customHeight="1">
      <c r="O319" s="265"/>
      <c r="P319" s="265"/>
      <c r="Q319" s="265"/>
    </row>
    <row r="320" ht="17.25" customHeight="1">
      <c r="O320" s="265"/>
      <c r="P320" s="265"/>
      <c r="Q320" s="265"/>
    </row>
    <row r="321" ht="17.25" customHeight="1">
      <c r="O321" s="265"/>
      <c r="P321" s="265"/>
      <c r="Q321" s="265"/>
    </row>
    <row r="322" ht="17.25" customHeight="1">
      <c r="O322" s="265"/>
      <c r="P322" s="265"/>
      <c r="Q322" s="265"/>
    </row>
    <row r="323" ht="17.25" customHeight="1">
      <c r="O323" s="265"/>
      <c r="P323" s="265"/>
      <c r="Q323" s="265"/>
    </row>
    <row r="324" ht="17.25" customHeight="1">
      <c r="O324" s="265"/>
      <c r="P324" s="265"/>
      <c r="Q324" s="265"/>
    </row>
    <row r="325" ht="17.25" customHeight="1">
      <c r="O325" s="265"/>
      <c r="P325" s="265"/>
      <c r="Q325" s="265"/>
    </row>
    <row r="326" ht="17.25" customHeight="1">
      <c r="O326" s="265"/>
      <c r="P326" s="265"/>
      <c r="Q326" s="265"/>
    </row>
    <row r="327" ht="17.25" customHeight="1">
      <c r="O327" s="265"/>
      <c r="P327" s="265"/>
      <c r="Q327" s="265"/>
    </row>
    <row r="328" ht="17.25" customHeight="1">
      <c r="O328" s="265"/>
      <c r="P328" s="265"/>
      <c r="Q328" s="265"/>
    </row>
    <row r="329" ht="17.25" customHeight="1">
      <c r="O329" s="265"/>
      <c r="P329" s="265"/>
      <c r="Q329" s="265"/>
    </row>
    <row r="330" ht="17.25" customHeight="1">
      <c r="O330" s="265"/>
      <c r="P330" s="265"/>
      <c r="Q330" s="265"/>
    </row>
    <row r="331" ht="17.25" customHeight="1">
      <c r="O331" s="265"/>
      <c r="P331" s="265"/>
      <c r="Q331" s="265"/>
    </row>
    <row r="332" ht="17.25" customHeight="1">
      <c r="O332" s="265"/>
      <c r="P332" s="265"/>
      <c r="Q332" s="265"/>
    </row>
    <row r="333" ht="17.25" customHeight="1">
      <c r="O333" s="265"/>
      <c r="P333" s="265"/>
      <c r="Q333" s="265"/>
    </row>
    <row r="334" ht="17.25" customHeight="1">
      <c r="O334" s="265"/>
      <c r="P334" s="265"/>
      <c r="Q334" s="265"/>
    </row>
    <row r="335" ht="17.25" customHeight="1">
      <c r="O335" s="265"/>
      <c r="P335" s="265"/>
      <c r="Q335" s="265"/>
    </row>
    <row r="336" ht="17.25" customHeight="1">
      <c r="O336" s="265"/>
      <c r="P336" s="265"/>
      <c r="Q336" s="265"/>
    </row>
    <row r="337" ht="17.25" customHeight="1">
      <c r="O337" s="265"/>
      <c r="P337" s="265"/>
      <c r="Q337" s="265"/>
    </row>
    <row r="338" ht="17.25" customHeight="1">
      <c r="O338" s="265"/>
      <c r="P338" s="265"/>
      <c r="Q338" s="265"/>
    </row>
    <row r="339" ht="17.25" customHeight="1">
      <c r="O339" s="265"/>
      <c r="P339" s="265"/>
      <c r="Q339" s="265"/>
    </row>
    <row r="340" ht="17.25" customHeight="1">
      <c r="O340" s="265"/>
      <c r="P340" s="265"/>
      <c r="Q340" s="265"/>
    </row>
    <row r="341" ht="17.25" customHeight="1">
      <c r="O341" s="265"/>
      <c r="P341" s="265"/>
      <c r="Q341" s="265"/>
    </row>
    <row r="342" ht="17.25" customHeight="1">
      <c r="O342" s="265"/>
      <c r="P342" s="265"/>
      <c r="Q342" s="265"/>
    </row>
    <row r="343" ht="17.25" customHeight="1">
      <c r="O343" s="265"/>
      <c r="P343" s="265"/>
      <c r="Q343" s="265"/>
    </row>
    <row r="344" ht="17.25" customHeight="1">
      <c r="O344" s="265"/>
      <c r="P344" s="265"/>
      <c r="Q344" s="265"/>
    </row>
    <row r="345" ht="17.25" customHeight="1">
      <c r="O345" s="265"/>
      <c r="P345" s="265"/>
      <c r="Q345" s="265"/>
    </row>
    <row r="346" ht="17.25" customHeight="1">
      <c r="O346" s="265"/>
      <c r="P346" s="265"/>
      <c r="Q346" s="265"/>
    </row>
    <row r="347" ht="17.25" customHeight="1">
      <c r="O347" s="265"/>
      <c r="P347" s="265"/>
      <c r="Q347" s="265"/>
    </row>
    <row r="348" ht="17.25" customHeight="1">
      <c r="O348" s="265"/>
      <c r="P348" s="265"/>
      <c r="Q348" s="265"/>
    </row>
    <row r="349" ht="17.25" customHeight="1">
      <c r="O349" s="265"/>
      <c r="P349" s="265"/>
      <c r="Q349" s="265"/>
    </row>
    <row r="350" ht="17.25" customHeight="1">
      <c r="O350" s="265"/>
      <c r="P350" s="265"/>
      <c r="Q350" s="265"/>
    </row>
    <row r="351" ht="17.25" customHeight="1">
      <c r="O351" s="265"/>
      <c r="P351" s="265"/>
      <c r="Q351" s="265"/>
    </row>
    <row r="352" ht="17.25" customHeight="1">
      <c r="O352" s="265"/>
      <c r="P352" s="265"/>
      <c r="Q352" s="265"/>
    </row>
    <row r="353" ht="17.25" customHeight="1">
      <c r="O353" s="265"/>
      <c r="P353" s="265"/>
      <c r="Q353" s="265"/>
    </row>
    <row r="354" ht="17.25" customHeight="1">
      <c r="O354" s="265"/>
      <c r="P354" s="265"/>
      <c r="Q354" s="265"/>
    </row>
    <row r="355" ht="17.25" customHeight="1">
      <c r="O355" s="265"/>
      <c r="P355" s="265"/>
      <c r="Q355" s="265"/>
    </row>
    <row r="356" ht="17.25" customHeight="1">
      <c r="O356" s="265"/>
      <c r="P356" s="265"/>
      <c r="Q356" s="265"/>
    </row>
    <row r="357" ht="17.25" customHeight="1">
      <c r="O357" s="265"/>
      <c r="P357" s="265"/>
      <c r="Q357" s="265"/>
    </row>
    <row r="358" ht="17.25" customHeight="1">
      <c r="O358" s="265"/>
      <c r="P358" s="265"/>
      <c r="Q358" s="265"/>
    </row>
    <row r="359" ht="17.25" customHeight="1">
      <c r="O359" s="265"/>
      <c r="P359" s="265"/>
      <c r="Q359" s="265"/>
    </row>
    <row r="360" ht="17.25" customHeight="1">
      <c r="O360" s="265"/>
      <c r="P360" s="265"/>
      <c r="Q360" s="265"/>
    </row>
    <row r="361" ht="17.25" customHeight="1">
      <c r="O361" s="265"/>
      <c r="P361" s="265"/>
      <c r="Q361" s="265"/>
    </row>
    <row r="362" ht="17.25" customHeight="1">
      <c r="O362" s="265"/>
      <c r="P362" s="265"/>
      <c r="Q362" s="265"/>
    </row>
    <row r="363" ht="17.25" customHeight="1">
      <c r="O363" s="265"/>
      <c r="P363" s="265"/>
      <c r="Q363" s="265"/>
    </row>
    <row r="364" ht="17.25" customHeight="1">
      <c r="O364" s="265"/>
      <c r="P364" s="265"/>
      <c r="Q364" s="265"/>
    </row>
    <row r="365" ht="17.25" customHeight="1">
      <c r="O365" s="265"/>
      <c r="P365" s="265"/>
      <c r="Q365" s="265"/>
    </row>
    <row r="366" ht="17.25" customHeight="1">
      <c r="O366" s="265"/>
      <c r="P366" s="265"/>
      <c r="Q366" s="265"/>
    </row>
    <row r="367" ht="17.25" customHeight="1">
      <c r="O367" s="265"/>
      <c r="P367" s="265"/>
      <c r="Q367" s="265"/>
    </row>
    <row r="368" ht="17.25" customHeight="1">
      <c r="O368" s="265"/>
      <c r="P368" s="265"/>
      <c r="Q368" s="265"/>
    </row>
    <row r="369" ht="17.25" customHeight="1">
      <c r="O369" s="265"/>
      <c r="P369" s="265"/>
      <c r="Q369" s="265"/>
    </row>
    <row r="370" ht="17.25" customHeight="1">
      <c r="O370" s="265"/>
      <c r="P370" s="265"/>
      <c r="Q370" s="265"/>
    </row>
    <row r="371" ht="17.25" customHeight="1">
      <c r="O371" s="265"/>
      <c r="P371" s="265"/>
      <c r="Q371" s="265"/>
    </row>
    <row r="372" ht="17.25" customHeight="1">
      <c r="O372" s="265"/>
      <c r="P372" s="265"/>
      <c r="Q372" s="265"/>
    </row>
    <row r="373" ht="17.25" customHeight="1">
      <c r="O373" s="265"/>
      <c r="P373" s="265"/>
      <c r="Q373" s="265"/>
    </row>
    <row r="374" ht="17.25" customHeight="1">
      <c r="O374" s="265"/>
      <c r="P374" s="265"/>
      <c r="Q374" s="265"/>
    </row>
    <row r="375" ht="17.25" customHeight="1">
      <c r="O375" s="265"/>
      <c r="P375" s="265"/>
      <c r="Q375" s="265"/>
    </row>
    <row r="376" ht="17.25" customHeight="1">
      <c r="O376" s="265"/>
      <c r="P376" s="265"/>
      <c r="Q376" s="265"/>
    </row>
    <row r="377" ht="17.25" customHeight="1">
      <c r="O377" s="265"/>
      <c r="P377" s="265"/>
      <c r="Q377" s="265"/>
    </row>
    <row r="378" ht="17.25" customHeight="1">
      <c r="O378" s="265"/>
      <c r="P378" s="265"/>
      <c r="Q378" s="265"/>
    </row>
    <row r="379" ht="17.25" customHeight="1">
      <c r="O379" s="265"/>
      <c r="P379" s="265"/>
      <c r="Q379" s="265"/>
    </row>
    <row r="380" ht="17.25" customHeight="1">
      <c r="O380" s="265"/>
      <c r="P380" s="265"/>
      <c r="Q380" s="265"/>
    </row>
    <row r="381" ht="17.25" customHeight="1">
      <c r="O381" s="265"/>
      <c r="P381" s="265"/>
      <c r="Q381" s="265"/>
    </row>
    <row r="382" ht="17.25" customHeight="1">
      <c r="O382" s="265"/>
      <c r="P382" s="265"/>
      <c r="Q382" s="265"/>
    </row>
    <row r="383" ht="17.25" customHeight="1">
      <c r="O383" s="265"/>
      <c r="P383" s="265"/>
      <c r="Q383" s="265"/>
    </row>
    <row r="384" ht="17.25" customHeight="1">
      <c r="O384" s="265"/>
      <c r="P384" s="265"/>
      <c r="Q384" s="265"/>
    </row>
    <row r="385" ht="17.25" customHeight="1">
      <c r="O385" s="265"/>
      <c r="P385" s="265"/>
      <c r="Q385" s="265"/>
    </row>
    <row r="386" ht="17.25" customHeight="1">
      <c r="O386" s="265"/>
      <c r="P386" s="265"/>
      <c r="Q386" s="265"/>
    </row>
    <row r="387" ht="17.25" customHeight="1">
      <c r="O387" s="265"/>
      <c r="P387" s="265"/>
      <c r="Q387" s="265"/>
    </row>
    <row r="388" ht="17.25" customHeight="1">
      <c r="O388" s="265"/>
      <c r="P388" s="265"/>
      <c r="Q388" s="265"/>
    </row>
    <row r="389" ht="17.25" customHeight="1">
      <c r="O389" s="265"/>
      <c r="P389" s="265"/>
      <c r="Q389" s="265"/>
    </row>
    <row r="390" ht="17.25" customHeight="1">
      <c r="O390" s="265"/>
      <c r="P390" s="265"/>
      <c r="Q390" s="265"/>
    </row>
    <row r="391" ht="17.25" customHeight="1">
      <c r="O391" s="265"/>
      <c r="P391" s="265"/>
      <c r="Q391" s="265"/>
    </row>
    <row r="392" ht="17.25" customHeight="1">
      <c r="O392" s="265"/>
      <c r="P392" s="265"/>
      <c r="Q392" s="265"/>
    </row>
    <row r="393" ht="17.25" customHeight="1">
      <c r="O393" s="265"/>
      <c r="P393" s="265"/>
      <c r="Q393" s="265"/>
    </row>
    <row r="394" ht="17.25" customHeight="1">
      <c r="O394" s="265"/>
      <c r="P394" s="265"/>
      <c r="Q394" s="265"/>
    </row>
    <row r="395" ht="17.25" customHeight="1">
      <c r="O395" s="265"/>
      <c r="P395" s="265"/>
      <c r="Q395" s="265"/>
    </row>
    <row r="396" ht="17.25" customHeight="1">
      <c r="O396" s="265"/>
      <c r="P396" s="265"/>
      <c r="Q396" s="265"/>
    </row>
    <row r="397" ht="17.25" customHeight="1">
      <c r="O397" s="265"/>
      <c r="P397" s="265"/>
      <c r="Q397" s="265"/>
    </row>
    <row r="398" ht="17.25" customHeight="1">
      <c r="O398" s="265"/>
      <c r="P398" s="265"/>
      <c r="Q398" s="265"/>
    </row>
    <row r="399" ht="17.25" customHeight="1">
      <c r="O399" s="265"/>
      <c r="P399" s="265"/>
      <c r="Q399" s="265"/>
    </row>
    <row r="400" ht="17.25" customHeight="1">
      <c r="O400" s="265"/>
      <c r="P400" s="265"/>
      <c r="Q400" s="265"/>
    </row>
    <row r="401" ht="17.25" customHeight="1">
      <c r="O401" s="265"/>
      <c r="P401" s="265"/>
      <c r="Q401" s="265"/>
    </row>
    <row r="402" ht="17.25" customHeight="1">
      <c r="O402" s="265"/>
      <c r="P402" s="265"/>
      <c r="Q402" s="265"/>
    </row>
    <row r="403" ht="17.25" customHeight="1">
      <c r="O403" s="265"/>
      <c r="P403" s="265"/>
      <c r="Q403" s="265"/>
    </row>
    <row r="404" ht="17.25" customHeight="1">
      <c r="O404" s="265"/>
      <c r="P404" s="265"/>
      <c r="Q404" s="265"/>
    </row>
    <row r="405" ht="17.25" customHeight="1">
      <c r="O405" s="265"/>
      <c r="P405" s="265"/>
      <c r="Q405" s="265"/>
    </row>
    <row r="406" ht="17.25" customHeight="1">
      <c r="O406" s="265"/>
      <c r="P406" s="265"/>
      <c r="Q406" s="265"/>
    </row>
    <row r="407" ht="17.25" customHeight="1">
      <c r="O407" s="265"/>
      <c r="P407" s="265"/>
      <c r="Q407" s="265"/>
    </row>
    <row r="408" ht="17.25" customHeight="1">
      <c r="O408" s="265"/>
      <c r="P408" s="265"/>
      <c r="Q408" s="265"/>
    </row>
    <row r="409" ht="17.25" customHeight="1">
      <c r="O409" s="265"/>
      <c r="P409" s="265"/>
      <c r="Q409" s="265"/>
    </row>
    <row r="410" ht="17.25" customHeight="1">
      <c r="O410" s="265"/>
      <c r="P410" s="265"/>
      <c r="Q410" s="265"/>
    </row>
    <row r="411" ht="17.25" customHeight="1">
      <c r="O411" s="265"/>
      <c r="P411" s="265"/>
      <c r="Q411" s="265"/>
    </row>
    <row r="412" ht="17.25" customHeight="1">
      <c r="O412" s="265"/>
      <c r="P412" s="265"/>
      <c r="Q412" s="265"/>
    </row>
    <row r="413" ht="17.25" customHeight="1">
      <c r="O413" s="265"/>
      <c r="P413" s="265"/>
      <c r="Q413" s="265"/>
    </row>
    <row r="414" ht="17.25" customHeight="1">
      <c r="O414" s="265"/>
      <c r="P414" s="265"/>
      <c r="Q414" s="265"/>
    </row>
    <row r="415" ht="17.25" customHeight="1">
      <c r="O415" s="265"/>
      <c r="P415" s="265"/>
      <c r="Q415" s="265"/>
    </row>
    <row r="416" ht="17.25" customHeight="1">
      <c r="O416" s="265"/>
      <c r="P416" s="265"/>
      <c r="Q416" s="265"/>
    </row>
    <row r="417" ht="17.25" customHeight="1">
      <c r="O417" s="265"/>
      <c r="P417" s="265"/>
      <c r="Q417" s="265"/>
    </row>
    <row r="418" ht="17.25" customHeight="1">
      <c r="O418" s="265"/>
      <c r="P418" s="265"/>
      <c r="Q418" s="265"/>
    </row>
    <row r="419" ht="17.25" customHeight="1">
      <c r="O419" s="265"/>
      <c r="P419" s="265"/>
      <c r="Q419" s="265"/>
    </row>
    <row r="420" ht="17.25" customHeight="1">
      <c r="O420" s="265"/>
      <c r="P420" s="265"/>
      <c r="Q420" s="265"/>
    </row>
    <row r="421" ht="17.25" customHeight="1">
      <c r="O421" s="265"/>
      <c r="P421" s="265"/>
      <c r="Q421" s="265"/>
    </row>
    <row r="422" ht="17.25" customHeight="1">
      <c r="O422" s="265"/>
      <c r="P422" s="265"/>
      <c r="Q422" s="265"/>
    </row>
    <row r="423" ht="17.25" customHeight="1">
      <c r="O423" s="265"/>
      <c r="P423" s="265"/>
      <c r="Q423" s="265"/>
    </row>
    <row r="424" ht="17.25" customHeight="1">
      <c r="O424" s="265"/>
      <c r="P424" s="265"/>
      <c r="Q424" s="265"/>
    </row>
    <row r="425" ht="17.25" customHeight="1">
      <c r="O425" s="265"/>
      <c r="P425" s="265"/>
      <c r="Q425" s="265"/>
    </row>
    <row r="426" ht="17.25" customHeight="1">
      <c r="O426" s="265"/>
      <c r="P426" s="265"/>
      <c r="Q426" s="265"/>
    </row>
    <row r="427" ht="17.25" customHeight="1">
      <c r="O427" s="265"/>
      <c r="P427" s="265"/>
      <c r="Q427" s="265"/>
    </row>
    <row r="428" ht="17.25" customHeight="1">
      <c r="O428" s="265"/>
      <c r="P428" s="265"/>
      <c r="Q428" s="265"/>
    </row>
    <row r="429" ht="17.25" customHeight="1">
      <c r="O429" s="265"/>
      <c r="P429" s="265"/>
      <c r="Q429" s="265"/>
    </row>
    <row r="430" ht="17.25" customHeight="1">
      <c r="O430" s="265"/>
      <c r="P430" s="265"/>
      <c r="Q430" s="265"/>
    </row>
    <row r="431" ht="17.25" customHeight="1">
      <c r="O431" s="265"/>
      <c r="P431" s="265"/>
      <c r="Q431" s="265"/>
    </row>
    <row r="432" ht="17.25" customHeight="1">
      <c r="O432" s="265"/>
      <c r="P432" s="265"/>
      <c r="Q432" s="265"/>
    </row>
    <row r="433" ht="17.25" customHeight="1">
      <c r="O433" s="265"/>
      <c r="P433" s="265"/>
      <c r="Q433" s="265"/>
    </row>
    <row r="434" ht="17.25" customHeight="1">
      <c r="O434" s="265"/>
      <c r="P434" s="265"/>
      <c r="Q434" s="265"/>
    </row>
    <row r="435" ht="17.25" customHeight="1">
      <c r="O435" s="265"/>
      <c r="P435" s="265"/>
      <c r="Q435" s="265"/>
    </row>
    <row r="436" ht="17.25" customHeight="1">
      <c r="O436" s="265"/>
      <c r="P436" s="265"/>
      <c r="Q436" s="265"/>
    </row>
    <row r="437" ht="17.25" customHeight="1">
      <c r="O437" s="265"/>
      <c r="P437" s="265"/>
      <c r="Q437" s="265"/>
    </row>
    <row r="438" ht="17.25" customHeight="1">
      <c r="O438" s="265"/>
      <c r="P438" s="265"/>
      <c r="Q438" s="265"/>
    </row>
    <row r="439" ht="17.25" customHeight="1">
      <c r="O439" s="265"/>
      <c r="P439" s="265"/>
      <c r="Q439" s="265"/>
    </row>
    <row r="440" ht="17.25" customHeight="1">
      <c r="O440" s="265"/>
      <c r="P440" s="265"/>
      <c r="Q440" s="265"/>
    </row>
    <row r="441" ht="17.25" customHeight="1">
      <c r="O441" s="265"/>
      <c r="P441" s="265"/>
      <c r="Q441" s="265"/>
    </row>
    <row r="442" ht="17.25" customHeight="1">
      <c r="O442" s="265"/>
      <c r="P442" s="265"/>
      <c r="Q442" s="265"/>
    </row>
    <row r="443" ht="17.25" customHeight="1">
      <c r="O443" s="265"/>
      <c r="P443" s="265"/>
      <c r="Q443" s="265"/>
    </row>
    <row r="444" ht="17.25" customHeight="1">
      <c r="O444" s="265"/>
      <c r="P444" s="265"/>
      <c r="Q444" s="265"/>
    </row>
    <row r="445" ht="17.25" customHeight="1">
      <c r="O445" s="265"/>
      <c r="P445" s="265"/>
      <c r="Q445" s="265"/>
    </row>
    <row r="446" ht="17.25" customHeight="1">
      <c r="O446" s="265"/>
      <c r="P446" s="265"/>
      <c r="Q446" s="265"/>
    </row>
    <row r="447" ht="17.25" customHeight="1">
      <c r="O447" s="265"/>
      <c r="P447" s="265"/>
      <c r="Q447" s="265"/>
    </row>
    <row r="448" ht="17.25" customHeight="1">
      <c r="O448" s="265"/>
      <c r="P448" s="265"/>
      <c r="Q448" s="265"/>
    </row>
    <row r="449" ht="17.25" customHeight="1">
      <c r="O449" s="265"/>
      <c r="P449" s="265"/>
      <c r="Q449" s="265"/>
    </row>
    <row r="450" ht="17.25" customHeight="1">
      <c r="O450" s="265"/>
      <c r="P450" s="265"/>
      <c r="Q450" s="265"/>
    </row>
    <row r="451" ht="17.25" customHeight="1">
      <c r="O451" s="265"/>
      <c r="P451" s="265"/>
      <c r="Q451" s="265"/>
    </row>
    <row r="452" ht="17.25" customHeight="1">
      <c r="O452" s="265"/>
      <c r="P452" s="265"/>
      <c r="Q452" s="265"/>
    </row>
    <row r="453" ht="17.25" customHeight="1">
      <c r="O453" s="265"/>
      <c r="P453" s="265"/>
      <c r="Q453" s="265"/>
    </row>
    <row r="454" ht="17.25" customHeight="1">
      <c r="O454" s="265"/>
      <c r="P454" s="265"/>
      <c r="Q454" s="265"/>
    </row>
    <row r="455" ht="17.25" customHeight="1">
      <c r="O455" s="265"/>
      <c r="P455" s="265"/>
      <c r="Q455" s="265"/>
    </row>
    <row r="456" ht="17.25" customHeight="1">
      <c r="O456" s="265"/>
      <c r="P456" s="265"/>
      <c r="Q456" s="265"/>
    </row>
    <row r="457" ht="17.25" customHeight="1">
      <c r="O457" s="265"/>
      <c r="P457" s="265"/>
      <c r="Q457" s="265"/>
    </row>
    <row r="458" ht="17.25" customHeight="1">
      <c r="O458" s="265"/>
      <c r="P458" s="265"/>
      <c r="Q458" s="265"/>
    </row>
    <row r="459" ht="17.25" customHeight="1">
      <c r="O459" s="265"/>
      <c r="P459" s="265"/>
      <c r="Q459" s="265"/>
    </row>
    <row r="460" ht="17.25" customHeight="1">
      <c r="O460" s="265"/>
      <c r="P460" s="265"/>
      <c r="Q460" s="265"/>
    </row>
    <row r="461" ht="17.25" customHeight="1">
      <c r="O461" s="265"/>
      <c r="P461" s="265"/>
      <c r="Q461" s="265"/>
    </row>
    <row r="462" ht="17.25" customHeight="1">
      <c r="O462" s="265"/>
      <c r="P462" s="265"/>
      <c r="Q462" s="265"/>
    </row>
    <row r="463" ht="17.25" customHeight="1">
      <c r="O463" s="265"/>
      <c r="P463" s="265"/>
      <c r="Q463" s="265"/>
    </row>
    <row r="464" ht="17.25" customHeight="1">
      <c r="O464" s="265"/>
      <c r="P464" s="265"/>
      <c r="Q464" s="265"/>
    </row>
    <row r="465" ht="17.25" customHeight="1">
      <c r="O465" s="265"/>
      <c r="P465" s="265"/>
      <c r="Q465" s="265"/>
    </row>
    <row r="466" ht="17.25" customHeight="1">
      <c r="O466" s="265"/>
      <c r="P466" s="265"/>
      <c r="Q466" s="265"/>
    </row>
    <row r="467" ht="17.25" customHeight="1">
      <c r="O467" s="265"/>
      <c r="P467" s="265"/>
      <c r="Q467" s="265"/>
    </row>
    <row r="468" ht="17.25" customHeight="1">
      <c r="O468" s="265"/>
      <c r="P468" s="265"/>
      <c r="Q468" s="265"/>
    </row>
    <row r="469" ht="17.25" customHeight="1">
      <c r="O469" s="265"/>
      <c r="P469" s="265"/>
      <c r="Q469" s="265"/>
    </row>
    <row r="470" ht="17.25" customHeight="1">
      <c r="O470" s="265"/>
      <c r="P470" s="265"/>
      <c r="Q470" s="265"/>
    </row>
    <row r="471" ht="17.25" customHeight="1">
      <c r="O471" s="265"/>
      <c r="P471" s="265"/>
      <c r="Q471" s="265"/>
    </row>
    <row r="472" ht="17.25" customHeight="1">
      <c r="O472" s="265"/>
      <c r="P472" s="265"/>
      <c r="Q472" s="265"/>
    </row>
    <row r="473" ht="17.25" customHeight="1">
      <c r="O473" s="265"/>
      <c r="P473" s="265"/>
      <c r="Q473" s="265"/>
    </row>
    <row r="474" ht="17.25" customHeight="1">
      <c r="O474" s="265"/>
      <c r="P474" s="265"/>
      <c r="Q474" s="265"/>
    </row>
    <row r="475" ht="17.25" customHeight="1">
      <c r="O475" s="265"/>
      <c r="P475" s="265"/>
      <c r="Q475" s="265"/>
    </row>
    <row r="476" ht="17.25" customHeight="1">
      <c r="O476" s="265"/>
      <c r="P476" s="265"/>
      <c r="Q476" s="265"/>
    </row>
    <row r="477" ht="17.25" customHeight="1">
      <c r="O477" s="265"/>
      <c r="P477" s="265"/>
      <c r="Q477" s="265"/>
    </row>
    <row r="478" ht="17.25" customHeight="1">
      <c r="O478" s="265"/>
      <c r="P478" s="265"/>
      <c r="Q478" s="265"/>
    </row>
    <row r="479" ht="17.25" customHeight="1">
      <c r="O479" s="265"/>
      <c r="P479" s="265"/>
      <c r="Q479" s="265"/>
    </row>
    <row r="480" ht="17.25" customHeight="1">
      <c r="O480" s="265"/>
      <c r="P480" s="265"/>
      <c r="Q480" s="265"/>
    </row>
    <row r="481" ht="17.25" customHeight="1">
      <c r="O481" s="265"/>
      <c r="P481" s="265"/>
      <c r="Q481" s="265"/>
    </row>
    <row r="482" ht="17.25" customHeight="1">
      <c r="O482" s="265"/>
      <c r="P482" s="265"/>
      <c r="Q482" s="265"/>
    </row>
    <row r="483" ht="17.25" customHeight="1">
      <c r="O483" s="265"/>
      <c r="P483" s="265"/>
      <c r="Q483" s="265"/>
    </row>
    <row r="484" ht="17.25" customHeight="1">
      <c r="O484" s="265"/>
      <c r="P484" s="265"/>
      <c r="Q484" s="265"/>
    </row>
    <row r="485" ht="17.25" customHeight="1">
      <c r="O485" s="265"/>
      <c r="P485" s="265"/>
      <c r="Q485" s="265"/>
    </row>
    <row r="486" ht="17.25" customHeight="1">
      <c r="O486" s="265"/>
      <c r="P486" s="265"/>
      <c r="Q486" s="265"/>
    </row>
    <row r="487" ht="17.25" customHeight="1">
      <c r="O487" s="265"/>
      <c r="P487" s="265"/>
      <c r="Q487" s="265"/>
    </row>
    <row r="488" ht="17.25" customHeight="1">
      <c r="O488" s="265"/>
      <c r="P488" s="265"/>
      <c r="Q488" s="265"/>
    </row>
    <row r="489" ht="17.25" customHeight="1">
      <c r="O489" s="265"/>
      <c r="P489" s="265"/>
      <c r="Q489" s="265"/>
    </row>
    <row r="490" ht="17.25" customHeight="1">
      <c r="O490" s="265"/>
      <c r="P490" s="265"/>
      <c r="Q490" s="265"/>
    </row>
    <row r="491" ht="17.25" customHeight="1">
      <c r="O491" s="265"/>
      <c r="P491" s="265"/>
      <c r="Q491" s="265"/>
    </row>
    <row r="492" ht="17.25" customHeight="1">
      <c r="O492" s="265"/>
      <c r="P492" s="265"/>
      <c r="Q492" s="265"/>
    </row>
    <row r="493" ht="17.25" customHeight="1">
      <c r="O493" s="265"/>
      <c r="P493" s="265"/>
      <c r="Q493" s="265"/>
    </row>
    <row r="494" ht="17.25" customHeight="1">
      <c r="O494" s="265"/>
      <c r="P494" s="265"/>
      <c r="Q494" s="265"/>
    </row>
    <row r="495" ht="17.25" customHeight="1">
      <c r="O495" s="265"/>
      <c r="P495" s="265"/>
      <c r="Q495" s="265"/>
    </row>
    <row r="496" ht="17.25" customHeight="1">
      <c r="O496" s="265"/>
      <c r="P496" s="265"/>
      <c r="Q496" s="265"/>
    </row>
    <row r="497" ht="17.25" customHeight="1">
      <c r="O497" s="265"/>
      <c r="P497" s="265"/>
      <c r="Q497" s="265"/>
    </row>
    <row r="498" ht="17.25" customHeight="1">
      <c r="O498" s="265"/>
      <c r="P498" s="265"/>
      <c r="Q498" s="265"/>
    </row>
    <row r="499" ht="17.25" customHeight="1">
      <c r="O499" s="265"/>
      <c r="P499" s="265"/>
      <c r="Q499" s="265"/>
    </row>
    <row r="500" ht="17.25" customHeight="1">
      <c r="O500" s="265"/>
      <c r="P500" s="265"/>
      <c r="Q500" s="265"/>
    </row>
    <row r="501" ht="17.25" customHeight="1">
      <c r="O501" s="265"/>
      <c r="P501" s="265"/>
      <c r="Q501" s="265"/>
    </row>
    <row r="502" ht="17.25" customHeight="1">
      <c r="O502" s="265"/>
      <c r="P502" s="265"/>
      <c r="Q502" s="265"/>
    </row>
    <row r="503" ht="17.25" customHeight="1">
      <c r="O503" s="265"/>
      <c r="P503" s="265"/>
      <c r="Q503" s="265"/>
    </row>
    <row r="504" ht="17.25" customHeight="1">
      <c r="O504" s="265"/>
      <c r="P504" s="265"/>
      <c r="Q504" s="265"/>
    </row>
    <row r="505" ht="17.25" customHeight="1">
      <c r="O505" s="265"/>
      <c r="P505" s="265"/>
      <c r="Q505" s="265"/>
    </row>
    <row r="506" ht="17.25" customHeight="1">
      <c r="O506" s="265"/>
      <c r="P506" s="265"/>
      <c r="Q506" s="265"/>
    </row>
    <row r="507" ht="17.25" customHeight="1">
      <c r="O507" s="265"/>
      <c r="P507" s="265"/>
      <c r="Q507" s="265"/>
    </row>
    <row r="508" ht="17.25" customHeight="1">
      <c r="O508" s="265"/>
      <c r="P508" s="265"/>
      <c r="Q508" s="265"/>
    </row>
    <row r="509" ht="17.25" customHeight="1">
      <c r="O509" s="265"/>
      <c r="P509" s="265"/>
      <c r="Q509" s="265"/>
    </row>
    <row r="510" ht="17.25" customHeight="1">
      <c r="O510" s="265"/>
      <c r="P510" s="265"/>
      <c r="Q510" s="265"/>
    </row>
    <row r="511" ht="17.25" customHeight="1">
      <c r="O511" s="265"/>
      <c r="P511" s="265"/>
      <c r="Q511" s="265"/>
    </row>
    <row r="512" ht="17.25" customHeight="1">
      <c r="O512" s="265"/>
      <c r="P512" s="265"/>
      <c r="Q512" s="265"/>
    </row>
    <row r="513" ht="17.25" customHeight="1">
      <c r="O513" s="265"/>
      <c r="P513" s="265"/>
      <c r="Q513" s="265"/>
    </row>
    <row r="514" ht="17.25" customHeight="1">
      <c r="O514" s="265"/>
      <c r="P514" s="265"/>
      <c r="Q514" s="265"/>
    </row>
    <row r="515" ht="17.25" customHeight="1">
      <c r="O515" s="265"/>
      <c r="P515" s="265"/>
      <c r="Q515" s="265"/>
    </row>
    <row r="516" ht="17.25" customHeight="1">
      <c r="O516" s="265"/>
      <c r="P516" s="265"/>
      <c r="Q516" s="265"/>
    </row>
    <row r="517" ht="17.25" customHeight="1">
      <c r="O517" s="265"/>
      <c r="P517" s="265"/>
      <c r="Q517" s="265"/>
    </row>
    <row r="518" ht="17.25" customHeight="1">
      <c r="O518" s="265"/>
      <c r="P518" s="265"/>
      <c r="Q518" s="265"/>
    </row>
    <row r="519" ht="17.25" customHeight="1">
      <c r="O519" s="265"/>
      <c r="P519" s="265"/>
      <c r="Q519" s="265"/>
    </row>
    <row r="520" ht="17.25" customHeight="1">
      <c r="O520" s="265"/>
      <c r="P520" s="265"/>
      <c r="Q520" s="265"/>
    </row>
    <row r="521" ht="17.25" customHeight="1">
      <c r="O521" s="265"/>
      <c r="P521" s="265"/>
      <c r="Q521" s="265"/>
    </row>
    <row r="522" ht="17.25" customHeight="1">
      <c r="O522" s="265"/>
      <c r="P522" s="265"/>
      <c r="Q522" s="265"/>
    </row>
    <row r="523" ht="17.25" customHeight="1">
      <c r="O523" s="265"/>
      <c r="P523" s="265"/>
      <c r="Q523" s="265"/>
    </row>
    <row r="524" ht="17.25" customHeight="1">
      <c r="O524" s="265"/>
      <c r="P524" s="265"/>
      <c r="Q524" s="265"/>
    </row>
    <row r="525" ht="17.25" customHeight="1">
      <c r="O525" s="265"/>
      <c r="P525" s="265"/>
      <c r="Q525" s="265"/>
    </row>
    <row r="526" ht="17.25" customHeight="1">
      <c r="O526" s="265"/>
      <c r="P526" s="265"/>
      <c r="Q526" s="265"/>
    </row>
    <row r="527" ht="17.25" customHeight="1">
      <c r="O527" s="265"/>
      <c r="P527" s="265"/>
      <c r="Q527" s="265"/>
    </row>
    <row r="528" ht="17.25" customHeight="1">
      <c r="O528" s="265"/>
      <c r="P528" s="265"/>
      <c r="Q528" s="265"/>
    </row>
    <row r="529" ht="17.25" customHeight="1">
      <c r="O529" s="265"/>
      <c r="P529" s="265"/>
      <c r="Q529" s="265"/>
    </row>
    <row r="530" ht="17.25" customHeight="1">
      <c r="O530" s="265"/>
      <c r="P530" s="265"/>
      <c r="Q530" s="265"/>
    </row>
    <row r="531" ht="17.25" customHeight="1">
      <c r="O531" s="265"/>
      <c r="P531" s="265"/>
      <c r="Q531" s="265"/>
    </row>
    <row r="532" ht="17.25" customHeight="1">
      <c r="O532" s="265"/>
      <c r="P532" s="265"/>
      <c r="Q532" s="265"/>
    </row>
    <row r="533" ht="17.25" customHeight="1">
      <c r="O533" s="265"/>
      <c r="P533" s="265"/>
      <c r="Q533" s="265"/>
    </row>
    <row r="534" ht="17.25" customHeight="1">
      <c r="O534" s="265"/>
      <c r="P534" s="265"/>
      <c r="Q534" s="265"/>
    </row>
    <row r="535" ht="17.25" customHeight="1">
      <c r="O535" s="265"/>
      <c r="P535" s="265"/>
      <c r="Q535" s="265"/>
    </row>
    <row r="536" ht="17.25" customHeight="1">
      <c r="O536" s="265"/>
      <c r="P536" s="265"/>
      <c r="Q536" s="265"/>
    </row>
    <row r="537" ht="17.25" customHeight="1">
      <c r="O537" s="265"/>
      <c r="P537" s="265"/>
      <c r="Q537" s="265"/>
    </row>
    <row r="538" ht="17.25" customHeight="1">
      <c r="O538" s="265"/>
      <c r="P538" s="265"/>
      <c r="Q538" s="265"/>
    </row>
    <row r="539" ht="17.25" customHeight="1">
      <c r="O539" s="265"/>
      <c r="P539" s="265"/>
      <c r="Q539" s="265"/>
    </row>
    <row r="540" ht="17.25" customHeight="1">
      <c r="O540" s="265"/>
      <c r="P540" s="265"/>
      <c r="Q540" s="265"/>
    </row>
    <row r="541" ht="17.25" customHeight="1">
      <c r="O541" s="265"/>
      <c r="P541" s="265"/>
      <c r="Q541" s="265"/>
    </row>
    <row r="542" ht="17.25" customHeight="1">
      <c r="O542" s="265"/>
      <c r="P542" s="265"/>
      <c r="Q542" s="265"/>
    </row>
    <row r="543" ht="17.25" customHeight="1">
      <c r="O543" s="265"/>
      <c r="P543" s="265"/>
      <c r="Q543" s="265"/>
    </row>
    <row r="544" ht="17.25" customHeight="1">
      <c r="O544" s="265"/>
      <c r="P544" s="265"/>
      <c r="Q544" s="265"/>
    </row>
    <row r="545" ht="17.25" customHeight="1">
      <c r="O545" s="265"/>
      <c r="P545" s="265"/>
      <c r="Q545" s="265"/>
    </row>
    <row r="546" ht="17.25" customHeight="1">
      <c r="O546" s="265"/>
      <c r="P546" s="265"/>
      <c r="Q546" s="265"/>
    </row>
    <row r="547" ht="17.25" customHeight="1">
      <c r="O547" s="265"/>
      <c r="P547" s="265"/>
      <c r="Q547" s="265"/>
    </row>
    <row r="548" ht="17.25" customHeight="1">
      <c r="O548" s="265"/>
      <c r="P548" s="265"/>
      <c r="Q548" s="265"/>
    </row>
    <row r="549" ht="17.25" customHeight="1">
      <c r="O549" s="265"/>
      <c r="P549" s="265"/>
      <c r="Q549" s="265"/>
    </row>
    <row r="550" ht="17.25" customHeight="1">
      <c r="O550" s="265"/>
      <c r="P550" s="265"/>
      <c r="Q550" s="265"/>
    </row>
    <row r="551" ht="17.25" customHeight="1">
      <c r="O551" s="265"/>
      <c r="P551" s="265"/>
      <c r="Q551" s="265"/>
    </row>
    <row r="552" ht="17.25" customHeight="1">
      <c r="O552" s="265"/>
      <c r="P552" s="265"/>
      <c r="Q552" s="265"/>
    </row>
    <row r="553" ht="17.25" customHeight="1">
      <c r="O553" s="265"/>
      <c r="P553" s="265"/>
      <c r="Q553" s="265"/>
    </row>
    <row r="554" ht="17.25" customHeight="1">
      <c r="O554" s="265"/>
      <c r="P554" s="265"/>
      <c r="Q554" s="265"/>
    </row>
    <row r="555" ht="17.25" customHeight="1">
      <c r="O555" s="265"/>
      <c r="P555" s="265"/>
      <c r="Q555" s="265"/>
    </row>
    <row r="556" ht="17.25" customHeight="1">
      <c r="O556" s="265"/>
      <c r="P556" s="265"/>
      <c r="Q556" s="265"/>
    </row>
    <row r="557" ht="17.25" customHeight="1">
      <c r="O557" s="265"/>
      <c r="P557" s="265"/>
      <c r="Q557" s="265"/>
    </row>
    <row r="558" ht="17.25" customHeight="1">
      <c r="O558" s="265"/>
      <c r="P558" s="265"/>
      <c r="Q558" s="265"/>
    </row>
    <row r="559" ht="17.25" customHeight="1">
      <c r="O559" s="265"/>
      <c r="P559" s="265"/>
      <c r="Q559" s="265"/>
    </row>
    <row r="560" ht="17.25" customHeight="1">
      <c r="O560" s="265"/>
      <c r="P560" s="265"/>
      <c r="Q560" s="265"/>
    </row>
    <row r="561" ht="17.25" customHeight="1">
      <c r="O561" s="265"/>
      <c r="P561" s="265"/>
      <c r="Q561" s="265"/>
    </row>
    <row r="562" ht="17.25" customHeight="1">
      <c r="O562" s="265"/>
      <c r="P562" s="265"/>
      <c r="Q562" s="265"/>
    </row>
    <row r="563" ht="17.25" customHeight="1">
      <c r="O563" s="265"/>
      <c r="P563" s="265"/>
      <c r="Q563" s="265"/>
    </row>
    <row r="564" ht="17.25" customHeight="1">
      <c r="O564" s="265"/>
      <c r="P564" s="265"/>
      <c r="Q564" s="265"/>
    </row>
    <row r="565" ht="17.25" customHeight="1">
      <c r="O565" s="265"/>
      <c r="P565" s="265"/>
      <c r="Q565" s="265"/>
    </row>
    <row r="566" ht="17.25" customHeight="1">
      <c r="O566" s="265"/>
      <c r="P566" s="265"/>
      <c r="Q566" s="265"/>
    </row>
    <row r="567" ht="17.25" customHeight="1">
      <c r="O567" s="265"/>
      <c r="P567" s="265"/>
      <c r="Q567" s="265"/>
    </row>
    <row r="568" ht="17.25" customHeight="1">
      <c r="O568" s="265"/>
      <c r="P568" s="265"/>
      <c r="Q568" s="265"/>
    </row>
    <row r="569" ht="17.25" customHeight="1">
      <c r="O569" s="265"/>
      <c r="P569" s="265"/>
      <c r="Q569" s="265"/>
    </row>
    <row r="570" ht="17.25" customHeight="1">
      <c r="O570" s="265"/>
      <c r="P570" s="265"/>
      <c r="Q570" s="265"/>
    </row>
    <row r="571" ht="17.25" customHeight="1">
      <c r="O571" s="265"/>
      <c r="P571" s="265"/>
      <c r="Q571" s="265"/>
    </row>
    <row r="572" ht="17.25" customHeight="1">
      <c r="O572" s="265"/>
      <c r="P572" s="265"/>
      <c r="Q572" s="265"/>
    </row>
    <row r="573" ht="17.25" customHeight="1">
      <c r="O573" s="265"/>
      <c r="P573" s="265"/>
      <c r="Q573" s="265"/>
    </row>
    <row r="574" ht="17.25" customHeight="1">
      <c r="O574" s="265"/>
      <c r="P574" s="265"/>
      <c r="Q574" s="265"/>
    </row>
    <row r="575" ht="17.25" customHeight="1">
      <c r="O575" s="265"/>
      <c r="P575" s="265"/>
      <c r="Q575" s="265"/>
    </row>
    <row r="576" ht="17.25" customHeight="1">
      <c r="O576" s="265"/>
      <c r="P576" s="265"/>
      <c r="Q576" s="265"/>
    </row>
    <row r="577" ht="17.25" customHeight="1">
      <c r="O577" s="265"/>
      <c r="P577" s="265"/>
      <c r="Q577" s="265"/>
    </row>
    <row r="578" ht="17.25" customHeight="1">
      <c r="O578" s="265"/>
      <c r="P578" s="265"/>
      <c r="Q578" s="265"/>
    </row>
    <row r="579" ht="17.25" customHeight="1">
      <c r="O579" s="265"/>
      <c r="P579" s="265"/>
      <c r="Q579" s="265"/>
    </row>
    <row r="580" ht="17.25" customHeight="1">
      <c r="O580" s="265"/>
      <c r="P580" s="265"/>
      <c r="Q580" s="265"/>
    </row>
    <row r="581" ht="17.25" customHeight="1">
      <c r="O581" s="265"/>
      <c r="P581" s="265"/>
      <c r="Q581" s="265"/>
    </row>
    <row r="582" ht="17.25" customHeight="1">
      <c r="O582" s="265"/>
      <c r="P582" s="265"/>
      <c r="Q582" s="265"/>
    </row>
    <row r="583" ht="17.25" customHeight="1">
      <c r="O583" s="265"/>
      <c r="P583" s="265"/>
      <c r="Q583" s="265"/>
    </row>
    <row r="584" ht="17.25" customHeight="1">
      <c r="O584" s="265"/>
      <c r="P584" s="265"/>
      <c r="Q584" s="265"/>
    </row>
    <row r="585" ht="17.25" customHeight="1">
      <c r="O585" s="265"/>
      <c r="P585" s="265"/>
      <c r="Q585" s="265"/>
    </row>
    <row r="586" ht="17.25" customHeight="1">
      <c r="O586" s="265"/>
      <c r="P586" s="265"/>
      <c r="Q586" s="265"/>
    </row>
    <row r="587" ht="17.25" customHeight="1">
      <c r="O587" s="265"/>
      <c r="P587" s="265"/>
      <c r="Q587" s="265"/>
    </row>
    <row r="588" ht="17.25" customHeight="1">
      <c r="O588" s="265"/>
      <c r="P588" s="265"/>
      <c r="Q588" s="265"/>
    </row>
    <row r="589" ht="17.25" customHeight="1">
      <c r="O589" s="265"/>
      <c r="P589" s="265"/>
      <c r="Q589" s="265"/>
    </row>
    <row r="590" ht="17.25" customHeight="1">
      <c r="O590" s="265"/>
      <c r="P590" s="265"/>
      <c r="Q590" s="265"/>
    </row>
    <row r="591" ht="17.25" customHeight="1">
      <c r="O591" s="265"/>
      <c r="P591" s="265"/>
      <c r="Q591" s="265"/>
    </row>
    <row r="592" ht="17.25" customHeight="1">
      <c r="O592" s="265"/>
      <c r="P592" s="265"/>
      <c r="Q592" s="265"/>
    </row>
    <row r="593" ht="17.25" customHeight="1">
      <c r="O593" s="265"/>
      <c r="P593" s="265"/>
      <c r="Q593" s="265"/>
    </row>
    <row r="594" ht="17.25" customHeight="1">
      <c r="O594" s="265"/>
      <c r="P594" s="265"/>
      <c r="Q594" s="265"/>
    </row>
    <row r="595" ht="17.25" customHeight="1">
      <c r="O595" s="265"/>
      <c r="P595" s="265"/>
      <c r="Q595" s="265"/>
    </row>
    <row r="596" ht="17.25" customHeight="1">
      <c r="O596" s="265"/>
      <c r="P596" s="265"/>
      <c r="Q596" s="265"/>
    </row>
    <row r="597" ht="17.25" customHeight="1">
      <c r="O597" s="265"/>
      <c r="P597" s="265"/>
      <c r="Q597" s="265"/>
    </row>
    <row r="598" ht="17.25" customHeight="1">
      <c r="O598" s="265"/>
      <c r="P598" s="265"/>
      <c r="Q598" s="265"/>
    </row>
    <row r="599" ht="17.25" customHeight="1">
      <c r="O599" s="265"/>
      <c r="P599" s="265"/>
      <c r="Q599" s="265"/>
    </row>
    <row r="600" ht="17.25" customHeight="1">
      <c r="O600" s="265"/>
      <c r="P600" s="265"/>
      <c r="Q600" s="265"/>
    </row>
    <row r="601" ht="17.25" customHeight="1">
      <c r="O601" s="265"/>
      <c r="P601" s="265"/>
      <c r="Q601" s="265"/>
    </row>
    <row r="602" ht="17.25" customHeight="1">
      <c r="O602" s="265"/>
      <c r="P602" s="265"/>
      <c r="Q602" s="265"/>
    </row>
    <row r="603" ht="17.25" customHeight="1">
      <c r="O603" s="265"/>
      <c r="P603" s="265"/>
      <c r="Q603" s="265"/>
    </row>
    <row r="604" ht="17.25" customHeight="1">
      <c r="O604" s="265"/>
      <c r="P604" s="265"/>
      <c r="Q604" s="265"/>
    </row>
    <row r="605" ht="17.25" customHeight="1">
      <c r="O605" s="265"/>
      <c r="P605" s="265"/>
      <c r="Q605" s="265"/>
    </row>
    <row r="606" ht="17.25" customHeight="1">
      <c r="O606" s="265"/>
      <c r="P606" s="265"/>
      <c r="Q606" s="265"/>
    </row>
    <row r="607" ht="17.25" customHeight="1">
      <c r="O607" s="265"/>
      <c r="P607" s="265"/>
      <c r="Q607" s="265"/>
    </row>
    <row r="608" ht="17.25" customHeight="1">
      <c r="O608" s="265"/>
      <c r="P608" s="265"/>
      <c r="Q608" s="265"/>
    </row>
    <row r="609" ht="17.25" customHeight="1">
      <c r="O609" s="265"/>
      <c r="P609" s="265"/>
      <c r="Q609" s="265"/>
    </row>
    <row r="610" ht="17.25" customHeight="1">
      <c r="O610" s="265"/>
      <c r="P610" s="265"/>
      <c r="Q610" s="265"/>
    </row>
    <row r="611" ht="17.25" customHeight="1">
      <c r="O611" s="265"/>
      <c r="P611" s="265"/>
      <c r="Q611" s="265"/>
    </row>
    <row r="612" ht="17.25" customHeight="1">
      <c r="O612" s="265"/>
      <c r="P612" s="265"/>
      <c r="Q612" s="265"/>
    </row>
    <row r="613" ht="17.25" customHeight="1">
      <c r="O613" s="265"/>
      <c r="P613" s="265"/>
      <c r="Q613" s="265"/>
    </row>
    <row r="614" ht="17.25" customHeight="1">
      <c r="O614" s="265"/>
      <c r="P614" s="265"/>
      <c r="Q614" s="265"/>
    </row>
    <row r="615" ht="17.25" customHeight="1">
      <c r="O615" s="265"/>
      <c r="P615" s="265"/>
      <c r="Q615" s="265"/>
    </row>
    <row r="616" ht="17.25" customHeight="1">
      <c r="O616" s="265"/>
      <c r="P616" s="265"/>
      <c r="Q616" s="265"/>
    </row>
    <row r="617" ht="17.25" customHeight="1">
      <c r="O617" s="265"/>
      <c r="P617" s="265"/>
      <c r="Q617" s="265"/>
    </row>
    <row r="618" ht="17.25" customHeight="1">
      <c r="O618" s="265"/>
      <c r="P618" s="265"/>
      <c r="Q618" s="265"/>
    </row>
    <row r="619" ht="17.25" customHeight="1">
      <c r="O619" s="265"/>
      <c r="P619" s="265"/>
      <c r="Q619" s="265"/>
    </row>
    <row r="620" ht="17.25" customHeight="1">
      <c r="O620" s="265"/>
      <c r="P620" s="265"/>
      <c r="Q620" s="265"/>
    </row>
    <row r="621" ht="17.25" customHeight="1">
      <c r="O621" s="265"/>
      <c r="P621" s="265"/>
      <c r="Q621" s="265"/>
    </row>
    <row r="622" ht="17.25" customHeight="1">
      <c r="O622" s="265"/>
      <c r="P622" s="265"/>
      <c r="Q622" s="265"/>
    </row>
    <row r="623" ht="17.25" customHeight="1">
      <c r="O623" s="265"/>
      <c r="P623" s="265"/>
      <c r="Q623" s="265"/>
    </row>
    <row r="624" ht="17.25" customHeight="1">
      <c r="O624" s="265"/>
      <c r="P624" s="265"/>
      <c r="Q624" s="265"/>
    </row>
    <row r="625" ht="17.25" customHeight="1">
      <c r="O625" s="265"/>
      <c r="P625" s="265"/>
      <c r="Q625" s="265"/>
    </row>
    <row r="626" ht="17.25" customHeight="1">
      <c r="O626" s="265"/>
      <c r="P626" s="265"/>
      <c r="Q626" s="265"/>
    </row>
    <row r="627" ht="17.25" customHeight="1">
      <c r="O627" s="265"/>
      <c r="P627" s="265"/>
      <c r="Q627" s="265"/>
    </row>
    <row r="628" ht="17.25" customHeight="1">
      <c r="O628" s="265"/>
      <c r="P628" s="265"/>
      <c r="Q628" s="265"/>
    </row>
    <row r="629" ht="17.25" customHeight="1">
      <c r="O629" s="265"/>
      <c r="P629" s="265"/>
      <c r="Q629" s="265"/>
    </row>
    <row r="630" ht="17.25" customHeight="1">
      <c r="O630" s="265"/>
      <c r="P630" s="265"/>
      <c r="Q630" s="265"/>
    </row>
    <row r="631" ht="17.25" customHeight="1">
      <c r="O631" s="265"/>
      <c r="P631" s="265"/>
      <c r="Q631" s="265"/>
    </row>
    <row r="632" ht="17.25" customHeight="1">
      <c r="O632" s="265"/>
      <c r="P632" s="265"/>
      <c r="Q632" s="265"/>
    </row>
    <row r="633" ht="17.25" customHeight="1">
      <c r="O633" s="265"/>
      <c r="P633" s="265"/>
      <c r="Q633" s="265"/>
    </row>
    <row r="634" ht="17.25" customHeight="1">
      <c r="O634" s="265"/>
      <c r="P634" s="265"/>
      <c r="Q634" s="265"/>
    </row>
    <row r="635" ht="17.25" customHeight="1">
      <c r="O635" s="265"/>
      <c r="P635" s="265"/>
      <c r="Q635" s="265"/>
    </row>
    <row r="636" ht="17.25" customHeight="1">
      <c r="O636" s="265"/>
      <c r="P636" s="265"/>
      <c r="Q636" s="265"/>
    </row>
    <row r="637" ht="17.25" customHeight="1">
      <c r="O637" s="265"/>
      <c r="P637" s="265"/>
      <c r="Q637" s="265"/>
    </row>
    <row r="638" ht="17.25" customHeight="1">
      <c r="O638" s="265"/>
      <c r="P638" s="265"/>
      <c r="Q638" s="265"/>
    </row>
    <row r="639" ht="17.25" customHeight="1">
      <c r="O639" s="265"/>
      <c r="P639" s="265"/>
      <c r="Q639" s="265"/>
    </row>
    <row r="640" ht="17.25" customHeight="1">
      <c r="O640" s="265"/>
      <c r="P640" s="265"/>
      <c r="Q640" s="265"/>
    </row>
    <row r="641" ht="17.25" customHeight="1">
      <c r="O641" s="265"/>
      <c r="P641" s="265"/>
      <c r="Q641" s="265"/>
    </row>
    <row r="642" ht="17.25" customHeight="1">
      <c r="O642" s="265"/>
      <c r="P642" s="265"/>
      <c r="Q642" s="265"/>
    </row>
    <row r="643" ht="17.25" customHeight="1">
      <c r="O643" s="265"/>
      <c r="P643" s="265"/>
      <c r="Q643" s="265"/>
    </row>
    <row r="644" ht="17.25" customHeight="1">
      <c r="O644" s="265"/>
      <c r="P644" s="265"/>
      <c r="Q644" s="265"/>
    </row>
    <row r="645" ht="17.25" customHeight="1">
      <c r="O645" s="265"/>
      <c r="P645" s="265"/>
      <c r="Q645" s="265"/>
    </row>
    <row r="646" ht="17.25" customHeight="1">
      <c r="O646" s="265"/>
      <c r="P646" s="265"/>
      <c r="Q646" s="265"/>
    </row>
    <row r="647" ht="17.25" customHeight="1">
      <c r="O647" s="265"/>
      <c r="P647" s="265"/>
      <c r="Q647" s="265"/>
    </row>
    <row r="648" ht="17.25" customHeight="1">
      <c r="O648" s="265"/>
      <c r="P648" s="265"/>
      <c r="Q648" s="265"/>
    </row>
    <row r="649" ht="17.25" customHeight="1">
      <c r="O649" s="265"/>
      <c r="P649" s="265"/>
      <c r="Q649" s="265"/>
    </row>
    <row r="650" ht="17.25" customHeight="1">
      <c r="O650" s="265"/>
      <c r="P650" s="265"/>
      <c r="Q650" s="265"/>
    </row>
    <row r="651" ht="17.25" customHeight="1">
      <c r="O651" s="265"/>
      <c r="P651" s="265"/>
      <c r="Q651" s="265"/>
    </row>
    <row r="652" ht="17.25" customHeight="1">
      <c r="O652" s="265"/>
      <c r="P652" s="265"/>
      <c r="Q652" s="265"/>
    </row>
    <row r="653" ht="17.25" customHeight="1">
      <c r="O653" s="265"/>
      <c r="P653" s="265"/>
      <c r="Q653" s="265"/>
    </row>
    <row r="654" ht="17.25" customHeight="1">
      <c r="O654" s="265"/>
      <c r="P654" s="265"/>
      <c r="Q654" s="265"/>
    </row>
    <row r="655" ht="17.25" customHeight="1">
      <c r="O655" s="265"/>
      <c r="P655" s="265"/>
      <c r="Q655" s="265"/>
    </row>
    <row r="656" ht="17.25" customHeight="1">
      <c r="O656" s="265"/>
      <c r="P656" s="265"/>
      <c r="Q656" s="265"/>
    </row>
    <row r="657" ht="17.25" customHeight="1">
      <c r="O657" s="265"/>
      <c r="P657" s="265"/>
      <c r="Q657" s="265"/>
    </row>
    <row r="658" ht="17.25" customHeight="1">
      <c r="O658" s="265"/>
      <c r="P658" s="265"/>
      <c r="Q658" s="265"/>
    </row>
    <row r="659" ht="17.25" customHeight="1">
      <c r="O659" s="265"/>
      <c r="P659" s="265"/>
      <c r="Q659" s="265"/>
    </row>
    <row r="660" ht="17.25" customHeight="1">
      <c r="O660" s="265"/>
      <c r="P660" s="265"/>
      <c r="Q660" s="265"/>
    </row>
    <row r="661" ht="17.25" customHeight="1">
      <c r="O661" s="265"/>
      <c r="P661" s="265"/>
      <c r="Q661" s="265"/>
    </row>
    <row r="662" ht="17.25" customHeight="1">
      <c r="O662" s="265"/>
      <c r="P662" s="265"/>
      <c r="Q662" s="265"/>
    </row>
    <row r="663" ht="17.25" customHeight="1">
      <c r="O663" s="265"/>
      <c r="P663" s="265"/>
      <c r="Q663" s="265"/>
    </row>
    <row r="664" ht="17.25" customHeight="1">
      <c r="O664" s="265"/>
      <c r="P664" s="265"/>
      <c r="Q664" s="265"/>
    </row>
    <row r="665" ht="17.25" customHeight="1">
      <c r="O665" s="265"/>
      <c r="P665" s="265"/>
      <c r="Q665" s="265"/>
    </row>
    <row r="666" ht="17.25" customHeight="1">
      <c r="O666" s="265"/>
      <c r="P666" s="265"/>
      <c r="Q666" s="265"/>
    </row>
    <row r="667" ht="17.25" customHeight="1">
      <c r="O667" s="265"/>
      <c r="P667" s="265"/>
      <c r="Q667" s="265"/>
    </row>
    <row r="668" ht="17.25" customHeight="1">
      <c r="O668" s="265"/>
      <c r="P668" s="265"/>
      <c r="Q668" s="265"/>
    </row>
    <row r="669" ht="17.25" customHeight="1">
      <c r="O669" s="265"/>
      <c r="P669" s="265"/>
      <c r="Q669" s="265"/>
    </row>
    <row r="670" ht="17.25" customHeight="1">
      <c r="O670" s="265"/>
      <c r="P670" s="265"/>
      <c r="Q670" s="265"/>
    </row>
    <row r="671" ht="17.25" customHeight="1">
      <c r="O671" s="265"/>
      <c r="P671" s="265"/>
      <c r="Q671" s="265"/>
    </row>
    <row r="672" ht="17.25" customHeight="1">
      <c r="O672" s="265"/>
      <c r="P672" s="265"/>
      <c r="Q672" s="265"/>
    </row>
    <row r="673" ht="17.25" customHeight="1">
      <c r="O673" s="265"/>
      <c r="P673" s="265"/>
      <c r="Q673" s="265"/>
    </row>
    <row r="674" ht="17.25" customHeight="1">
      <c r="O674" s="265"/>
      <c r="P674" s="265"/>
      <c r="Q674" s="265"/>
    </row>
    <row r="675" ht="17.25" customHeight="1">
      <c r="O675" s="265"/>
      <c r="P675" s="265"/>
      <c r="Q675" s="265"/>
    </row>
    <row r="676" ht="17.25" customHeight="1">
      <c r="O676" s="265"/>
      <c r="P676" s="265"/>
      <c r="Q676" s="265"/>
    </row>
    <row r="677" ht="17.25" customHeight="1">
      <c r="O677" s="265"/>
      <c r="P677" s="265"/>
      <c r="Q677" s="265"/>
    </row>
    <row r="678" ht="17.25" customHeight="1">
      <c r="O678" s="265"/>
      <c r="P678" s="265"/>
      <c r="Q678" s="265"/>
    </row>
    <row r="679" ht="17.25" customHeight="1">
      <c r="O679" s="265"/>
      <c r="P679" s="265"/>
      <c r="Q679" s="265"/>
    </row>
    <row r="680" ht="17.25" customHeight="1">
      <c r="O680" s="265"/>
      <c r="P680" s="265"/>
      <c r="Q680" s="265"/>
    </row>
    <row r="681" ht="17.25" customHeight="1">
      <c r="O681" s="265"/>
      <c r="P681" s="265"/>
      <c r="Q681" s="265"/>
    </row>
    <row r="682" ht="17.25" customHeight="1">
      <c r="O682" s="265"/>
      <c r="P682" s="265"/>
      <c r="Q682" s="265"/>
    </row>
    <row r="683" ht="17.25" customHeight="1">
      <c r="O683" s="265"/>
      <c r="P683" s="265"/>
      <c r="Q683" s="265"/>
    </row>
    <row r="684" ht="17.25" customHeight="1">
      <c r="O684" s="265"/>
      <c r="P684" s="265"/>
      <c r="Q684" s="265"/>
    </row>
    <row r="685" ht="17.25" customHeight="1">
      <c r="O685" s="265"/>
      <c r="P685" s="265"/>
      <c r="Q685" s="265"/>
    </row>
    <row r="686" ht="17.25" customHeight="1">
      <c r="O686" s="265"/>
      <c r="P686" s="265"/>
      <c r="Q686" s="265"/>
    </row>
    <row r="687" ht="17.25" customHeight="1">
      <c r="O687" s="265"/>
      <c r="P687" s="265"/>
      <c r="Q687" s="265"/>
    </row>
    <row r="688" ht="17.25" customHeight="1">
      <c r="O688" s="265"/>
      <c r="P688" s="265"/>
      <c r="Q688" s="265"/>
    </row>
    <row r="689" ht="17.25" customHeight="1">
      <c r="O689" s="265"/>
      <c r="P689" s="265"/>
      <c r="Q689" s="265"/>
    </row>
    <row r="690" ht="17.25" customHeight="1">
      <c r="O690" s="265"/>
      <c r="P690" s="265"/>
      <c r="Q690" s="265"/>
    </row>
    <row r="691" ht="17.25" customHeight="1">
      <c r="O691" s="265"/>
      <c r="P691" s="265"/>
      <c r="Q691" s="265"/>
    </row>
    <row r="692" ht="17.25" customHeight="1">
      <c r="O692" s="265"/>
      <c r="P692" s="265"/>
      <c r="Q692" s="265"/>
    </row>
    <row r="693" ht="17.25" customHeight="1">
      <c r="O693" s="265"/>
      <c r="P693" s="265"/>
      <c r="Q693" s="265"/>
    </row>
    <row r="694" ht="17.25" customHeight="1">
      <c r="O694" s="265"/>
      <c r="P694" s="265"/>
      <c r="Q694" s="265"/>
    </row>
    <row r="695" ht="17.25" customHeight="1">
      <c r="O695" s="265"/>
      <c r="P695" s="265"/>
      <c r="Q695" s="265"/>
    </row>
    <row r="696" ht="17.25" customHeight="1">
      <c r="O696" s="265"/>
      <c r="P696" s="265"/>
      <c r="Q696" s="265"/>
    </row>
    <row r="697" ht="17.25" customHeight="1">
      <c r="O697" s="265"/>
      <c r="P697" s="265"/>
      <c r="Q697" s="265"/>
    </row>
    <row r="698" ht="17.25" customHeight="1">
      <c r="O698" s="265"/>
      <c r="P698" s="265"/>
      <c r="Q698" s="265"/>
    </row>
    <row r="699" ht="17.25" customHeight="1">
      <c r="O699" s="265"/>
      <c r="P699" s="265"/>
      <c r="Q699" s="265"/>
    </row>
    <row r="700" ht="17.25" customHeight="1">
      <c r="O700" s="265"/>
      <c r="P700" s="265"/>
      <c r="Q700" s="265"/>
    </row>
    <row r="701" ht="17.25" customHeight="1">
      <c r="O701" s="265"/>
      <c r="P701" s="265"/>
      <c r="Q701" s="265"/>
    </row>
    <row r="702" ht="17.25" customHeight="1">
      <c r="O702" s="265"/>
      <c r="P702" s="265"/>
      <c r="Q702" s="265"/>
    </row>
    <row r="703" ht="17.25" customHeight="1">
      <c r="O703" s="265"/>
      <c r="P703" s="265"/>
      <c r="Q703" s="265"/>
    </row>
    <row r="704" ht="17.25" customHeight="1">
      <c r="O704" s="265"/>
      <c r="P704" s="265"/>
      <c r="Q704" s="265"/>
    </row>
    <row r="705" ht="17.25" customHeight="1">
      <c r="O705" s="265"/>
      <c r="P705" s="265"/>
      <c r="Q705" s="265"/>
    </row>
    <row r="706" ht="17.25" customHeight="1">
      <c r="O706" s="265"/>
      <c r="P706" s="265"/>
      <c r="Q706" s="265"/>
    </row>
    <row r="707" ht="17.25" customHeight="1">
      <c r="O707" s="265"/>
      <c r="P707" s="265"/>
      <c r="Q707" s="265"/>
    </row>
    <row r="708" ht="17.25" customHeight="1">
      <c r="O708" s="265"/>
      <c r="P708" s="265"/>
      <c r="Q708" s="265"/>
    </row>
    <row r="709" ht="17.25" customHeight="1">
      <c r="O709" s="265"/>
      <c r="P709" s="265"/>
      <c r="Q709" s="265"/>
    </row>
    <row r="710" ht="17.25" customHeight="1">
      <c r="O710" s="265"/>
      <c r="P710" s="265"/>
      <c r="Q710" s="265"/>
    </row>
    <row r="711" ht="17.25" customHeight="1">
      <c r="O711" s="265"/>
      <c r="P711" s="265"/>
      <c r="Q711" s="265"/>
    </row>
    <row r="712" ht="17.25" customHeight="1">
      <c r="O712" s="265"/>
      <c r="P712" s="265"/>
      <c r="Q712" s="265"/>
    </row>
    <row r="713" ht="17.25" customHeight="1">
      <c r="O713" s="265"/>
      <c r="P713" s="265"/>
      <c r="Q713" s="265"/>
    </row>
    <row r="714" ht="17.25" customHeight="1">
      <c r="O714" s="265"/>
      <c r="P714" s="265"/>
      <c r="Q714" s="265"/>
    </row>
    <row r="715" ht="17.25" customHeight="1">
      <c r="O715" s="265"/>
      <c r="P715" s="265"/>
      <c r="Q715" s="265"/>
    </row>
    <row r="716" ht="17.25" customHeight="1">
      <c r="O716" s="265"/>
      <c r="P716" s="265"/>
      <c r="Q716" s="265"/>
    </row>
    <row r="717" ht="17.25" customHeight="1">
      <c r="O717" s="265"/>
      <c r="P717" s="265"/>
      <c r="Q717" s="265"/>
    </row>
    <row r="718" ht="17.25" customHeight="1">
      <c r="O718" s="265"/>
      <c r="P718" s="265"/>
      <c r="Q718" s="265"/>
    </row>
    <row r="719" ht="17.25" customHeight="1">
      <c r="O719" s="265"/>
      <c r="P719" s="265"/>
      <c r="Q719" s="265"/>
    </row>
    <row r="720" ht="17.25" customHeight="1">
      <c r="O720" s="265"/>
      <c r="P720" s="265"/>
      <c r="Q720" s="265"/>
    </row>
    <row r="721" ht="17.25" customHeight="1">
      <c r="O721" s="265"/>
      <c r="P721" s="265"/>
      <c r="Q721" s="265"/>
    </row>
    <row r="722" ht="17.25" customHeight="1">
      <c r="O722" s="265"/>
      <c r="P722" s="265"/>
      <c r="Q722" s="265"/>
    </row>
    <row r="723" ht="17.25" customHeight="1">
      <c r="O723" s="265"/>
      <c r="P723" s="265"/>
      <c r="Q723" s="265"/>
    </row>
    <row r="724" ht="17.25" customHeight="1">
      <c r="O724" s="265"/>
      <c r="P724" s="265"/>
      <c r="Q724" s="265"/>
    </row>
    <row r="725" ht="17.25" customHeight="1">
      <c r="O725" s="265"/>
      <c r="P725" s="265"/>
      <c r="Q725" s="265"/>
    </row>
    <row r="726" ht="17.25" customHeight="1">
      <c r="O726" s="265"/>
      <c r="P726" s="265"/>
      <c r="Q726" s="265"/>
    </row>
    <row r="727" ht="17.25" customHeight="1">
      <c r="O727" s="265"/>
      <c r="P727" s="265"/>
      <c r="Q727" s="265"/>
    </row>
    <row r="728" ht="17.25" customHeight="1">
      <c r="O728" s="265"/>
      <c r="P728" s="265"/>
      <c r="Q728" s="265"/>
    </row>
    <row r="729" ht="17.25" customHeight="1">
      <c r="O729" s="265"/>
      <c r="P729" s="265"/>
      <c r="Q729" s="265"/>
    </row>
    <row r="730" ht="17.25" customHeight="1">
      <c r="O730" s="265"/>
      <c r="P730" s="265"/>
      <c r="Q730" s="265"/>
    </row>
    <row r="731" ht="17.25" customHeight="1">
      <c r="O731" s="265"/>
      <c r="P731" s="265"/>
      <c r="Q731" s="265"/>
    </row>
    <row r="732" ht="17.25" customHeight="1">
      <c r="O732" s="265"/>
      <c r="P732" s="265"/>
      <c r="Q732" s="265"/>
    </row>
    <row r="733" ht="17.25" customHeight="1">
      <c r="O733" s="265"/>
      <c r="P733" s="265"/>
      <c r="Q733" s="265"/>
    </row>
    <row r="734" ht="17.25" customHeight="1">
      <c r="O734" s="265"/>
      <c r="P734" s="265"/>
      <c r="Q734" s="265"/>
    </row>
    <row r="735" ht="17.25" customHeight="1">
      <c r="O735" s="265"/>
      <c r="P735" s="265"/>
      <c r="Q735" s="265"/>
    </row>
    <row r="736" ht="17.25" customHeight="1">
      <c r="O736" s="265"/>
      <c r="P736" s="265"/>
      <c r="Q736" s="265"/>
    </row>
    <row r="737" ht="17.25" customHeight="1">
      <c r="O737" s="265"/>
      <c r="P737" s="265"/>
      <c r="Q737" s="265"/>
    </row>
    <row r="738" ht="17.25" customHeight="1">
      <c r="O738" s="265"/>
      <c r="P738" s="265"/>
      <c r="Q738" s="265"/>
    </row>
    <row r="739" ht="17.25" customHeight="1">
      <c r="O739" s="265"/>
      <c r="P739" s="265"/>
      <c r="Q739" s="265"/>
    </row>
    <row r="740" ht="17.25" customHeight="1">
      <c r="O740" s="265"/>
      <c r="P740" s="265"/>
      <c r="Q740" s="265"/>
    </row>
    <row r="741" ht="17.25" customHeight="1">
      <c r="O741" s="265"/>
      <c r="P741" s="265"/>
      <c r="Q741" s="265"/>
    </row>
    <row r="742" ht="17.25" customHeight="1">
      <c r="O742" s="265"/>
      <c r="P742" s="265"/>
      <c r="Q742" s="265"/>
    </row>
    <row r="743" ht="17.25" customHeight="1">
      <c r="O743" s="265"/>
      <c r="P743" s="265"/>
      <c r="Q743" s="265"/>
    </row>
    <row r="744" ht="17.25" customHeight="1">
      <c r="O744" s="265"/>
      <c r="P744" s="265"/>
      <c r="Q744" s="265"/>
    </row>
    <row r="745" ht="17.25" customHeight="1">
      <c r="O745" s="265"/>
      <c r="P745" s="265"/>
      <c r="Q745" s="265"/>
    </row>
    <row r="746" ht="17.25" customHeight="1">
      <c r="O746" s="265"/>
      <c r="P746" s="265"/>
      <c r="Q746" s="265"/>
    </row>
    <row r="747" ht="17.25" customHeight="1">
      <c r="O747" s="265"/>
      <c r="P747" s="265"/>
      <c r="Q747" s="265"/>
    </row>
    <row r="748" ht="17.25" customHeight="1">
      <c r="O748" s="265"/>
      <c r="P748" s="265"/>
      <c r="Q748" s="265"/>
    </row>
    <row r="749" ht="17.25" customHeight="1">
      <c r="O749" s="265"/>
      <c r="P749" s="265"/>
      <c r="Q749" s="265"/>
    </row>
    <row r="750" ht="17.25" customHeight="1">
      <c r="O750" s="265"/>
      <c r="P750" s="265"/>
      <c r="Q750" s="265"/>
    </row>
    <row r="751" ht="17.25" customHeight="1">
      <c r="O751" s="265"/>
      <c r="P751" s="265"/>
      <c r="Q751" s="265"/>
    </row>
    <row r="752" ht="17.25" customHeight="1">
      <c r="O752" s="265"/>
      <c r="P752" s="265"/>
      <c r="Q752" s="265"/>
    </row>
    <row r="753" ht="17.25" customHeight="1">
      <c r="O753" s="265"/>
      <c r="P753" s="265"/>
      <c r="Q753" s="265"/>
    </row>
    <row r="754" ht="17.25" customHeight="1">
      <c r="O754" s="265"/>
      <c r="P754" s="265"/>
      <c r="Q754" s="265"/>
    </row>
    <row r="755" ht="17.25" customHeight="1">
      <c r="O755" s="265"/>
      <c r="P755" s="265"/>
      <c r="Q755" s="265"/>
    </row>
    <row r="756" ht="17.25" customHeight="1">
      <c r="O756" s="265"/>
      <c r="P756" s="265"/>
      <c r="Q756" s="265"/>
    </row>
    <row r="757" ht="17.25" customHeight="1">
      <c r="O757" s="265"/>
      <c r="P757" s="265"/>
      <c r="Q757" s="265"/>
    </row>
    <row r="758" ht="17.25" customHeight="1">
      <c r="O758" s="265"/>
      <c r="P758" s="265"/>
      <c r="Q758" s="265"/>
    </row>
    <row r="759" ht="17.25" customHeight="1">
      <c r="O759" s="265"/>
      <c r="P759" s="265"/>
      <c r="Q759" s="265"/>
    </row>
    <row r="760" ht="17.25" customHeight="1">
      <c r="O760" s="265"/>
      <c r="P760" s="265"/>
      <c r="Q760" s="265"/>
    </row>
    <row r="761" ht="17.25" customHeight="1">
      <c r="O761" s="265"/>
      <c r="P761" s="265"/>
      <c r="Q761" s="265"/>
    </row>
    <row r="762" ht="17.25" customHeight="1">
      <c r="O762" s="265"/>
      <c r="P762" s="265"/>
      <c r="Q762" s="265"/>
    </row>
    <row r="763" ht="17.25" customHeight="1">
      <c r="O763" s="265"/>
      <c r="P763" s="265"/>
      <c r="Q763" s="265"/>
    </row>
    <row r="764" ht="17.25" customHeight="1">
      <c r="O764" s="265"/>
      <c r="P764" s="265"/>
      <c r="Q764" s="265"/>
    </row>
    <row r="765" ht="17.25" customHeight="1">
      <c r="O765" s="265"/>
      <c r="P765" s="265"/>
      <c r="Q765" s="265"/>
    </row>
    <row r="766" ht="17.25" customHeight="1">
      <c r="O766" s="265"/>
      <c r="P766" s="265"/>
      <c r="Q766" s="265"/>
    </row>
    <row r="767" ht="17.25" customHeight="1">
      <c r="O767" s="265"/>
      <c r="P767" s="265"/>
      <c r="Q767" s="265"/>
    </row>
    <row r="768" ht="17.25" customHeight="1">
      <c r="O768" s="265"/>
      <c r="P768" s="265"/>
      <c r="Q768" s="265"/>
    </row>
    <row r="769" ht="17.25" customHeight="1">
      <c r="O769" s="265"/>
      <c r="P769" s="265"/>
      <c r="Q769" s="265"/>
    </row>
    <row r="770" ht="17.25" customHeight="1">
      <c r="O770" s="265"/>
      <c r="P770" s="265"/>
      <c r="Q770" s="265"/>
    </row>
    <row r="771" ht="17.25" customHeight="1">
      <c r="O771" s="265"/>
      <c r="P771" s="265"/>
      <c r="Q771" s="265"/>
    </row>
    <row r="772" ht="17.25" customHeight="1">
      <c r="O772" s="265"/>
      <c r="P772" s="265"/>
      <c r="Q772" s="265"/>
    </row>
    <row r="773" ht="17.25" customHeight="1">
      <c r="O773" s="265"/>
      <c r="P773" s="265"/>
      <c r="Q773" s="265"/>
    </row>
    <row r="774" ht="17.25" customHeight="1">
      <c r="O774" s="265"/>
      <c r="P774" s="265"/>
      <c r="Q774" s="265"/>
    </row>
    <row r="775" ht="17.25" customHeight="1">
      <c r="O775" s="265"/>
      <c r="P775" s="265"/>
      <c r="Q775" s="265"/>
    </row>
    <row r="776" ht="17.25" customHeight="1">
      <c r="O776" s="265"/>
      <c r="P776" s="265"/>
      <c r="Q776" s="265"/>
    </row>
    <row r="777" ht="17.25" customHeight="1">
      <c r="O777" s="265"/>
      <c r="P777" s="265"/>
      <c r="Q777" s="265"/>
    </row>
    <row r="778" ht="17.25" customHeight="1">
      <c r="O778" s="265"/>
      <c r="P778" s="265"/>
      <c r="Q778" s="265"/>
    </row>
    <row r="779" ht="17.25" customHeight="1">
      <c r="O779" s="265"/>
      <c r="P779" s="265"/>
      <c r="Q779" s="265"/>
    </row>
    <row r="780" ht="17.25" customHeight="1">
      <c r="O780" s="265"/>
      <c r="P780" s="265"/>
      <c r="Q780" s="265"/>
    </row>
    <row r="781" ht="17.25" customHeight="1">
      <c r="O781" s="265"/>
      <c r="P781" s="265"/>
      <c r="Q781" s="265"/>
    </row>
    <row r="782" ht="17.25" customHeight="1">
      <c r="O782" s="265"/>
      <c r="P782" s="265"/>
      <c r="Q782" s="265"/>
    </row>
    <row r="783" ht="17.25" customHeight="1">
      <c r="O783" s="265"/>
      <c r="P783" s="265"/>
      <c r="Q783" s="265"/>
    </row>
    <row r="784" ht="17.25" customHeight="1">
      <c r="O784" s="265"/>
      <c r="P784" s="265"/>
      <c r="Q784" s="265"/>
    </row>
    <row r="785" ht="17.25" customHeight="1">
      <c r="O785" s="265"/>
      <c r="P785" s="265"/>
      <c r="Q785" s="265"/>
    </row>
    <row r="786" ht="17.25" customHeight="1">
      <c r="O786" s="265"/>
      <c r="P786" s="265"/>
      <c r="Q786" s="265"/>
    </row>
    <row r="787" ht="17.25" customHeight="1">
      <c r="O787" s="265"/>
      <c r="P787" s="265"/>
      <c r="Q787" s="265"/>
    </row>
    <row r="788" ht="17.25" customHeight="1">
      <c r="O788" s="265"/>
      <c r="P788" s="265"/>
      <c r="Q788" s="265"/>
    </row>
    <row r="789" ht="17.25" customHeight="1">
      <c r="O789" s="265"/>
      <c r="P789" s="265"/>
      <c r="Q789" s="265"/>
    </row>
    <row r="790" ht="17.25" customHeight="1">
      <c r="O790" s="265"/>
      <c r="P790" s="265"/>
      <c r="Q790" s="265"/>
    </row>
    <row r="791" ht="17.25" customHeight="1">
      <c r="O791" s="265"/>
      <c r="P791" s="265"/>
      <c r="Q791" s="265"/>
    </row>
    <row r="792" ht="17.25" customHeight="1">
      <c r="O792" s="265"/>
      <c r="P792" s="265"/>
      <c r="Q792" s="265"/>
    </row>
    <row r="793" ht="17.25" customHeight="1">
      <c r="O793" s="265"/>
      <c r="P793" s="265"/>
      <c r="Q793" s="265"/>
    </row>
    <row r="794" ht="17.25" customHeight="1">
      <c r="O794" s="265"/>
      <c r="P794" s="265"/>
      <c r="Q794" s="265"/>
    </row>
    <row r="795" ht="17.25" customHeight="1">
      <c r="O795" s="265"/>
      <c r="P795" s="265"/>
      <c r="Q795" s="265"/>
    </row>
    <row r="796" ht="17.25" customHeight="1">
      <c r="O796" s="265"/>
      <c r="P796" s="265"/>
      <c r="Q796" s="265"/>
    </row>
    <row r="797" ht="17.25" customHeight="1">
      <c r="O797" s="265"/>
      <c r="P797" s="265"/>
      <c r="Q797" s="265"/>
    </row>
    <row r="798" ht="17.25" customHeight="1">
      <c r="O798" s="265"/>
      <c r="P798" s="265"/>
      <c r="Q798" s="265"/>
    </row>
    <row r="799" ht="17.25" customHeight="1">
      <c r="O799" s="265"/>
      <c r="P799" s="265"/>
      <c r="Q799" s="265"/>
    </row>
    <row r="800" ht="17.25" customHeight="1">
      <c r="O800" s="265"/>
      <c r="P800" s="265"/>
      <c r="Q800" s="265"/>
    </row>
    <row r="801" ht="17.25" customHeight="1">
      <c r="O801" s="265"/>
      <c r="P801" s="265"/>
      <c r="Q801" s="265"/>
    </row>
    <row r="802" ht="17.25" customHeight="1">
      <c r="O802" s="265"/>
      <c r="P802" s="265"/>
      <c r="Q802" s="265"/>
    </row>
    <row r="803" ht="17.25" customHeight="1">
      <c r="O803" s="265"/>
      <c r="P803" s="265"/>
      <c r="Q803" s="265"/>
    </row>
    <row r="804" ht="17.25" customHeight="1">
      <c r="O804" s="265"/>
      <c r="P804" s="265"/>
      <c r="Q804" s="265"/>
    </row>
    <row r="805" ht="17.25" customHeight="1">
      <c r="O805" s="265"/>
      <c r="P805" s="265"/>
      <c r="Q805" s="265"/>
    </row>
    <row r="806" ht="17.25" customHeight="1">
      <c r="O806" s="265"/>
      <c r="P806" s="265"/>
      <c r="Q806" s="265"/>
    </row>
    <row r="807" ht="17.25" customHeight="1">
      <c r="O807" s="265"/>
      <c r="P807" s="265"/>
      <c r="Q807" s="265"/>
    </row>
    <row r="808" ht="17.25" customHeight="1">
      <c r="O808" s="265"/>
      <c r="P808" s="265"/>
      <c r="Q808" s="265"/>
    </row>
    <row r="809" ht="17.25" customHeight="1">
      <c r="O809" s="265"/>
      <c r="P809" s="265"/>
      <c r="Q809" s="265"/>
    </row>
    <row r="810" ht="17.25" customHeight="1">
      <c r="O810" s="265"/>
      <c r="P810" s="265"/>
      <c r="Q810" s="265"/>
    </row>
    <row r="811" ht="17.25" customHeight="1">
      <c r="O811" s="265"/>
      <c r="P811" s="265"/>
      <c r="Q811" s="265"/>
    </row>
    <row r="812" ht="17.25" customHeight="1">
      <c r="O812" s="265"/>
      <c r="P812" s="265"/>
      <c r="Q812" s="265"/>
    </row>
    <row r="813" ht="17.25" customHeight="1">
      <c r="O813" s="265"/>
      <c r="P813" s="265"/>
      <c r="Q813" s="265"/>
    </row>
    <row r="814" ht="17.25" customHeight="1">
      <c r="O814" s="265"/>
      <c r="P814" s="265"/>
      <c r="Q814" s="265"/>
    </row>
    <row r="815" ht="17.25" customHeight="1">
      <c r="O815" s="265"/>
      <c r="P815" s="265"/>
      <c r="Q815" s="265"/>
    </row>
    <row r="816" ht="17.25" customHeight="1">
      <c r="O816" s="265"/>
      <c r="P816" s="265"/>
      <c r="Q816" s="265"/>
    </row>
    <row r="817" ht="17.25" customHeight="1">
      <c r="O817" s="265"/>
      <c r="P817" s="265"/>
      <c r="Q817" s="265"/>
    </row>
    <row r="818" ht="17.25" customHeight="1">
      <c r="O818" s="265"/>
      <c r="P818" s="265"/>
      <c r="Q818" s="265"/>
    </row>
    <row r="819" ht="17.25" customHeight="1">
      <c r="O819" s="265"/>
      <c r="P819" s="265"/>
      <c r="Q819" s="265"/>
    </row>
    <row r="820" ht="17.25" customHeight="1">
      <c r="O820" s="265"/>
      <c r="P820" s="265"/>
      <c r="Q820" s="265"/>
    </row>
    <row r="821" ht="17.25" customHeight="1">
      <c r="O821" s="265"/>
      <c r="P821" s="265"/>
      <c r="Q821" s="265"/>
    </row>
    <row r="822" ht="17.25" customHeight="1">
      <c r="O822" s="265"/>
      <c r="P822" s="265"/>
      <c r="Q822" s="265"/>
    </row>
    <row r="823" ht="17.25" customHeight="1">
      <c r="O823" s="265"/>
      <c r="P823" s="265"/>
      <c r="Q823" s="265"/>
    </row>
    <row r="824" ht="17.25" customHeight="1">
      <c r="O824" s="265"/>
      <c r="P824" s="265"/>
      <c r="Q824" s="265"/>
    </row>
    <row r="825" ht="17.25" customHeight="1">
      <c r="O825" s="265"/>
      <c r="P825" s="265"/>
      <c r="Q825" s="265"/>
    </row>
    <row r="826" ht="17.25" customHeight="1">
      <c r="O826" s="265"/>
      <c r="P826" s="265"/>
      <c r="Q826" s="265"/>
    </row>
    <row r="827" ht="17.25" customHeight="1">
      <c r="O827" s="265"/>
      <c r="P827" s="265"/>
      <c r="Q827" s="265"/>
    </row>
    <row r="828" ht="17.25" customHeight="1">
      <c r="O828" s="265"/>
      <c r="P828" s="265"/>
      <c r="Q828" s="265"/>
    </row>
    <row r="829" ht="17.25" customHeight="1">
      <c r="O829" s="265"/>
      <c r="P829" s="265"/>
      <c r="Q829" s="265"/>
    </row>
    <row r="830" ht="17.25" customHeight="1">
      <c r="O830" s="265"/>
      <c r="P830" s="265"/>
      <c r="Q830" s="265"/>
    </row>
    <row r="831" ht="17.25" customHeight="1">
      <c r="O831" s="265"/>
      <c r="P831" s="265"/>
      <c r="Q831" s="265"/>
    </row>
    <row r="832" ht="17.25" customHeight="1">
      <c r="O832" s="265"/>
      <c r="P832" s="265"/>
      <c r="Q832" s="265"/>
    </row>
    <row r="833" ht="17.25" customHeight="1">
      <c r="O833" s="265"/>
      <c r="P833" s="265"/>
      <c r="Q833" s="265"/>
    </row>
    <row r="834" ht="17.25" customHeight="1">
      <c r="O834" s="265"/>
      <c r="P834" s="265"/>
      <c r="Q834" s="265"/>
    </row>
    <row r="835" ht="17.25" customHeight="1">
      <c r="O835" s="265"/>
      <c r="P835" s="265"/>
      <c r="Q835" s="265"/>
    </row>
    <row r="836" ht="17.25" customHeight="1">
      <c r="O836" s="265"/>
      <c r="P836" s="265"/>
      <c r="Q836" s="265"/>
    </row>
    <row r="837" ht="17.25" customHeight="1">
      <c r="O837" s="265"/>
      <c r="P837" s="265"/>
      <c r="Q837" s="265"/>
    </row>
    <row r="838" ht="17.25" customHeight="1">
      <c r="O838" s="265"/>
      <c r="P838" s="265"/>
      <c r="Q838" s="265"/>
    </row>
    <row r="839" ht="17.25" customHeight="1">
      <c r="O839" s="265"/>
      <c r="P839" s="265"/>
      <c r="Q839" s="265"/>
    </row>
    <row r="840" ht="17.25" customHeight="1">
      <c r="O840" s="265"/>
      <c r="P840" s="265"/>
      <c r="Q840" s="265"/>
    </row>
    <row r="841" ht="17.25" customHeight="1">
      <c r="O841" s="265"/>
      <c r="P841" s="265"/>
      <c r="Q841" s="265"/>
    </row>
    <row r="842" ht="17.25" customHeight="1">
      <c r="O842" s="265"/>
      <c r="P842" s="265"/>
      <c r="Q842" s="265"/>
    </row>
    <row r="843" ht="17.25" customHeight="1">
      <c r="O843" s="265"/>
      <c r="P843" s="265"/>
      <c r="Q843" s="265"/>
    </row>
    <row r="844" ht="17.25" customHeight="1">
      <c r="O844" s="265"/>
      <c r="P844" s="265"/>
      <c r="Q844" s="265"/>
    </row>
    <row r="845" ht="17.25" customHeight="1">
      <c r="O845" s="265"/>
      <c r="P845" s="265"/>
      <c r="Q845" s="265"/>
    </row>
    <row r="846" ht="17.25" customHeight="1">
      <c r="O846" s="265"/>
      <c r="P846" s="265"/>
      <c r="Q846" s="265"/>
    </row>
    <row r="847" ht="17.25" customHeight="1">
      <c r="O847" s="265"/>
      <c r="P847" s="265"/>
      <c r="Q847" s="265"/>
    </row>
    <row r="848" ht="17.25" customHeight="1">
      <c r="O848" s="265"/>
      <c r="P848" s="265"/>
      <c r="Q848" s="265"/>
    </row>
    <row r="849" ht="17.25" customHeight="1">
      <c r="O849" s="265"/>
      <c r="P849" s="265"/>
      <c r="Q849" s="265"/>
    </row>
    <row r="850" ht="17.25" customHeight="1">
      <c r="O850" s="265"/>
      <c r="P850" s="265"/>
      <c r="Q850" s="265"/>
    </row>
    <row r="851" ht="17.25" customHeight="1">
      <c r="O851" s="265"/>
      <c r="P851" s="265"/>
      <c r="Q851" s="265"/>
    </row>
    <row r="852" ht="17.25" customHeight="1">
      <c r="O852" s="265"/>
      <c r="P852" s="265"/>
      <c r="Q852" s="265"/>
    </row>
    <row r="853" ht="17.25" customHeight="1">
      <c r="O853" s="265"/>
      <c r="P853" s="265"/>
      <c r="Q853" s="265"/>
    </row>
    <row r="854" ht="17.25" customHeight="1">
      <c r="O854" s="265"/>
      <c r="P854" s="265"/>
      <c r="Q854" s="265"/>
    </row>
    <row r="855" ht="17.25" customHeight="1">
      <c r="O855" s="265"/>
      <c r="P855" s="265"/>
      <c r="Q855" s="265"/>
    </row>
    <row r="856" ht="17.25" customHeight="1">
      <c r="O856" s="265"/>
      <c r="P856" s="265"/>
      <c r="Q856" s="265"/>
    </row>
    <row r="857" ht="17.25" customHeight="1">
      <c r="O857" s="265"/>
      <c r="P857" s="265"/>
      <c r="Q857" s="265"/>
    </row>
    <row r="858" ht="17.25" customHeight="1">
      <c r="O858" s="265"/>
      <c r="P858" s="265"/>
      <c r="Q858" s="265"/>
    </row>
    <row r="859" ht="17.25" customHeight="1">
      <c r="O859" s="265"/>
      <c r="P859" s="265"/>
      <c r="Q859" s="265"/>
    </row>
    <row r="860" ht="17.25" customHeight="1">
      <c r="O860" s="265"/>
      <c r="P860" s="265"/>
      <c r="Q860" s="265"/>
    </row>
    <row r="861" ht="17.25" customHeight="1">
      <c r="O861" s="265"/>
      <c r="P861" s="265"/>
      <c r="Q861" s="265"/>
    </row>
    <row r="862" ht="17.25" customHeight="1">
      <c r="O862" s="265"/>
      <c r="P862" s="265"/>
      <c r="Q862" s="265"/>
    </row>
    <row r="863" ht="17.25" customHeight="1">
      <c r="O863" s="265"/>
      <c r="P863" s="265"/>
      <c r="Q863" s="265"/>
    </row>
    <row r="864" ht="17.25" customHeight="1">
      <c r="O864" s="265"/>
      <c r="P864" s="265"/>
      <c r="Q864" s="265"/>
    </row>
    <row r="865" ht="17.25" customHeight="1">
      <c r="O865" s="265"/>
      <c r="P865" s="265"/>
      <c r="Q865" s="265"/>
    </row>
    <row r="866" ht="17.25" customHeight="1">
      <c r="O866" s="265"/>
      <c r="P866" s="265"/>
      <c r="Q866" s="265"/>
    </row>
    <row r="867" ht="17.25" customHeight="1">
      <c r="O867" s="265"/>
      <c r="P867" s="265"/>
      <c r="Q867" s="265"/>
    </row>
    <row r="868" ht="17.25" customHeight="1">
      <c r="O868" s="265"/>
      <c r="P868" s="265"/>
      <c r="Q868" s="265"/>
    </row>
    <row r="869" ht="17.25" customHeight="1">
      <c r="O869" s="265"/>
      <c r="P869" s="265"/>
      <c r="Q869" s="265"/>
    </row>
    <row r="870" ht="17.25" customHeight="1">
      <c r="O870" s="265"/>
      <c r="P870" s="265"/>
      <c r="Q870" s="265"/>
    </row>
    <row r="871" ht="17.25" customHeight="1">
      <c r="O871" s="265"/>
      <c r="P871" s="265"/>
      <c r="Q871" s="265"/>
    </row>
    <row r="872" ht="17.25" customHeight="1">
      <c r="O872" s="265"/>
      <c r="P872" s="265"/>
      <c r="Q872" s="265"/>
    </row>
    <row r="873" ht="17.25" customHeight="1">
      <c r="O873" s="265"/>
      <c r="P873" s="265"/>
      <c r="Q873" s="265"/>
    </row>
    <row r="874" ht="17.25" customHeight="1">
      <c r="O874" s="265"/>
      <c r="P874" s="265"/>
      <c r="Q874" s="265"/>
    </row>
    <row r="875" ht="17.25" customHeight="1">
      <c r="O875" s="265"/>
      <c r="P875" s="265"/>
      <c r="Q875" s="265"/>
    </row>
    <row r="876" ht="17.25" customHeight="1">
      <c r="O876" s="265"/>
      <c r="P876" s="265"/>
      <c r="Q876" s="265"/>
    </row>
    <row r="877" ht="17.25" customHeight="1">
      <c r="O877" s="265"/>
      <c r="P877" s="265"/>
      <c r="Q877" s="265"/>
    </row>
    <row r="878" ht="17.25" customHeight="1">
      <c r="O878" s="265"/>
      <c r="P878" s="265"/>
      <c r="Q878" s="265"/>
    </row>
    <row r="879" ht="17.25" customHeight="1">
      <c r="O879" s="265"/>
      <c r="P879" s="265"/>
      <c r="Q879" s="265"/>
    </row>
    <row r="880" ht="17.25" customHeight="1">
      <c r="O880" s="265"/>
      <c r="P880" s="265"/>
      <c r="Q880" s="265"/>
    </row>
    <row r="881" ht="17.25" customHeight="1">
      <c r="O881" s="265"/>
      <c r="P881" s="265"/>
      <c r="Q881" s="265"/>
    </row>
    <row r="882" ht="17.25" customHeight="1">
      <c r="O882" s="265"/>
      <c r="P882" s="265"/>
      <c r="Q882" s="265"/>
    </row>
    <row r="883" ht="17.25" customHeight="1">
      <c r="O883" s="265"/>
      <c r="P883" s="265"/>
      <c r="Q883" s="265"/>
    </row>
    <row r="884" ht="17.25" customHeight="1">
      <c r="O884" s="265"/>
      <c r="P884" s="265"/>
      <c r="Q884" s="265"/>
    </row>
    <row r="885" ht="17.25" customHeight="1">
      <c r="O885" s="265"/>
      <c r="P885" s="265"/>
      <c r="Q885" s="265"/>
    </row>
    <row r="886" ht="17.25" customHeight="1">
      <c r="O886" s="265"/>
      <c r="P886" s="265"/>
      <c r="Q886" s="265"/>
    </row>
    <row r="887" ht="17.25" customHeight="1">
      <c r="O887" s="265"/>
      <c r="P887" s="265"/>
      <c r="Q887" s="265"/>
    </row>
    <row r="888" ht="17.25" customHeight="1">
      <c r="O888" s="265"/>
      <c r="P888" s="265"/>
      <c r="Q888" s="265"/>
    </row>
    <row r="889" ht="17.25" customHeight="1">
      <c r="O889" s="265"/>
      <c r="P889" s="265"/>
      <c r="Q889" s="265"/>
    </row>
    <row r="890" ht="17.25" customHeight="1">
      <c r="O890" s="265"/>
      <c r="P890" s="265"/>
      <c r="Q890" s="265"/>
    </row>
    <row r="891" ht="17.25" customHeight="1">
      <c r="O891" s="265"/>
      <c r="P891" s="265"/>
      <c r="Q891" s="265"/>
    </row>
    <row r="892" ht="17.25" customHeight="1">
      <c r="O892" s="265"/>
      <c r="P892" s="265"/>
      <c r="Q892" s="265"/>
    </row>
    <row r="893" ht="17.25" customHeight="1">
      <c r="O893" s="265"/>
      <c r="P893" s="265"/>
      <c r="Q893" s="265"/>
    </row>
    <row r="894" ht="17.25" customHeight="1">
      <c r="O894" s="265"/>
      <c r="P894" s="265"/>
      <c r="Q894" s="265"/>
    </row>
    <row r="895" ht="17.25" customHeight="1">
      <c r="O895" s="265"/>
      <c r="P895" s="265"/>
      <c r="Q895" s="265"/>
    </row>
    <row r="896" ht="17.25" customHeight="1">
      <c r="O896" s="265"/>
      <c r="P896" s="265"/>
      <c r="Q896" s="265"/>
    </row>
    <row r="897" ht="17.25" customHeight="1">
      <c r="O897" s="265"/>
      <c r="P897" s="265"/>
      <c r="Q897" s="265"/>
    </row>
    <row r="898" ht="17.25" customHeight="1">
      <c r="O898" s="265"/>
      <c r="P898" s="265"/>
      <c r="Q898" s="265"/>
    </row>
    <row r="899" ht="17.25" customHeight="1">
      <c r="O899" s="265"/>
      <c r="P899" s="265"/>
      <c r="Q899" s="265"/>
    </row>
    <row r="900" ht="17.25" customHeight="1">
      <c r="O900" s="265"/>
      <c r="P900" s="265"/>
      <c r="Q900" s="265"/>
    </row>
    <row r="901" ht="17.25" customHeight="1">
      <c r="O901" s="265"/>
      <c r="P901" s="265"/>
      <c r="Q901" s="265"/>
    </row>
    <row r="902" ht="17.25" customHeight="1">
      <c r="O902" s="265"/>
      <c r="P902" s="265"/>
      <c r="Q902" s="265"/>
    </row>
    <row r="903" ht="17.25" customHeight="1">
      <c r="O903" s="265"/>
      <c r="P903" s="265"/>
      <c r="Q903" s="265"/>
    </row>
    <row r="904" ht="17.25" customHeight="1">
      <c r="O904" s="265"/>
      <c r="P904" s="265"/>
      <c r="Q904" s="265"/>
    </row>
    <row r="905" ht="17.25" customHeight="1">
      <c r="O905" s="265"/>
      <c r="P905" s="265"/>
      <c r="Q905" s="265"/>
    </row>
    <row r="906" ht="17.25" customHeight="1">
      <c r="O906" s="265"/>
      <c r="P906" s="265"/>
      <c r="Q906" s="265"/>
    </row>
    <row r="907" ht="17.25" customHeight="1">
      <c r="O907" s="265"/>
      <c r="P907" s="265"/>
      <c r="Q907" s="265"/>
    </row>
    <row r="908" ht="17.25" customHeight="1">
      <c r="O908" s="265"/>
      <c r="P908" s="265"/>
      <c r="Q908" s="265"/>
    </row>
    <row r="909" ht="17.25" customHeight="1">
      <c r="O909" s="265"/>
      <c r="P909" s="265"/>
      <c r="Q909" s="265"/>
    </row>
    <row r="910" ht="17.25" customHeight="1">
      <c r="O910" s="265"/>
      <c r="P910" s="265"/>
      <c r="Q910" s="265"/>
    </row>
    <row r="911" ht="17.25" customHeight="1">
      <c r="O911" s="265"/>
      <c r="P911" s="265"/>
      <c r="Q911" s="265"/>
    </row>
    <row r="912" ht="17.25" customHeight="1">
      <c r="O912" s="265"/>
      <c r="P912" s="265"/>
      <c r="Q912" s="265"/>
    </row>
    <row r="913" ht="17.25" customHeight="1">
      <c r="O913" s="265"/>
      <c r="P913" s="265"/>
      <c r="Q913" s="265"/>
    </row>
    <row r="914" ht="17.25" customHeight="1">
      <c r="O914" s="265"/>
      <c r="P914" s="265"/>
      <c r="Q914" s="265"/>
    </row>
    <row r="915" ht="17.25" customHeight="1">
      <c r="O915" s="265"/>
      <c r="P915" s="265"/>
      <c r="Q915" s="265"/>
    </row>
    <row r="916" ht="17.25" customHeight="1">
      <c r="O916" s="265"/>
      <c r="P916" s="265"/>
      <c r="Q916" s="265"/>
    </row>
    <row r="917" ht="17.25" customHeight="1">
      <c r="O917" s="265"/>
      <c r="P917" s="265"/>
      <c r="Q917" s="265"/>
    </row>
    <row r="918" ht="17.25" customHeight="1">
      <c r="O918" s="265"/>
      <c r="P918" s="265"/>
      <c r="Q918" s="265"/>
    </row>
    <row r="919" ht="17.25" customHeight="1">
      <c r="O919" s="265"/>
      <c r="P919" s="265"/>
      <c r="Q919" s="265"/>
    </row>
    <row r="920" ht="17.25" customHeight="1">
      <c r="O920" s="265"/>
      <c r="P920" s="265"/>
      <c r="Q920" s="265"/>
    </row>
    <row r="921" ht="17.25" customHeight="1">
      <c r="O921" s="265"/>
      <c r="P921" s="265"/>
      <c r="Q921" s="265"/>
    </row>
    <row r="922" ht="17.25" customHeight="1">
      <c r="O922" s="265"/>
      <c r="P922" s="265"/>
      <c r="Q922" s="265"/>
    </row>
    <row r="923" ht="17.25" customHeight="1">
      <c r="O923" s="265"/>
      <c r="P923" s="265"/>
      <c r="Q923" s="265"/>
    </row>
    <row r="924" ht="17.25" customHeight="1">
      <c r="O924" s="265"/>
      <c r="P924" s="265"/>
      <c r="Q924" s="265"/>
    </row>
    <row r="925" ht="17.25" customHeight="1">
      <c r="O925" s="265"/>
      <c r="P925" s="265"/>
      <c r="Q925" s="265"/>
    </row>
    <row r="926" ht="17.25" customHeight="1">
      <c r="O926" s="265"/>
      <c r="P926" s="265"/>
      <c r="Q926" s="265"/>
    </row>
    <row r="927" ht="17.25" customHeight="1">
      <c r="O927" s="265"/>
      <c r="P927" s="265"/>
      <c r="Q927" s="265"/>
    </row>
    <row r="928" ht="17.25" customHeight="1">
      <c r="O928" s="265"/>
      <c r="P928" s="265"/>
      <c r="Q928" s="265"/>
    </row>
    <row r="929" ht="17.25" customHeight="1">
      <c r="O929" s="265"/>
      <c r="P929" s="265"/>
      <c r="Q929" s="265"/>
    </row>
    <row r="930" ht="17.25" customHeight="1">
      <c r="O930" s="265"/>
      <c r="P930" s="265"/>
      <c r="Q930" s="265"/>
    </row>
    <row r="931" ht="17.25" customHeight="1">
      <c r="O931" s="265"/>
      <c r="P931" s="265"/>
      <c r="Q931" s="265"/>
    </row>
    <row r="932" ht="17.25" customHeight="1">
      <c r="O932" s="265"/>
      <c r="P932" s="265"/>
      <c r="Q932" s="265"/>
    </row>
    <row r="933" ht="17.25" customHeight="1">
      <c r="O933" s="265"/>
      <c r="P933" s="265"/>
      <c r="Q933" s="265"/>
    </row>
    <row r="934" ht="17.25" customHeight="1">
      <c r="O934" s="265"/>
      <c r="P934" s="265"/>
      <c r="Q934" s="265"/>
    </row>
    <row r="935" ht="17.25" customHeight="1">
      <c r="O935" s="265"/>
      <c r="P935" s="265"/>
      <c r="Q935" s="265"/>
    </row>
    <row r="936" ht="17.25" customHeight="1">
      <c r="O936" s="265"/>
      <c r="P936" s="265"/>
      <c r="Q936" s="265"/>
    </row>
    <row r="937" ht="17.25" customHeight="1">
      <c r="O937" s="265"/>
      <c r="P937" s="265"/>
      <c r="Q937" s="265"/>
    </row>
    <row r="938" ht="17.25" customHeight="1">
      <c r="O938" s="265"/>
      <c r="P938" s="265"/>
      <c r="Q938" s="265"/>
    </row>
    <row r="939" ht="17.25" customHeight="1">
      <c r="O939" s="265"/>
      <c r="P939" s="265"/>
      <c r="Q939" s="265"/>
    </row>
    <row r="940" ht="17.25" customHeight="1">
      <c r="O940" s="265"/>
      <c r="P940" s="265"/>
      <c r="Q940" s="265"/>
    </row>
    <row r="941" ht="17.25" customHeight="1">
      <c r="O941" s="265"/>
      <c r="P941" s="265"/>
      <c r="Q941" s="265"/>
    </row>
    <row r="942" ht="17.25" customHeight="1">
      <c r="O942" s="265"/>
      <c r="P942" s="265"/>
      <c r="Q942" s="265"/>
    </row>
    <row r="943" ht="17.25" customHeight="1">
      <c r="O943" s="265"/>
      <c r="P943" s="265"/>
      <c r="Q943" s="265"/>
    </row>
    <row r="944" ht="17.25" customHeight="1">
      <c r="O944" s="265"/>
      <c r="P944" s="265"/>
      <c r="Q944" s="265"/>
    </row>
    <row r="945" ht="17.25" customHeight="1">
      <c r="O945" s="265"/>
      <c r="P945" s="265"/>
      <c r="Q945" s="265"/>
    </row>
    <row r="946" ht="17.25" customHeight="1">
      <c r="O946" s="265"/>
      <c r="P946" s="265"/>
      <c r="Q946" s="265"/>
    </row>
    <row r="947" ht="17.25" customHeight="1">
      <c r="O947" s="265"/>
      <c r="P947" s="265"/>
      <c r="Q947" s="265"/>
    </row>
    <row r="948" ht="17.25" customHeight="1">
      <c r="O948" s="265"/>
      <c r="P948" s="265"/>
      <c r="Q948" s="265"/>
    </row>
    <row r="949" ht="17.25" customHeight="1">
      <c r="O949" s="265"/>
      <c r="P949" s="265"/>
      <c r="Q949" s="265"/>
    </row>
    <row r="950" ht="17.25" customHeight="1">
      <c r="O950" s="265"/>
      <c r="P950" s="265"/>
      <c r="Q950" s="265"/>
    </row>
    <row r="951" ht="17.25" customHeight="1">
      <c r="O951" s="265"/>
      <c r="P951" s="265"/>
      <c r="Q951" s="265"/>
    </row>
    <row r="952" ht="17.25" customHeight="1">
      <c r="O952" s="265"/>
      <c r="P952" s="265"/>
      <c r="Q952" s="265"/>
    </row>
    <row r="953" ht="17.25" customHeight="1">
      <c r="O953" s="265"/>
      <c r="P953" s="265"/>
      <c r="Q953" s="265"/>
    </row>
    <row r="954" ht="17.25" customHeight="1">
      <c r="O954" s="265"/>
      <c r="P954" s="265"/>
      <c r="Q954" s="265"/>
    </row>
    <row r="955" ht="17.25" customHeight="1">
      <c r="O955" s="265"/>
      <c r="P955" s="265"/>
      <c r="Q955" s="265"/>
    </row>
    <row r="956" ht="17.25" customHeight="1">
      <c r="O956" s="265"/>
      <c r="P956" s="265"/>
      <c r="Q956" s="265"/>
    </row>
    <row r="957" ht="17.25" customHeight="1">
      <c r="O957" s="265"/>
      <c r="P957" s="265"/>
      <c r="Q957" s="265"/>
    </row>
    <row r="958" ht="17.25" customHeight="1">
      <c r="O958" s="265"/>
      <c r="P958" s="265"/>
      <c r="Q958" s="265"/>
    </row>
    <row r="959" ht="17.25" customHeight="1">
      <c r="O959" s="265"/>
      <c r="P959" s="265"/>
      <c r="Q959" s="265"/>
    </row>
    <row r="960" ht="17.25" customHeight="1">
      <c r="O960" s="265"/>
      <c r="P960" s="265"/>
      <c r="Q960" s="265"/>
    </row>
    <row r="961" ht="17.25" customHeight="1">
      <c r="O961" s="265"/>
      <c r="P961" s="265"/>
      <c r="Q961" s="265"/>
    </row>
    <row r="962" ht="17.25" customHeight="1">
      <c r="O962" s="265"/>
      <c r="P962" s="265"/>
      <c r="Q962" s="265"/>
    </row>
    <row r="963" ht="17.25" customHeight="1">
      <c r="O963" s="265"/>
      <c r="P963" s="265"/>
      <c r="Q963" s="265"/>
    </row>
    <row r="964" ht="17.25" customHeight="1">
      <c r="O964" s="265"/>
      <c r="P964" s="265"/>
      <c r="Q964" s="265"/>
    </row>
    <row r="965" ht="17.25" customHeight="1">
      <c r="O965" s="265"/>
      <c r="P965" s="265"/>
      <c r="Q965" s="265"/>
    </row>
    <row r="966" ht="17.25" customHeight="1">
      <c r="O966" s="265"/>
      <c r="P966" s="265"/>
      <c r="Q966" s="265"/>
    </row>
    <row r="967" ht="17.25" customHeight="1">
      <c r="O967" s="265"/>
      <c r="P967" s="265"/>
      <c r="Q967" s="265"/>
    </row>
    <row r="968" ht="17.25" customHeight="1">
      <c r="O968" s="265"/>
      <c r="P968" s="265"/>
      <c r="Q968" s="265"/>
    </row>
    <row r="969" ht="17.25" customHeight="1">
      <c r="O969" s="265"/>
      <c r="P969" s="265"/>
      <c r="Q969" s="265"/>
    </row>
    <row r="970" ht="17.25" customHeight="1">
      <c r="O970" s="265"/>
      <c r="P970" s="265"/>
      <c r="Q970" s="265"/>
    </row>
    <row r="971" ht="17.25" customHeight="1">
      <c r="O971" s="265"/>
      <c r="P971" s="265"/>
      <c r="Q971" s="265"/>
    </row>
    <row r="972" ht="17.25" customHeight="1">
      <c r="O972" s="265"/>
      <c r="P972" s="265"/>
      <c r="Q972" s="265"/>
    </row>
    <row r="973" ht="17.25" customHeight="1">
      <c r="O973" s="265"/>
      <c r="P973" s="265"/>
      <c r="Q973" s="265"/>
    </row>
    <row r="974" ht="17.25" customHeight="1">
      <c r="O974" s="265"/>
      <c r="P974" s="265"/>
      <c r="Q974" s="265"/>
    </row>
    <row r="975" ht="17.25" customHeight="1">
      <c r="O975" s="265"/>
      <c r="P975" s="265"/>
      <c r="Q975" s="265"/>
    </row>
    <row r="976" ht="17.25" customHeight="1">
      <c r="O976" s="265"/>
      <c r="P976" s="265"/>
      <c r="Q976" s="265"/>
    </row>
    <row r="977" ht="17.25" customHeight="1">
      <c r="O977" s="265"/>
      <c r="P977" s="265"/>
      <c r="Q977" s="265"/>
    </row>
    <row r="978" ht="17.25" customHeight="1">
      <c r="O978" s="265"/>
      <c r="P978" s="265"/>
      <c r="Q978" s="265"/>
    </row>
    <row r="979" ht="17.25" customHeight="1">
      <c r="O979" s="265"/>
      <c r="P979" s="265"/>
      <c r="Q979" s="265"/>
    </row>
    <row r="980" ht="17.25" customHeight="1">
      <c r="O980" s="265"/>
      <c r="P980" s="265"/>
      <c r="Q980" s="265"/>
    </row>
    <row r="981" ht="17.25" customHeight="1">
      <c r="O981" s="265"/>
      <c r="P981" s="265"/>
      <c r="Q981" s="265"/>
    </row>
    <row r="982" ht="17.25" customHeight="1">
      <c r="O982" s="265"/>
      <c r="P982" s="265"/>
      <c r="Q982" s="265"/>
    </row>
    <row r="983" ht="17.25" customHeight="1">
      <c r="O983" s="265"/>
      <c r="P983" s="265"/>
      <c r="Q983" s="265"/>
    </row>
    <row r="984" ht="17.25" customHeight="1">
      <c r="O984" s="265"/>
      <c r="P984" s="265"/>
      <c r="Q984" s="265"/>
    </row>
    <row r="985" ht="17.25" customHeight="1">
      <c r="O985" s="265"/>
      <c r="P985" s="265"/>
      <c r="Q985" s="265"/>
    </row>
    <row r="986" ht="17.25" customHeight="1">
      <c r="O986" s="265"/>
      <c r="P986" s="265"/>
      <c r="Q986" s="265"/>
    </row>
    <row r="987" ht="17.25" customHeight="1">
      <c r="O987" s="265"/>
      <c r="P987" s="265"/>
      <c r="Q987" s="265"/>
    </row>
    <row r="988" ht="17.25" customHeight="1">
      <c r="O988" s="265"/>
      <c r="P988" s="265"/>
      <c r="Q988" s="265"/>
    </row>
    <row r="989" ht="17.25" customHeight="1">
      <c r="O989" s="265"/>
      <c r="P989" s="265"/>
      <c r="Q989" s="265"/>
    </row>
    <row r="990" ht="17.25" customHeight="1">
      <c r="O990" s="265"/>
      <c r="P990" s="265"/>
      <c r="Q990" s="265"/>
    </row>
    <row r="991" ht="17.25" customHeight="1">
      <c r="O991" s="265"/>
      <c r="P991" s="265"/>
      <c r="Q991" s="265"/>
    </row>
    <row r="992" ht="17.25" customHeight="1">
      <c r="O992" s="265"/>
      <c r="P992" s="265"/>
      <c r="Q992" s="265"/>
    </row>
    <row r="993" ht="17.25" customHeight="1">
      <c r="O993" s="265"/>
      <c r="P993" s="265"/>
      <c r="Q993" s="265"/>
    </row>
    <row r="994" ht="17.25" customHeight="1">
      <c r="O994" s="265"/>
      <c r="P994" s="265"/>
      <c r="Q994" s="265"/>
    </row>
    <row r="995" ht="17.25" customHeight="1">
      <c r="O995" s="265"/>
      <c r="P995" s="265"/>
      <c r="Q995" s="265"/>
    </row>
    <row r="996" ht="17.25" customHeight="1">
      <c r="O996" s="265"/>
      <c r="P996" s="265"/>
      <c r="Q996" s="265"/>
    </row>
    <row r="997" ht="17.25" customHeight="1">
      <c r="O997" s="265"/>
      <c r="P997" s="265"/>
      <c r="Q997" s="265"/>
    </row>
    <row r="998" ht="17.25" customHeight="1">
      <c r="O998" s="265"/>
      <c r="P998" s="265"/>
      <c r="Q998" s="265"/>
    </row>
    <row r="999" ht="17.25" customHeight="1">
      <c r="O999" s="265"/>
      <c r="P999" s="265"/>
      <c r="Q999" s="265"/>
    </row>
    <row r="1000" ht="17.25" customHeight="1">
      <c r="O1000" s="265"/>
      <c r="P1000" s="265"/>
      <c r="Q1000" s="265"/>
    </row>
  </sheetData>
  <mergeCells count="3">
    <mergeCell ref="B3:C4"/>
    <mergeCell ref="N3:N4"/>
    <mergeCell ref="B5:B7"/>
  </mergeCells>
  <printOptions/>
  <pageMargins bottom="0.5511811023622047" footer="0.0" header="0.0" left="0.1968503937007874" right="0.0" top="0.7480314960629921"/>
  <pageSetup paperSize="9" scale="88" orientation="landscape"/>
  <drawing r:id="rId1"/>
</worksheet>
</file>