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문서이력" sheetId="2" r:id="rId5"/>
    <sheet state="visible" name="프로젝트WBS" sheetId="3" r:id="rId6"/>
    <sheet state="visible" name="휴일" sheetId="4" r:id="rId7"/>
  </sheets>
  <definedNames/>
  <calcPr/>
  <extLst>
    <ext uri="GoogleSheetsCustomDataVersion2">
      <go:sheetsCustomData xmlns:go="http://customooxmlschemas.google.com/" r:id="rId8" roundtripDataChecksum="04OR2aFdb/FzWLDEW0SqipKzpJ/uWemqiCnbQcUHLmE="/>
    </ext>
  </extLst>
</workbook>
</file>

<file path=xl/sharedStrings.xml><?xml version="1.0" encoding="utf-8"?>
<sst xmlns="http://schemas.openxmlformats.org/spreadsheetml/2006/main" count="204" uniqueCount="180">
  <si>
    <t>제·개정 이력</t>
  </si>
  <si>
    <t>휴일</t>
  </si>
  <si>
    <t>추석 연휴</t>
  </si>
  <si>
    <t>추석</t>
  </si>
  <si>
    <t>SyncGuard AI 시스템 구축</t>
  </si>
  <si>
    <t>개천절 대체공휴일</t>
  </si>
  <si>
    <t>한글날</t>
  </si>
  <si>
    <t>한빛글로벌 SyncGuard AI 시스템 구축 작업분할구조도 (WBS)</t>
  </si>
  <si>
    <t>성탄절</t>
  </si>
  <si>
    <t>신정</t>
  </si>
  <si>
    <t>설날 연휴</t>
  </si>
  <si>
    <t>설날</t>
  </si>
  <si>
    <t>삼일절</t>
  </si>
  <si>
    <t>어린이날</t>
  </si>
  <si>
    <t>작업분할구조도 (WBS)</t>
  </si>
  <si>
    <t>부처님오신날</t>
  </si>
  <si>
    <t>Work Breakdown Structure &amp; Schedule Master</t>
  </si>
  <si>
    <t xml:space="preserve">실적기준일 : </t>
  </si>
  <si>
    <t>버전</t>
  </si>
  <si>
    <t>개정일</t>
  </si>
  <si>
    <t>개정사유</t>
  </si>
  <si>
    <t>작업분할구조도</t>
  </si>
  <si>
    <t>개정내역</t>
  </si>
  <si>
    <t>작성자</t>
  </si>
  <si>
    <t>승인자</t>
  </si>
  <si>
    <t>SPI (일정수행지수)</t>
  </si>
  <si>
    <t>(WBS, Work Breakdown Structure)</t>
  </si>
  <si>
    <t>v0.9</t>
  </si>
  <si>
    <t>문서번호</t>
  </si>
  <si>
    <t>EMP_INT_020</t>
  </si>
  <si>
    <t>2026-10-15</t>
  </si>
  <si>
    <t>초기 제정</t>
  </si>
  <si>
    <t>사업수행계획서 기준 초기 WBS 및 6대 마일스톤(M1~M6) 초안 수립</t>
  </si>
  <si>
    <t>김태윤 PM</t>
  </si>
  <si>
    <t>v1.1 (착수 킥오프 합의 및 PoC 반영)</t>
  </si>
  <si>
    <t>정민수 PM</t>
  </si>
  <si>
    <t>사업기간</t>
  </si>
  <si>
    <t>2026.10.16 ~ 2027.05.31 (약 7.5개월 / 33주)</t>
  </si>
  <si>
    <t>발주사</t>
  </si>
  <si>
    <t>주식회사 한빛글로벌 (Hanbit Global Corp.)</t>
  </si>
  <si>
    <t>v1.0</t>
  </si>
  <si>
    <t>2026-10-16</t>
  </si>
  <si>
    <t>수행사</t>
  </si>
  <si>
    <t>주식회사 엠파시 (협력: ㈜데이터브릿지</t>
  </si>
  <si>
    <t>착수 확정</t>
  </si>
  <si>
    <t>현재공정률</t>
  </si>
  <si>
    <t>전체 계획 1.0% / 실적 1.2% (분석 단계: 계획 10.0% / 실적 12.0%)</t>
  </si>
  <si>
    <t>10/16 착수 킥오프 회의 합의사항 반영 (마케팅허브 연계, 데이터브릿지 3M 투입, 골든셋 단계적 구축)</t>
  </si>
  <si>
    <t>박준혁 AA / 김태윤 PM</t>
  </si>
  <si>
    <t>정민수 PM / 한승우 PM</t>
  </si>
  <si>
    <t>한빛글로벌 SyncGuard AI</t>
  </si>
  <si>
    <t>한빛글로벌 SyncGuard AI 시스템 구축</t>
  </si>
  <si>
    <t>v1.1</t>
  </si>
  <si>
    <t>2026-10-23</t>
  </si>
  <si>
    <t>PoC/진척 반영</t>
  </si>
  <si>
    <t>제1차 주간보고 기준 진척률(전체 계획 1.0%/실적 1.2%, 분석 계획 10.0%/실적 12.0%) 및 동영상 캡처·목업 PoC 반영</t>
  </si>
  <si>
    <t>김태윤 PM / 박준혁 AA</t>
  </si>
  <si>
    <t>정민수 PM / RA Lab</t>
  </si>
  <si>
    <t>최종작성일</t>
  </si>
  <si>
    <t>2026. 10. 23. (제1차 주간보고 기준)</t>
  </si>
  <si>
    <t>산출물 ID</t>
  </si>
  <si>
    <t>엠파시 (수행사)</t>
  </si>
  <si>
    <t>한빛글로벌</t>
  </si>
  <si>
    <t>(인)</t>
  </si>
  <si>
    <t>개정 사유   제정 또는 개정 내용이 이전 문서에 대해 추가/수정/삭제인지 선택 기입</t>
  </si>
  <si>
    <t>개정 내역   개정이 발생하는 페이지 번호와 변경 내용을 기술</t>
  </si>
  <si>
    <t>단계</t>
  </si>
  <si>
    <t>TASK</t>
  </si>
  <si>
    <t>담당</t>
  </si>
  <si>
    <t>계획
시작일</t>
  </si>
  <si>
    <t>예상
완료일</t>
  </si>
  <si>
    <t>실제
시작일</t>
  </si>
  <si>
    <t>실제
완료(예정)일</t>
  </si>
  <si>
    <t>계획
기간</t>
  </si>
  <si>
    <t>실제
기간</t>
  </si>
  <si>
    <t>계획
진행</t>
  </si>
  <si>
    <t>실제
진행</t>
  </si>
  <si>
    <t>계획
완료율</t>
  </si>
  <si>
    <t>작업
완료율</t>
  </si>
  <si>
    <t>프로젝트 실적</t>
  </si>
  <si>
    <t>일정 (2026.10 ~ 2027.05)</t>
  </si>
  <si>
    <t>산출물</t>
  </si>
  <si>
    <t>진척율</t>
  </si>
  <si>
    <t>달성율</t>
  </si>
  <si>
    <t>가중치</t>
  </si>
  <si>
    <t>수행단계</t>
  </si>
  <si>
    <t>분석 및 기획</t>
  </si>
  <si>
    <t>[01] 착수 및 요구사항·연계·PoC 정의</t>
  </si>
  <si>
    <t>착수 킥오프(10/16) 및 수행계획·계정/소통채널 개설</t>
  </si>
  <si>
    <t>사업총괄(PM)</t>
  </si>
  <si>
    <t>착수회의록(EMP_MAN_020), WBS, 사내계정</t>
  </si>
  <si>
    <t>현행 심의 절차 인터뷰(RA 4인 전원) 및 기준자료 정제</t>
  </si>
  <si>
    <t>AI 아키텍트 / RA 4인</t>
  </si>
  <si>
    <t>사내 기준 단일포맷 정제본, 인터뷰록</t>
  </si>
  <si>
    <t>동영상(사용자 지정 장면 캡처), 긴 JPG PoC 및 목업 검증</t>
  </si>
  <si>
    <t>박준혁 AA / 데이터브릿지</t>
  </si>
  <si>
    <t>동영상 장면캡처 PoC, 마케팅허브·프로덕트랩 목업</t>
  </si>
  <si>
    <t>KT레몬 vs 상용 LLM(Claude) 보고서 파싱 비교 및 요구사항 확정</t>
  </si>
  <si>
    <t>사업총괄(PM) / 박준혁 AA</t>
  </si>
  <si>
    <t>요구사항정의서(EMP_ANL_020), 연계규격협의서</t>
  </si>
  <si>
    <t>상세 설계</t>
  </si>
  <si>
    <t>[02] 화면·DB·IA·연계 상세 설계</t>
  </si>
  <si>
    <t>마케팅허브 중심 의뢰/결과 동선 및 Side-by-Side 대조 뷰어 설계</t>
  </si>
  <si>
    <t>프론트엔드 개발자</t>
  </si>
  <si>
    <t>화면설계서(대조뷰어·동영상캡처·관리자웹)</t>
  </si>
  <si>
    <t>PostgreSQL 16 + pgvector 통합 스키마 및 실증 DB ERD 설계</t>
  </si>
  <si>
    <t>백엔드 / 데이터브릿지</t>
  </si>
  <si>
    <t>데이터베이스명세서, ERD (마케팅허브 RDB·ProductLab)</t>
  </si>
  <si>
    <t>마케팅허브 REST API·뷰어 링크, ProductLab 배치, HB-SSO IAM 설계</t>
  </si>
  <si>
    <t>인터페이스설계서, 배치설계서 (데이터브릿지 11월 투입)</t>
  </si>
  <si>
    <t>3단계 판정 안전망(판정 하향 금지·법령 원문 제시) 아키텍처 정의</t>
  </si>
  <si>
    <t>AI 아키텍트</t>
  </si>
  <si>
    <t>시스템아키텍처정의서, 기업용 LLM 비학습 보안정의</t>
  </si>
  <si>
    <t>M1 마일스톤 설계 산출물 승인 (11.20 설계 확정)</t>
  </si>
  <si>
    <t>★M1 설계승인서 (2026.11.20)</t>
  </si>
  <si>
    <t>구현 및 AI 엔진 개발</t>
  </si>
  <si>
    <t>[03] 규칙 사전·근거 검색·Agent 구축</t>
  </si>
  <si>
    <t>식약처 표시·광고 공정화법·가이드라인 규제 문서 청킹 및 pgvector 적재</t>
  </si>
  <si>
    <t>AI 엔지니어</t>
  </si>
  <si>
    <t>규제문서 수집목록, pgvector 임베딩 DB</t>
  </si>
  <si>
    <t>사내 심의 기준(질문/답변 분리 엑셀) 기반 표현 사전(100대 규칙) 개발</t>
  </si>
  <si>
    <t>표현사전(금지/주의/안전) 100대 룰 엔진</t>
  </si>
  <si>
    <t>하이브리드 RAG 법령·사례 검색 및 근거 원문 추출 Agent 구축</t>
  </si>
  <si>
    <t>RAG 검색엔진 및 법적 근거 원문 제시 모듈</t>
  </si>
  <si>
    <t>[04] 3단계 판정 엔진·프롬프트 개발 (M2)</t>
  </si>
  <si>
    <t>PDF/PPT/JPG/동영상(지정 캡처 장면) 파싱 및 3단계 판정·대체문구 개발</t>
  </si>
  <si>
    <t>★M2 중간보고 프로토타입 (국·영문 번역심의 포함)</t>
  </si>
  <si>
    <t>판정 하향 금지 가드레일 및 법적 근거 부재 시 판정 유보 안전망 개발</t>
  </si>
  <si>
    <t>판정 하향 금지 및 실증 필요 여부 분석 모듈</t>
  </si>
  <si>
    <t>[05] 대조 뷰어·관리자 화면 및 결과 파일 고도화</t>
  </si>
  <si>
    <t>Side-by-Side 시안 대조 뷰어(장면 이미지·문구 번호 클릭 연동) 개발</t>
  </si>
  <si>
    <t>시안 대조 뷰어 및 동영상 장면 캡처 워크벤치</t>
  </si>
  <si>
    <t>RA 최종 판정(반영/확정) 피드백 UI 및 표현사전·규제문서 관리자 웹 개발</t>
  </si>
  <si>
    <t>RA 관리자 사이트(표현사전·규제문서 버전관리)</t>
  </si>
  <si>
    <t>심의 결과 리포트 파일(실증자료 연결 포함 Word/PDF/Excel) 고도화</t>
  </si>
  <si>
    <t>백엔드 개발자</t>
  </si>
  <si>
    <t>심의결과 리포트 고도화 출력 모듈</t>
  </si>
  <si>
    <t>[06] 마케팅허브·HB-SSO IAM·KT레몬 연계 개발 (M4)</t>
  </si>
  <si>
    <t>사내 HB-SSO IAM(SSO) 자동 로그인 및 관리자 웹 접근 연동</t>
  </si>
  <si>
    <t>HB-SSO IAM 통합 인증 연동 모듈</t>
  </si>
  <si>
    <t>마케팅허브(MarketingHub) 심의 의뢰 수신·결과 회신 REST API 및 뷰어 링크 연동</t>
  </si>
  <si>
    <t>★M4 마케팅허브 API 및 대조 뷰어 딥링크 연동 완료</t>
  </si>
  <si>
    <t>마케팅허브 RDB 성분 기준 연동 및 보고서 파싱(LLM/KT레몬) 파이프라인 구축</t>
  </si>
  <si>
    <t>백엔드 / AI</t>
  </si>
  <si>
    <t>마케팅허브 성분 RDB 및 실증보고서 매칭 모듈</t>
  </si>
  <si>
    <t>[07] ProductLab 실증자료 DB 구축·연동 (M3)</t>
  </si>
  <si>
    <t>ProductLab 원료 배합·세포효능 데이터 수집 배치 및 실증 DB 구축</t>
  </si>
  <si>
    <t>데이터브릿지 / 백엔드</t>
  </si>
  <si>
    <t>ProductLab 원료·세포효능 실증 DB 구축</t>
  </si>
  <si>
    <t>기술원 인체적용시험·HUT 설문 보고서 및 첨부파일 DB 연동 완료 (M3)</t>
  </si>
  <si>
    <t>★M3 기술원 실증 보고서 연동 완료 (1월말 중간보고)</t>
  </si>
  <si>
    <t>시험 및 검증</t>
  </si>
  <si>
    <t>[08] 통합·연계·보안·성능 시험</t>
  </si>
  <si>
    <t>마케팅허브·프로덕트랩·SyncGuard AI 전 구간 End-to-End 통합 테스트</t>
  </si>
  <si>
    <t>QA 리드 / 데이터브릿지</t>
  </si>
  <si>
    <t>단위/통합테스트 결과서 (데이터브릿지 4월 1M 투입)</t>
  </si>
  <si>
    <t>미출시 신제품 상용 LLM 비학습(Zero Data Retention) 보안 및 성능 시험</t>
  </si>
  <si>
    <t>QA 리드 / 백엔드</t>
  </si>
  <si>
    <t>LLM 기업계정 비학습 보안점검서, 성능시험서</t>
  </si>
  <si>
    <t>[09] 골든셋 평가·엔진 미세 조정</t>
  </si>
  <si>
    <t>1차 참조셋(회의 엑셀 50건) 기반 '금지 표현 검출률(95%+)' 벤치마크</t>
  </si>
  <si>
    <t>금지 표현 검출률(목표 95%+) 벤치마크 결과서</t>
  </si>
  <si>
    <t>프롬프트·100대 규칙 파인튜닝 및 오탐/미탐 정밀 보정</t>
  </si>
  <si>
    <t>프롬프트·규칙사전 파인튜닝 결과서</t>
  </si>
  <si>
    <t>[10] 마케터·RA 현업 파일럿 및 골든셋 확장 (M5)</t>
  </si>
  <si>
    <t>현업(마케터·RA) 시범운영 및 화면 '반영/확정' 이력 골든셋 자동 축적</t>
  </si>
  <si>
    <t>한빛글로벌 RA / 수행사</t>
  </si>
  <si>
    <t>현업 파일럿 운영일지 및 축적 골든셋 DB</t>
  </si>
  <si>
    <t>M5 마일스톤 현업 파일럿 검증 완료 및 수정 권고 일치율 점검 (4월말)</t>
  </si>
  <si>
    <t>★M5 파일럿 검증 완료보고서 (2027.04.30)</t>
  </si>
  <si>
    <t>이행 및 운영 안정화</t>
  </si>
  <si>
    <t>[11] 시스템 안정화·교육·검수 및 그랜드 오픈</t>
  </si>
  <si>
    <t>마케터·RA 사용자 매뉴얼/운영자 가이드 제작 및 전사 교육</t>
  </si>
  <si>
    <t>프론트엔드 / PM</t>
  </si>
  <si>
    <t>사용자 매뉴얼, 운영자 매뉴얼, 교육결과서</t>
  </si>
  <si>
    <t>시스템 최종 다듬기, 운영 환경 이관 및 모니터링 체계 가동</t>
  </si>
  <si>
    <t>운영 환경 이관 확인서</t>
  </si>
  <si>
    <t>최종 검수, 완료보고회 개최 및 SyncGuard AI 그랜드 오픈 (2027.05.31)</t>
  </si>
  <si>
    <t>양사 PM / 전원</t>
  </si>
  <si>
    <t>★M6 최종 검수확인서, 완료보고서 (2027.05.31)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</si>
</sst>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0.0%"/>
    <numFmt numFmtId="166" formatCode="yyyy-mm-dd"/>
    <numFmt numFmtId="167" formatCode="yyyy&quot;년&quot;\ m&quot;월&quot;"/>
  </numFmts>
  <fonts count="55">
    <font>
      <sz val="10.0"/>
      <color rgb="FF000000"/>
      <name val="Arial"/>
      <scheme val="minor"/>
    </font>
    <font>
      <sz val="11.0"/>
      <color theme="1"/>
      <name val="Malgun Gothic"/>
    </font>
    <font>
      <b/>
      <sz val="10.0"/>
      <color theme="1"/>
      <name val="Arial"/>
    </font>
    <font>
      <b/>
      <sz val="16.0"/>
      <color theme="1"/>
      <name val="Malgun Gothic"/>
    </font>
    <font/>
    <font>
      <sz val="10.0"/>
      <color theme="1"/>
      <name val="Arial"/>
    </font>
    <font>
      <b/>
      <sz val="28.0"/>
      <color rgb="FF262626"/>
      <name val="&quot;jtbc 고딕 extrabold&quot;"/>
    </font>
    <font>
      <b/>
      <sz val="18.0"/>
      <color rgb="FF1E3A8A"/>
      <name val="Malgun Gothic"/>
    </font>
    <font>
      <b/>
      <sz val="17.0"/>
      <color rgb="FF262626"/>
      <name val="Roboto"/>
    </font>
    <font>
      <b/>
      <sz val="30.0"/>
      <color rgb="FF262626"/>
      <name val="Roboto"/>
    </font>
    <font>
      <b/>
      <sz val="26.0"/>
      <color rgb="FF0F172A"/>
      <name val="Malgun Gothic"/>
    </font>
    <font>
      <b/>
      <sz val="10.0"/>
      <color rgb="FF262626"/>
      <name val="Roboto"/>
    </font>
    <font>
      <sz val="12.0"/>
      <color rgb="FF64748B"/>
      <name val="Malgun Gothic"/>
    </font>
    <font>
      <b/>
      <sz val="11.0"/>
      <color rgb="FF262626"/>
      <name val="Malgun Gothic"/>
    </font>
    <font>
      <b/>
      <sz val="10.0"/>
      <color theme="1"/>
      <name val="Malgun Gothic"/>
    </font>
    <font>
      <b/>
      <sz val="11.0"/>
      <color rgb="FF262626"/>
      <name val="Arial"/>
    </font>
    <font>
      <b/>
      <sz val="9.0"/>
      <color rgb="FF262626"/>
      <name val="Malgun Gothic"/>
    </font>
    <font>
      <b/>
      <sz val="26.0"/>
      <color theme="1"/>
      <name val="Malgun Gothic"/>
    </font>
    <font>
      <b/>
      <sz val="11.0"/>
      <color rgb="FF0000FF"/>
      <name val="Malgun Gothic"/>
    </font>
    <font>
      <sz val="9.0"/>
      <color theme="1"/>
      <name val="Malgun Gothic"/>
    </font>
    <font>
      <sz val="10.0"/>
      <color theme="1"/>
      <name val="Malgun Gothic"/>
    </font>
    <font>
      <b/>
      <sz val="11.0"/>
      <color rgb="FF434343"/>
      <name val="Hind"/>
    </font>
    <font>
      <sz val="11.0"/>
      <color rgb="FF434343"/>
      <name val="Hind"/>
    </font>
    <font>
      <sz val="10.0"/>
      <color rgb="FFFFFFFF"/>
      <name val="Arial"/>
    </font>
    <font>
      <sz val="11.0"/>
      <color rgb="FFD9D9D9"/>
      <name val="&quot;jtbc 고딕 regular&quot;"/>
    </font>
    <font>
      <b/>
      <sz val="10.0"/>
      <color rgb="FFFFFFFF"/>
      <name val="&quot;jtbc 고딕 regular&quot;"/>
    </font>
    <font>
      <b/>
      <sz val="10.0"/>
      <color rgb="FFFFFFFF"/>
      <name val="Malgun Gothic"/>
    </font>
    <font>
      <b/>
      <sz val="10.0"/>
      <color rgb="FFFFFFFF"/>
      <name val="Arial"/>
    </font>
    <font>
      <b/>
      <sz val="9.0"/>
      <color rgb="FFFFFFFF"/>
      <name val="Arial"/>
    </font>
    <font>
      <b/>
      <sz val="10.0"/>
      <color rgb="FF000000"/>
      <name val="&quot;jtbc 고딕 regular&quot;"/>
    </font>
    <font>
      <b/>
      <sz val="9.0"/>
      <color rgb="FF0000FF"/>
      <name val="Malgun Gothic"/>
    </font>
    <font>
      <b/>
      <sz val="8.0"/>
      <color rgb="FF191919"/>
      <name val="Arial"/>
    </font>
    <font>
      <sz val="12.0"/>
      <color rgb="FFD9D9D9"/>
      <name val="Arial"/>
    </font>
    <font>
      <sz val="11.0"/>
      <color rgb="FFD9D9D9"/>
      <name val="Arial"/>
    </font>
    <font>
      <b/>
      <sz val="10.0"/>
      <color rgb="FF0000FF"/>
      <name val="&quot;jtbc 고딕 light&quot;"/>
    </font>
    <font>
      <b/>
      <sz val="10.0"/>
      <color rgb="FF262626"/>
      <name val="&quot;jtbc 고딕 light&quot;"/>
    </font>
    <font>
      <sz val="10.0"/>
      <color rgb="FF262626"/>
      <name val="Arial"/>
    </font>
    <font>
      <b/>
      <sz val="10.0"/>
      <color rgb="FF0000FF"/>
      <name val="Arial"/>
    </font>
    <font>
      <sz val="10.0"/>
      <color rgb="FF434343"/>
      <name val="Arial"/>
    </font>
    <font>
      <b/>
      <sz val="10.0"/>
      <color rgb="FF434343"/>
      <name val="Arial"/>
    </font>
    <font>
      <b/>
      <sz val="8.0"/>
      <color rgb="FFFFFFFF"/>
      <name val="Arial"/>
    </font>
    <font>
      <b/>
      <sz val="8.0"/>
      <color rgb="FF1F4E78"/>
      <name val="Roboto"/>
    </font>
    <font>
      <sz val="8.0"/>
      <color rgb="FF1F4E78"/>
      <name val="Roboto"/>
    </font>
    <font>
      <b/>
      <sz val="8.0"/>
      <color rgb="FFFFFFFF"/>
      <name val="Roboto"/>
    </font>
    <font>
      <b/>
      <sz val="11.0"/>
      <color rgb="FFD9D9D9"/>
      <name val="Arial"/>
    </font>
    <font>
      <b/>
      <sz val="8.0"/>
      <color rgb="FF993300"/>
      <name val="Arial"/>
    </font>
    <font>
      <b/>
      <sz val="12.0"/>
      <color rgb="FF0000FF"/>
      <name val="Arial"/>
    </font>
    <font>
      <b/>
      <sz val="8.0"/>
      <color rgb="FF0000FF"/>
      <name val="Roboto"/>
    </font>
    <font>
      <sz val="8.0"/>
      <color rgb="FF191919"/>
      <name val="Arial"/>
    </font>
    <font>
      <b/>
      <sz val="9.0"/>
      <color rgb="FF993300"/>
      <name val="Arial"/>
    </font>
    <font>
      <sz val="9.0"/>
      <color rgb="FFFFFFFF"/>
      <name val="Arial"/>
    </font>
    <font>
      <sz val="10.0"/>
      <color rgb="FFFF0000"/>
      <name val="Arial"/>
    </font>
    <font>
      <b/>
      <sz val="10.0"/>
      <color rgb="FFEA4335"/>
      <name val="Arial"/>
    </font>
    <font>
      <b/>
      <sz val="11.0"/>
      <color theme="1"/>
      <name val="Arial"/>
    </font>
    <font>
      <b/>
      <strike/>
      <sz val="10.0"/>
      <color rgb="FF999999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404040"/>
        <bgColor rgb="FF404040"/>
      </patternFill>
    </fill>
    <fill>
      <patternFill patternType="solid">
        <fgColor rgb="FF434343"/>
        <bgColor rgb="FF434343"/>
      </patternFill>
    </fill>
    <fill>
      <patternFill patternType="solid">
        <fgColor rgb="FF0000FF"/>
        <bgColor rgb="FF0000FF"/>
      </patternFill>
    </fill>
    <fill>
      <patternFill patternType="solid">
        <fgColor rgb="FF1E3A5E"/>
        <bgColor rgb="FF1E3A5E"/>
      </patternFill>
    </fill>
    <fill>
      <patternFill patternType="solid">
        <fgColor rgb="FF4A86E8"/>
        <bgColor rgb="FF4A86E8"/>
      </patternFill>
    </fill>
    <fill>
      <patternFill patternType="solid">
        <fgColor rgb="FF2D5496"/>
        <bgColor rgb="FF2D5496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D8E0F2"/>
        <bgColor rgb="FFD8E0F2"/>
      </patternFill>
    </fill>
    <fill>
      <patternFill patternType="solid">
        <fgColor rgb="FFF8F8F8"/>
        <bgColor rgb="FFF8F8F8"/>
      </patternFill>
    </fill>
    <fill>
      <patternFill patternType="solid">
        <fgColor rgb="FFF3F3F3"/>
        <bgColor rgb="FFF3F3F3"/>
      </patternFill>
    </fill>
    <fill>
      <patternFill patternType="solid">
        <fgColor rgb="FF65F62D"/>
        <bgColor rgb="FF65F62D"/>
      </patternFill>
    </fill>
    <fill>
      <patternFill patternType="solid">
        <fgColor rgb="FFBCD6ED"/>
        <bgColor rgb="FFBCD6ED"/>
      </patternFill>
    </fill>
    <fill>
      <patternFill patternType="solid">
        <fgColor rgb="FFFFD866"/>
        <bgColor rgb="FFFFD866"/>
      </patternFill>
    </fill>
    <fill>
      <patternFill patternType="solid">
        <fgColor rgb="FF595959"/>
        <bgColor rgb="FF595959"/>
      </patternFill>
    </fill>
  </fills>
  <borders count="85">
    <border/>
    <border>
      <left/>
      <right/>
      <top/>
      <bottom/>
    </border>
    <border>
      <left/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/>
      <bottom/>
    </border>
    <border>
      <left style="medium">
        <color rgb="FF000000"/>
      </left>
      <right style="thin">
        <color rgb="FF000000"/>
      </right>
      <top/>
      <bottom style="thin">
        <color rgb="FFD8D8D8"/>
      </bottom>
    </border>
    <border>
      <left style="thin">
        <color rgb="FF000000"/>
      </left>
      <right style="thin">
        <color rgb="FF000000"/>
      </right>
      <top/>
      <bottom style="thin">
        <color rgb="FFD8D8D8"/>
      </bottom>
    </border>
    <border>
      <left style="thin">
        <color rgb="FF000000"/>
      </left>
      <right style="medium">
        <color rgb="FF000000"/>
      </right>
      <top/>
      <bottom style="thin">
        <color rgb="FFD8D8D8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medium">
        <color rgb="FF000000"/>
      </right>
      <top style="thin">
        <color rgb="FFD8D8D8"/>
      </top>
      <bottom style="thin">
        <color rgb="FFD8D8D8"/>
      </bottom>
    </border>
    <border>
      <right style="thin">
        <color rgb="FFFFFFFF"/>
      </right>
    </border>
    <border>
      <left/>
      <right/>
      <top style="medium">
        <color rgb="FF000000"/>
      </top>
      <bottom style="thin">
        <color rgb="FFD8D8D8"/>
      </bottom>
    </border>
    <border>
      <left style="thin">
        <color rgb="FFFFFFFF"/>
      </left>
      <right style="thin">
        <color rgb="FFFFFFFF"/>
      </right>
    </border>
    <border>
      <left/>
      <top style="medium">
        <color rgb="FF000000"/>
      </top>
      <bottom style="thin">
        <color rgb="FFD8D8D8"/>
      </bottom>
    </border>
    <border>
      <left style="thin">
        <color rgb="FFFFFFFF"/>
      </left>
      <right style="thin">
        <color rgb="FFFFFFFF"/>
      </right>
      <top/>
      <bottom/>
    </border>
    <border>
      <top style="medium">
        <color rgb="FF000000"/>
      </top>
      <bottom style="thin">
        <color rgb="FFD8D8D8"/>
      </bottom>
    </border>
    <border>
      <right/>
      <top style="medium">
        <color rgb="FF000000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left style="thin">
        <color rgb="FFFFFFFF"/>
      </left>
      <right/>
      <top/>
      <bottom/>
    </border>
    <border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medium">
        <color rgb="FF000000"/>
      </bottom>
    </border>
    <border>
      <left/>
      <top style="thin">
        <color rgb="FFD8D8D8"/>
      </top>
      <bottom style="medium">
        <color rgb="FF000000"/>
      </bottom>
    </border>
    <border>
      <right/>
      <top style="thin">
        <color rgb="FFD8D8D8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BFBFBF"/>
      </right>
      <top style="medium">
        <color rgb="FF000000"/>
      </top>
      <bottom style="thin">
        <color rgb="FF000000"/>
      </bottom>
    </border>
    <border>
      <left style="thin">
        <color rgb="FFBFBFBF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BFBFBF"/>
      </right>
      <top/>
      <bottom style="thin">
        <color rgb="FF000000"/>
      </bottom>
    </border>
    <border>
      <left style="thin">
        <color rgb="FFBFBFBF"/>
      </left>
      <right style="thin">
        <color rgb="FFBFBFBF"/>
      </right>
      <top/>
      <bottom style="thin">
        <color rgb="FF000000"/>
      </bottom>
    </border>
    <border>
      <left style="thin">
        <color rgb="FFBFBFBF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thin">
        <color rgb="FFBFBFBF"/>
      </right>
      <top/>
      <bottom style="medium">
        <color rgb="FF000000"/>
      </bottom>
    </border>
    <border>
      <left style="thin">
        <color rgb="FFBFBFBF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D8D8D8"/>
      </top>
      <bottom style="medium">
        <color rgb="FF000000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E0E0E0"/>
      </right>
      <top style="thin">
        <color rgb="FFCCCCCC"/>
      </top>
    </border>
    <border>
      <left style="thin">
        <color rgb="FFE0E0E0"/>
      </left>
      <top style="thin">
        <color rgb="FFCCCCCC"/>
      </top>
    </border>
    <border>
      <left style="thin">
        <color rgb="FFE0E0E0"/>
      </left>
      <top style="thin">
        <color rgb="FFCCCCCC"/>
      </top>
      <bottom style="thin">
        <color rgb="FFE0E0E0"/>
      </bottom>
    </border>
    <border>
      <right style="thin">
        <color rgb="FFE0E0E0"/>
      </right>
      <top style="thin">
        <color rgb="FFCCCCCC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CCCCCC"/>
      </top>
    </border>
    <border>
      <top style="thin">
        <color rgb="FFCCCCCC"/>
      </top>
      <bottom style="thin">
        <color rgb="FFE0E0E0"/>
      </bottom>
    </border>
    <border>
      <right style="thin">
        <color rgb="FFCCCCCC"/>
      </right>
      <top style="thin">
        <color rgb="FFCCCCCC"/>
      </top>
      <bottom style="thin">
        <color rgb="FFE0E0E0"/>
      </bottom>
    </border>
    <border>
      <left style="thin">
        <color rgb="FFCCCCCC"/>
      </left>
      <bottom style="thin">
        <color rgb="FFE0E0E0"/>
      </bottom>
    </border>
    <border>
      <bottom style="thin">
        <color rgb="FFE0E0E0"/>
      </bottom>
    </border>
    <border>
      <right style="thin">
        <color rgb="FFE0E0E0"/>
      </right>
      <bottom style="thin">
        <color rgb="FFE0E0E0"/>
      </bottom>
    </border>
    <border>
      <left style="thin">
        <color rgb="FFE0E0E0"/>
      </left>
    </border>
    <border>
      <right style="thin">
        <color rgb="FFE0E0E0"/>
      </right>
    </border>
    <border>
      <left style="thin">
        <color rgb="FFE0E0E0"/>
      </left>
      <right style="thin">
        <color rgb="FFE0E0E0"/>
      </right>
      <top style="thin">
        <color rgb="FFE0E0E0"/>
      </top>
    </border>
    <border>
      <left style="thin">
        <color rgb="FFE0E0E0"/>
      </left>
      <right style="thin">
        <color rgb="FFE0E0E0"/>
      </right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top style="thin">
        <color rgb="FFE0E0E0"/>
      </top>
      <bottom style="thin">
        <color rgb="FFE0E0E0"/>
      </bottom>
    </border>
    <border>
      <top style="thin">
        <color rgb="FFE0E0E0"/>
      </top>
      <bottom style="thin">
        <color rgb="FFE0E0E0"/>
      </bottom>
    </border>
    <border>
      <right style="thin">
        <color rgb="FFE0E0E0"/>
      </right>
      <top style="thin">
        <color rgb="FFE0E0E0"/>
      </top>
      <bottom style="thin">
        <color rgb="FFE0E0E0"/>
      </bottom>
    </border>
    <border>
      <right style="thin">
        <color rgb="FFCCCCCC"/>
      </right>
      <top style="thin">
        <color rgb="FFE0E0E0"/>
      </top>
      <bottom style="thin">
        <color rgb="FFE0E0E0"/>
      </bottom>
    </border>
    <border>
      <left style="thin">
        <color rgb="FFCCCCCC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/>
    </border>
    <border>
      <left style="thin">
        <color rgb="FFE0E0E0"/>
      </left>
      <right style="thin">
        <color rgb="FFCCCCCC"/>
      </right>
      <top style="thin">
        <color rgb="FFE0E0E0"/>
      </top>
      <bottom style="thin">
        <color rgb="FFE0E0E0"/>
      </bottom>
    </border>
    <border>
      <left style="thin">
        <color rgb="FFE0E0E0"/>
      </left>
      <right/>
      <top style="thin">
        <color rgb="FFE0E0E0"/>
      </top>
      <bottom style="thin">
        <color rgb="FFE0E0E0"/>
      </bottom>
    </border>
    <border>
      <left/>
      <right style="thin">
        <color rgb="FFD9D9D9"/>
      </right>
      <top/>
      <bottom style="thin">
        <color rgb="FFD9D9D9"/>
      </bottom>
    </border>
    <border>
      <left/>
      <right style="thin">
        <color rgb="FFE0E0E0"/>
      </right>
      <top style="thin">
        <color rgb="FFE0E0E0"/>
      </top>
      <bottom style="thin">
        <color rgb="FFE0E0E0"/>
      </bottom>
    </border>
    <border>
      <left/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CCCCCC"/>
      </left>
      <right style="thin">
        <color rgb="FFE0E0E0"/>
      </right>
      <top style="thin">
        <color rgb="FFE0E0E0"/>
      </top>
      <bottom/>
    </border>
    <border>
      <left style="thin">
        <color rgb="FFE0E0E0"/>
      </left>
      <top style="thin">
        <color rgb="FFE0E0E0"/>
      </top>
      <bottom/>
    </border>
    <border>
      <right style="thin">
        <color rgb="FFE0E0E0"/>
      </right>
      <top style="thin">
        <color rgb="FFE0E0E0"/>
      </top>
      <bottom/>
    </border>
    <border>
      <left/>
      <right style="thin">
        <color rgb="FFD9D9D9"/>
      </right>
      <top style="thin">
        <color rgb="FFD9D9D9"/>
      </top>
      <bottom/>
    </border>
    <border>
      <left style="thin">
        <color rgb="FFE0E0E0"/>
      </left>
      <right style="thin">
        <color rgb="FFCCCCCC"/>
      </right>
      <top style="thin">
        <color rgb="FFE0E0E0"/>
      </top>
      <bottom/>
    </border>
    <border>
      <left style="thin">
        <color rgb="FF4C4C4C"/>
      </left>
      <top style="thin">
        <color rgb="FF4C4C4C"/>
      </top>
      <bottom style="double">
        <color rgb="FF4C4C4C"/>
      </bottom>
    </border>
    <border>
      <top style="thin">
        <color rgb="FF4C4C4C"/>
      </top>
      <bottom style="double">
        <color rgb="FF4C4C4C"/>
      </bottom>
    </border>
    <border>
      <right style="thin">
        <color rgb="FF7F7F7F"/>
      </right>
      <top style="thin">
        <color rgb="FF4C4C4C"/>
      </top>
      <bottom style="double">
        <color rgb="FF4C4C4C"/>
      </bottom>
    </border>
    <border>
      <left style="thin">
        <color rgb="FF7F7F7F"/>
      </left>
      <right style="thin">
        <color rgb="FF7F7F7F"/>
      </right>
      <top style="thin">
        <color rgb="FF4C4C4C"/>
      </top>
      <bottom style="double">
        <color rgb="FF4C4C4C"/>
      </bottom>
    </border>
    <border>
      <left style="thin">
        <color rgb="FF7F7F7F"/>
      </left>
      <right style="thin">
        <color rgb="FF4C4C4C"/>
      </right>
      <top style="thin">
        <color rgb="FF4C4C4C"/>
      </top>
      <bottom style="double">
        <color rgb="FF4C4C4C"/>
      </bottom>
    </border>
    <border>
      <left/>
      <right style="thin">
        <color rgb="FFB7B7B7"/>
      </right>
      <top/>
      <bottom style="thin">
        <color rgb="FFB7B7B7"/>
      </bottom>
    </border>
    <border>
      <left style="thin">
        <color rgb="FFB7B7B7"/>
      </left>
      <right style="thin">
        <color rgb="FFB7B7B7"/>
      </right>
      <top/>
      <bottom style="thin">
        <color rgb="FFB7B7B7"/>
      </bottom>
    </border>
    <border>
      <left style="thin">
        <color rgb="FFB7B7B7"/>
      </left>
      <right style="thin">
        <color rgb="FF999999"/>
      </right>
      <top/>
      <bottom style="thin">
        <color rgb="FFB7B7B7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horizontal="center"/>
    </xf>
    <xf borderId="2" fillId="2" fontId="3" numFmtId="0" xfId="0" applyAlignment="1" applyBorder="1" applyFill="1" applyFont="1">
      <alignment horizontal="left" vertical="center"/>
    </xf>
    <xf borderId="3" fillId="0" fontId="4" numFmtId="0" xfId="0" applyBorder="1" applyFont="1"/>
    <xf borderId="0" fillId="0" fontId="5" numFmtId="164" xfId="0" applyFont="1" applyNumberFormat="1"/>
    <xf borderId="0" fillId="0" fontId="5" numFmtId="0" xfId="0" applyFont="1"/>
    <xf borderId="0" fillId="0" fontId="6" numFmtId="0" xfId="0" applyAlignment="1" applyFont="1">
      <alignment horizontal="left"/>
    </xf>
    <xf borderId="0" fillId="0" fontId="7" numFmtId="0" xfId="0" applyFont="1"/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1" fillId="4" fontId="8" numFmtId="0" xfId="0" applyAlignment="1" applyBorder="1" applyFill="1" applyFont="1">
      <alignment horizontal="left"/>
    </xf>
    <xf borderId="1" fillId="4" fontId="9" numFmtId="0" xfId="0" applyAlignment="1" applyBorder="1" applyFill="1" applyFont="1">
      <alignment horizontal="left"/>
    </xf>
    <xf borderId="0" fillId="0" fontId="10" numFmtId="0" xfId="0" applyFont="1"/>
    <xf borderId="1" fillId="4" fontId="11" numFmtId="0" xfId="0" applyAlignment="1" applyBorder="1" applyFill="1" applyFont="1">
      <alignment horizontal="right"/>
    </xf>
    <xf borderId="1" fillId="4" fontId="11" numFmtId="0" xfId="0" applyAlignment="1" applyBorder="1" applyFill="1" applyFont="1">
      <alignment horizontal="left"/>
    </xf>
    <xf borderId="0" fillId="0" fontId="12" numFmtId="0" xfId="0" applyFont="1"/>
    <xf borderId="1" fillId="4" fontId="13" numFmtId="0" xfId="0" applyAlignment="1" applyBorder="1" applyFill="1" applyFont="1">
      <alignment horizontal="right"/>
    </xf>
    <xf borderId="4" fillId="5" fontId="14" numFmtId="0" xfId="0" applyAlignment="1" applyBorder="1" applyFill="1" applyFont="1">
      <alignment horizontal="center" vertical="center"/>
    </xf>
    <xf borderId="0" fillId="0" fontId="15" numFmtId="164" xfId="0" applyAlignment="1" applyFont="1" applyNumberFormat="1">
      <alignment horizontal="center"/>
    </xf>
    <xf borderId="5" fillId="5" fontId="14" numFmtId="0" xfId="0" applyAlignment="1" applyBorder="1" applyFill="1" applyFont="1">
      <alignment horizontal="center" vertical="center"/>
    </xf>
    <xf borderId="1" fillId="4" fontId="16" numFmtId="0" xfId="0" applyAlignment="1" applyBorder="1" applyFill="1" applyFont="1">
      <alignment horizontal="right"/>
    </xf>
    <xf borderId="2" fillId="4" fontId="16" numFmtId="0" xfId="0" applyAlignment="1" applyBorder="1" applyFill="1" applyFont="1">
      <alignment horizontal="right"/>
    </xf>
    <xf borderId="6" fillId="5" fontId="14" numFmtId="0" xfId="0" applyAlignment="1" applyBorder="1" applyFill="1" applyFont="1">
      <alignment horizontal="center" vertical="center"/>
    </xf>
    <xf borderId="2" fillId="2" fontId="17" numFmtId="0" xfId="0" applyAlignment="1" applyBorder="1" applyFill="1" applyFont="1">
      <alignment horizontal="center" vertical="center"/>
    </xf>
    <xf borderId="7" fillId="0" fontId="4" numFmtId="0" xfId="0" applyBorder="1" applyFont="1"/>
    <xf borderId="1" fillId="4" fontId="18" numFmtId="0" xfId="0" applyAlignment="1" applyBorder="1" applyFill="1" applyFont="1">
      <alignment horizontal="right"/>
    </xf>
    <xf borderId="1" fillId="2" fontId="1" numFmtId="0" xfId="0" applyAlignment="1" applyBorder="1" applyFill="1" applyFont="1">
      <alignment horizontal="center" vertical="center"/>
    </xf>
    <xf borderId="8" fillId="2" fontId="19" numFmtId="164" xfId="0" applyAlignment="1" applyBorder="1" applyFill="1" applyFont="1" applyNumberFormat="1">
      <alignment horizontal="center" vertical="center"/>
    </xf>
    <xf borderId="1" fillId="2" fontId="14" numFmtId="0" xfId="0" applyAlignment="1" applyBorder="1" applyFill="1" applyFont="1">
      <alignment horizontal="center" vertical="center"/>
    </xf>
    <xf quotePrefix="1" borderId="9" fillId="2" fontId="19" numFmtId="164" xfId="0" applyAlignment="1" applyBorder="1" applyFill="1" applyFont="1" applyNumberForma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9" fillId="2" fontId="19" numFmtId="0" xfId="0" applyAlignment="1" applyBorder="1" applyFill="1" applyFont="1">
      <alignment horizontal="left" vertical="center"/>
    </xf>
    <xf borderId="0" fillId="0" fontId="14" numFmtId="0" xfId="0" applyFont="1"/>
    <xf borderId="9" fillId="2" fontId="19" numFmtId="0" xfId="0" applyAlignment="1" applyBorder="1" applyFill="1" applyFont="1">
      <alignment horizontal="center" vertical="center"/>
    </xf>
    <xf borderId="10" fillId="2" fontId="19" numFmtId="0" xfId="0" applyAlignment="1" applyBorder="1" applyFill="1" applyFont="1">
      <alignment horizontal="center" vertical="center"/>
    </xf>
    <xf borderId="1" fillId="4" fontId="13" numFmtId="165" xfId="0" applyAlignment="1" applyBorder="1" applyFill="1" applyFont="1" applyNumberFormat="1">
      <alignment horizontal="right"/>
    </xf>
    <xf borderId="11" fillId="2" fontId="20" numFmtId="0" xfId="0" applyAlignment="1" applyBorder="1" applyFill="1" applyFont="1">
      <alignment horizontal="center" vertical="center"/>
    </xf>
    <xf borderId="12" fillId="2" fontId="20" numFmtId="164" xfId="0" applyAlignment="1" applyBorder="1" applyFill="1" applyFont="1" applyNumberFormat="1">
      <alignment horizontal="center" vertical="center"/>
    </xf>
    <xf borderId="12" fillId="2" fontId="20" numFmtId="0" xfId="0" applyAlignment="1" applyBorder="1" applyFill="1" applyFont="1">
      <alignment horizontal="left" vertical="center"/>
    </xf>
    <xf borderId="12" fillId="2" fontId="20" numFmtId="0" xfId="0" applyAlignment="1" applyBorder="1" applyFill="1" applyFont="1">
      <alignment horizontal="center" vertical="center"/>
    </xf>
    <xf borderId="1" fillId="4" fontId="18" numFmtId="165" xfId="0" applyAlignment="1" applyBorder="1" applyFill="1" applyFont="1" applyNumberFormat="1">
      <alignment horizontal="left"/>
    </xf>
    <xf borderId="13" fillId="2" fontId="20" numFmtId="0" xfId="0" applyAlignment="1" applyBorder="1" applyFill="1" applyFont="1">
      <alignment horizontal="center" vertical="center"/>
    </xf>
    <xf borderId="14" fillId="0" fontId="21" numFmtId="0" xfId="0" applyAlignment="1" applyBorder="1" applyFont="1">
      <alignment horizontal="left"/>
    </xf>
    <xf borderId="15" fillId="2" fontId="14" numFmtId="0" xfId="0" applyAlignment="1" applyBorder="1" applyFill="1" applyFont="1">
      <alignment vertical="center"/>
    </xf>
    <xf borderId="16" fillId="0" fontId="21" numFmtId="0" xfId="0" applyAlignment="1" applyBorder="1" applyFont="1">
      <alignment horizontal="left"/>
    </xf>
    <xf borderId="17" fillId="2" fontId="14" numFmtId="0" xfId="0" applyAlignment="1" applyBorder="1" applyFill="1" applyFont="1">
      <alignment horizontal="left" vertical="center"/>
    </xf>
    <xf borderId="18" fillId="4" fontId="22" numFmtId="0" xfId="0" applyBorder="1" applyFill="1" applyFont="1"/>
    <xf borderId="19" fillId="0" fontId="4" numFmtId="0" xfId="0" applyBorder="1" applyFont="1"/>
    <xf borderId="20" fillId="0" fontId="4" numFmtId="0" xfId="0" applyBorder="1" applyFont="1"/>
    <xf borderId="18" fillId="4" fontId="22" numFmtId="0" xfId="0" applyAlignment="1" applyBorder="1" applyFill="1" applyFont="1">
      <alignment horizontal="center" vertical="center"/>
    </xf>
    <xf borderId="18" fillId="4" fontId="22" numFmtId="0" xfId="0" applyAlignment="1" applyBorder="1" applyFill="1" applyFont="1">
      <alignment horizontal="left" vertical="center"/>
    </xf>
    <xf borderId="21" fillId="2" fontId="14" numFmtId="0" xfId="0" applyAlignment="1" applyBorder="1" applyFill="1" applyFont="1">
      <alignment vertical="center"/>
    </xf>
    <xf borderId="22" fillId="2" fontId="19" numFmtId="0" xfId="0" applyAlignment="1" applyBorder="1" applyFill="1" applyFont="1">
      <alignment horizontal="left" vertical="center"/>
    </xf>
    <xf borderId="23" fillId="0" fontId="4" numFmtId="0" xfId="0" applyBorder="1" applyFont="1"/>
    <xf borderId="24" fillId="4" fontId="22" numFmtId="0" xfId="0" applyAlignment="1" applyBorder="1" applyFill="1" applyFont="1">
      <alignment horizontal="center" vertical="center"/>
    </xf>
    <xf borderId="25" fillId="0" fontId="4" numFmtId="0" xfId="0" applyBorder="1" applyFont="1"/>
    <xf borderId="24" fillId="4" fontId="22" numFmtId="0" xfId="0" applyBorder="1" applyFill="1" applyFont="1"/>
    <xf borderId="1" fillId="4" fontId="22" numFmtId="0" xfId="0" applyBorder="1" applyFill="1" applyFont="1"/>
    <xf borderId="26" fillId="2" fontId="14" numFmtId="0" xfId="0" applyAlignment="1" applyBorder="1" applyFill="1" applyFont="1">
      <alignment vertical="center"/>
    </xf>
    <xf borderId="27" fillId="2" fontId="20" numFmtId="0" xfId="0" applyAlignment="1" applyBorder="1" applyFill="1" applyFont="1">
      <alignment vertical="center"/>
    </xf>
    <xf borderId="28" fillId="0" fontId="4" numFmtId="0" xfId="0" applyBorder="1" applyFont="1"/>
    <xf borderId="27" fillId="2" fontId="19" numFmtId="0" xfId="0" applyAlignment="1" applyBorder="1" applyFill="1" applyFont="1">
      <alignment horizontal="center" vertical="center"/>
    </xf>
    <xf borderId="0" fillId="0" fontId="23" numFmtId="166" xfId="0" applyFont="1" applyNumberFormat="1"/>
    <xf borderId="1" fillId="2" fontId="20" numFmtId="0" xfId="0" applyAlignment="1" applyBorder="1" applyFill="1" applyFont="1">
      <alignment vertical="center"/>
    </xf>
    <xf borderId="29" fillId="6" fontId="14" numFmtId="0" xfId="0" applyAlignment="1" applyBorder="1" applyFill="1" applyFont="1">
      <alignment horizontal="center" vertical="center"/>
    </xf>
    <xf borderId="30" fillId="0" fontId="4" numFmtId="0" xfId="0" applyBorder="1" applyFont="1"/>
    <xf borderId="31" fillId="6" fontId="14" numFmtId="0" xfId="0" applyAlignment="1" applyBorder="1" applyFill="1" applyFont="1">
      <alignment horizontal="center" vertical="center"/>
    </xf>
    <xf borderId="32" fillId="0" fontId="4" numFmtId="0" xfId="0" applyBorder="1" applyFont="1"/>
    <xf borderId="33" fillId="2" fontId="20" numFmtId="0" xfId="0" applyAlignment="1" applyBorder="1" applyFill="1" applyFont="1">
      <alignment horizontal="center" vertical="center"/>
    </xf>
    <xf borderId="34" fillId="2" fontId="20" numFmtId="0" xfId="0" applyAlignment="1" applyBorder="1" applyFill="1" applyFont="1">
      <alignment horizontal="center" vertical="center"/>
    </xf>
    <xf borderId="35" fillId="2" fontId="20" numFmtId="0" xfId="0" applyAlignment="1" applyBorder="1" applyFill="1" applyFont="1">
      <alignment horizontal="center" vertical="center"/>
    </xf>
    <xf borderId="36" fillId="2" fontId="1" numFmtId="0" xfId="0" applyAlignment="1" applyBorder="1" applyFill="1" applyFont="1">
      <alignment horizontal="right" vertical="center"/>
    </xf>
    <xf borderId="37" fillId="0" fontId="4" numFmtId="0" xfId="0" applyBorder="1" applyFont="1"/>
    <xf borderId="38" fillId="2" fontId="1" numFmtId="0" xfId="0" applyAlignment="1" applyBorder="1" applyFill="1" applyFont="1">
      <alignment horizontal="right" vertical="center"/>
    </xf>
    <xf borderId="39" fillId="0" fontId="4" numFmtId="0" xfId="0" applyBorder="1" applyFont="1"/>
    <xf borderId="40" fillId="2" fontId="20" numFmtId="0" xfId="0" applyAlignment="1" applyBorder="1" applyFill="1" applyFont="1">
      <alignment horizontal="center" vertical="center"/>
    </xf>
    <xf borderId="41" fillId="2" fontId="20" numFmtId="164" xfId="0" applyAlignment="1" applyBorder="1" applyFill="1" applyFont="1" applyNumberFormat="1">
      <alignment horizontal="center" vertical="center"/>
    </xf>
    <xf borderId="41" fillId="2" fontId="20" numFmtId="0" xfId="0" applyAlignment="1" applyBorder="1" applyFill="1" applyFont="1">
      <alignment horizontal="left" vertical="center"/>
    </xf>
    <xf borderId="41" fillId="2" fontId="20" numFmtId="0" xfId="0" applyAlignment="1" applyBorder="1" applyFill="1" applyFont="1">
      <alignment horizontal="center" vertical="center"/>
    </xf>
    <xf borderId="42" fillId="2" fontId="20" numFmtId="0" xfId="0" applyAlignment="1" applyBorder="1" applyFill="1" applyFont="1">
      <alignment horizontal="center" vertical="center"/>
    </xf>
    <xf borderId="0" fillId="0" fontId="24" numFmtId="0" xfId="0" applyAlignment="1" applyFont="1">
      <alignment horizontal="center" vertical="center"/>
    </xf>
    <xf borderId="43" fillId="7" fontId="25" numFmtId="0" xfId="0" applyAlignment="1" applyBorder="1" applyFill="1" applyFont="1">
      <alignment horizontal="center" vertical="center"/>
    </xf>
    <xf borderId="44" fillId="0" fontId="4" numFmtId="0" xfId="0" applyBorder="1" applyFont="1"/>
    <xf borderId="45" fillId="0" fontId="4" numFmtId="0" xfId="0" applyBorder="1" applyFont="1"/>
    <xf borderId="46" fillId="7" fontId="25" numFmtId="0" xfId="0" applyAlignment="1" applyBorder="1" applyFill="1" applyFont="1">
      <alignment horizontal="center" vertical="center"/>
    </xf>
    <xf borderId="47" fillId="7" fontId="25" numFmtId="0" xfId="0" applyAlignment="1" applyBorder="1" applyFill="1" applyFont="1">
      <alignment horizontal="center" vertical="center"/>
    </xf>
    <xf borderId="48" fillId="0" fontId="4" numFmtId="0" xfId="0" applyBorder="1" applyFont="1"/>
    <xf borderId="49" fillId="8" fontId="26" numFmtId="0" xfId="0" applyAlignment="1" applyBorder="1" applyFill="1" applyFont="1">
      <alignment horizontal="center" vertical="center"/>
    </xf>
    <xf borderId="47" fillId="9" fontId="26" numFmtId="0" xfId="0" applyAlignment="1" applyBorder="1" applyFill="1" applyFont="1">
      <alignment horizontal="center" vertical="center"/>
    </xf>
    <xf borderId="47" fillId="10" fontId="27" numFmtId="0" xfId="0" applyAlignment="1" applyBorder="1" applyFill="1" applyFont="1">
      <alignment horizontal="center" vertical="center"/>
    </xf>
    <xf borderId="50" fillId="0" fontId="4" numFmtId="0" xfId="0" applyBorder="1" applyFont="1"/>
    <xf borderId="51" fillId="0" fontId="4" numFmtId="0" xfId="0" applyBorder="1" applyFont="1"/>
    <xf borderId="1" fillId="10" fontId="27" numFmtId="0" xfId="0" applyAlignment="1" applyBorder="1" applyFill="1" applyFont="1">
      <alignment horizontal="center" vertical="center"/>
    </xf>
    <xf borderId="52" fillId="0" fontId="4" numFmtId="0" xfId="0" applyBorder="1" applyFont="1"/>
    <xf borderId="53" fillId="0" fontId="4" numFmtId="0" xfId="0" applyBorder="1" applyFont="1"/>
    <xf borderId="54" fillId="0" fontId="4" numFmtId="0" xfId="0" applyBorder="1" applyFont="1"/>
    <xf borderId="55" fillId="0" fontId="4" numFmtId="0" xfId="0" applyBorder="1" applyFont="1"/>
    <xf borderId="56" fillId="0" fontId="4" numFmtId="0" xfId="0" applyBorder="1" applyFont="1"/>
    <xf borderId="57" fillId="7" fontId="25" numFmtId="0" xfId="0" applyAlignment="1" applyBorder="1" applyFill="1" applyFont="1">
      <alignment horizontal="center" vertical="center"/>
    </xf>
    <xf borderId="58" fillId="0" fontId="4" numFmtId="0" xfId="0" applyBorder="1" applyFont="1"/>
    <xf borderId="59" fillId="11" fontId="26" numFmtId="0" xfId="0" applyAlignment="1" applyBorder="1" applyFill="1" applyFont="1">
      <alignment horizontal="center" vertical="center"/>
    </xf>
    <xf borderId="60" fillId="12" fontId="28" numFmtId="167" xfId="0" applyAlignment="1" applyBorder="1" applyFill="1" applyFont="1" applyNumberFormat="1">
      <alignment horizontal="center" vertical="center"/>
    </xf>
    <xf borderId="61" fillId="0" fontId="4" numFmtId="0" xfId="0" applyBorder="1" applyFont="1"/>
    <xf borderId="62" fillId="0" fontId="4" numFmtId="0" xfId="0" applyBorder="1" applyFont="1"/>
    <xf borderId="63" fillId="0" fontId="4" numFmtId="0" xfId="0" applyBorder="1" applyFont="1"/>
    <xf borderId="1" fillId="12" fontId="28" numFmtId="167" xfId="0" applyAlignment="1" applyBorder="1" applyFill="1" applyFont="1" applyNumberFormat="1">
      <alignment horizontal="center" vertical="center"/>
    </xf>
    <xf borderId="64" fillId="7" fontId="25" numFmtId="0" xfId="0" applyAlignment="1" applyBorder="1" applyFill="1" applyFont="1">
      <alignment horizontal="center" vertical="center"/>
    </xf>
    <xf borderId="59" fillId="13" fontId="29" numFmtId="0" xfId="0" applyAlignment="1" applyBorder="1" applyFill="1" applyFont="1">
      <alignment horizontal="center" vertical="center"/>
    </xf>
    <xf borderId="60" fillId="14" fontId="29" numFmtId="0" xfId="0" applyAlignment="1" applyBorder="1" applyFill="1" applyFont="1">
      <alignment horizontal="center" vertical="center"/>
    </xf>
    <xf borderId="65" fillId="0" fontId="4" numFmtId="0" xfId="0" applyBorder="1" applyFont="1"/>
    <xf borderId="59" fillId="15" fontId="30" numFmtId="164" xfId="0" applyAlignment="1" applyBorder="1" applyFill="1" applyFont="1" applyNumberFormat="1">
      <alignment horizontal="center" vertical="center"/>
    </xf>
    <xf borderId="59" fillId="15" fontId="30" numFmtId="3" xfId="0" applyAlignment="1" applyBorder="1" applyFill="1" applyFont="1" applyNumberFormat="1">
      <alignment horizontal="center" vertical="center"/>
    </xf>
    <xf borderId="66" fillId="15" fontId="2" numFmtId="165" xfId="0" applyAlignment="1" applyBorder="1" applyFill="1" applyFont="1" applyNumberFormat="1">
      <alignment horizontal="center" vertical="center"/>
    </xf>
    <xf borderId="59" fillId="15" fontId="2" numFmtId="165" xfId="0" applyAlignment="1" applyBorder="1" applyFill="1" applyFont="1" applyNumberFormat="1">
      <alignment horizontal="center" vertical="center"/>
    </xf>
    <xf borderId="59" fillId="16" fontId="31" numFmtId="0" xfId="0" applyAlignment="1" applyBorder="1" applyFill="1" applyFont="1">
      <alignment horizontal="center" vertical="center"/>
    </xf>
    <xf borderId="67" fillId="16" fontId="31" numFmtId="0" xfId="0" applyAlignment="1" applyBorder="1" applyFill="1" applyFont="1">
      <alignment horizontal="center" vertical="center"/>
    </xf>
    <xf borderId="1" fillId="16" fontId="31" numFmtId="0" xfId="0" applyAlignment="1" applyBorder="1" applyFill="1" applyFont="1">
      <alignment horizontal="center" vertical="center"/>
    </xf>
    <xf borderId="0" fillId="0" fontId="32" numFmtId="0" xfId="0" applyAlignment="1" applyFont="1">
      <alignment horizontal="center" vertical="center"/>
    </xf>
    <xf borderId="64" fillId="8" fontId="33" numFmtId="0" xfId="0" applyAlignment="1" applyBorder="1" applyFill="1" applyFont="1">
      <alignment horizontal="center" vertical="center"/>
    </xf>
    <xf borderId="59" fillId="13" fontId="34" numFmtId="165" xfId="0" applyAlignment="1" applyBorder="1" applyFill="1" applyFont="1" applyNumberFormat="1">
      <alignment horizontal="center" vertical="center"/>
    </xf>
    <xf borderId="59" fillId="17" fontId="35" numFmtId="0" xfId="0" applyAlignment="1" applyBorder="1" applyFill="1" applyFont="1">
      <alignment horizontal="center" vertical="center"/>
    </xf>
    <xf borderId="59" fillId="17" fontId="35" numFmtId="0" xfId="0" applyAlignment="1" applyBorder="1" applyFill="1" applyFont="1">
      <alignment horizontal="left" vertical="center"/>
    </xf>
    <xf borderId="60" fillId="17" fontId="36" numFmtId="0" xfId="0" applyAlignment="1" applyBorder="1" applyFill="1" applyFont="1">
      <alignment horizontal="left" readingOrder="0" vertical="center"/>
    </xf>
    <xf borderId="59" fillId="0" fontId="36" numFmtId="0" xfId="0" applyAlignment="1" applyBorder="1" applyFont="1">
      <alignment horizontal="center" vertical="center"/>
    </xf>
    <xf borderId="59" fillId="0" fontId="36" numFmtId="0" xfId="0" applyAlignment="1" applyBorder="1" applyFont="1">
      <alignment horizontal="left" vertical="center"/>
    </xf>
    <xf borderId="59" fillId="0" fontId="36" numFmtId="164" xfId="0" applyAlignment="1" applyBorder="1" applyFont="1" applyNumberFormat="1">
      <alignment horizontal="center" vertical="center"/>
    </xf>
    <xf borderId="59" fillId="0" fontId="36" numFmtId="3" xfId="0" applyAlignment="1" applyBorder="1" applyFont="1" applyNumberFormat="1">
      <alignment horizontal="center" vertical="center"/>
    </xf>
    <xf borderId="59" fillId="18" fontId="37" numFmtId="3" xfId="0" applyAlignment="1" applyBorder="1" applyFill="1" applyFont="1" applyNumberFormat="1">
      <alignment horizontal="center" vertical="center"/>
    </xf>
    <xf borderId="68" fillId="18" fontId="37" numFmtId="3" xfId="0" applyAlignment="1" applyBorder="1" applyFill="1" applyFont="1" applyNumberFormat="1">
      <alignment horizontal="center" vertical="center"/>
    </xf>
    <xf borderId="69" fillId="19" fontId="38" numFmtId="9" xfId="0" applyAlignment="1" applyBorder="1" applyFill="1" applyFont="1" applyNumberFormat="1">
      <alignment horizontal="center" vertical="center"/>
    </xf>
    <xf borderId="69" fillId="19" fontId="37" numFmtId="9" xfId="0" applyAlignment="1" applyBorder="1" applyFill="1" applyFont="1" applyNumberFormat="1">
      <alignment horizontal="center" vertical="center"/>
    </xf>
    <xf borderId="69" fillId="19" fontId="39" numFmtId="9" xfId="0" applyAlignment="1" applyBorder="1" applyFill="1" applyFont="1" applyNumberFormat="1">
      <alignment horizontal="center" vertical="center"/>
    </xf>
    <xf borderId="70" fillId="17" fontId="39" numFmtId="165" xfId="0" applyAlignment="1" applyBorder="1" applyFill="1" applyFont="1" applyNumberFormat="1">
      <alignment horizontal="center" vertical="center"/>
    </xf>
    <xf borderId="59" fillId="4" fontId="40" numFmtId="0" xfId="0" applyAlignment="1" applyBorder="1" applyFill="1" applyFont="1">
      <alignment horizontal="center" vertical="center"/>
    </xf>
    <xf borderId="59" fillId="4" fontId="41" numFmtId="0" xfId="0" applyAlignment="1" applyBorder="1" applyFill="1" applyFont="1">
      <alignment horizontal="center" vertical="center"/>
    </xf>
    <xf borderId="67" fillId="4" fontId="41" numFmtId="0" xfId="0" applyAlignment="1" applyBorder="1" applyFill="1" applyFont="1">
      <alignment horizontal="center" vertical="center"/>
    </xf>
    <xf borderId="1" fillId="4" fontId="42" numFmtId="0" xfId="0" applyAlignment="1" applyBorder="1" applyFill="1" applyFont="1">
      <alignment horizontal="left" vertical="center"/>
    </xf>
    <xf borderId="71" fillId="19" fontId="38" numFmtId="9" xfId="0" applyAlignment="1" applyBorder="1" applyFill="1" applyFont="1" applyNumberFormat="1">
      <alignment horizontal="center" vertical="center"/>
    </xf>
    <xf borderId="71" fillId="19" fontId="37" numFmtId="9" xfId="0" applyAlignment="1" applyBorder="1" applyFill="1" applyFont="1" applyNumberFormat="1">
      <alignment horizontal="center" vertical="center"/>
    </xf>
    <xf borderId="71" fillId="19" fontId="39" numFmtId="9" xfId="0" applyAlignment="1" applyBorder="1" applyFill="1" applyFont="1" applyNumberFormat="1">
      <alignment horizontal="center" vertical="center"/>
    </xf>
    <xf borderId="59" fillId="17" fontId="39" numFmtId="165" xfId="0" applyAlignment="1" applyBorder="1" applyFill="1" applyFont="1" applyNumberFormat="1">
      <alignment horizontal="center" vertical="center"/>
    </xf>
    <xf borderId="59" fillId="4" fontId="31" numFmtId="0" xfId="0" applyAlignment="1" applyBorder="1" applyFill="1" applyFont="1">
      <alignment horizontal="center" vertical="center"/>
    </xf>
    <xf borderId="59" fillId="4" fontId="43" numFmtId="0" xfId="0" applyAlignment="1" applyBorder="1" applyFill="1" applyFont="1">
      <alignment horizontal="center" vertical="center"/>
    </xf>
    <xf borderId="64" fillId="8" fontId="44" numFmtId="0" xfId="0" applyAlignment="1" applyBorder="1" applyFill="1" applyFont="1">
      <alignment horizontal="center" vertical="center"/>
    </xf>
    <xf borderId="59" fillId="4" fontId="45" numFmtId="0" xfId="0" applyAlignment="1" applyBorder="1" applyFill="1" applyFont="1">
      <alignment horizontal="center" vertical="center"/>
    </xf>
    <xf borderId="0" fillId="0" fontId="46" numFmtId="0" xfId="0" applyAlignment="1" applyFont="1">
      <alignment horizontal="center" vertical="center"/>
    </xf>
    <xf borderId="59" fillId="4" fontId="47" numFmtId="0" xfId="0" applyAlignment="1" applyBorder="1" applyFill="1" applyFont="1">
      <alignment horizontal="center" vertical="center"/>
    </xf>
    <xf borderId="67" fillId="4" fontId="47" numFmtId="0" xfId="0" applyAlignment="1" applyBorder="1" applyFill="1" applyFont="1">
      <alignment horizontal="center" vertical="center"/>
    </xf>
    <xf borderId="1" fillId="4" fontId="47" numFmtId="0" xfId="0" applyAlignment="1" applyBorder="1" applyFill="1" applyFont="1">
      <alignment horizontal="left" vertical="center"/>
    </xf>
    <xf borderId="59" fillId="0" fontId="37" numFmtId="0" xfId="0" applyAlignment="1" applyBorder="1" applyFont="1">
      <alignment horizontal="center" vertical="center"/>
    </xf>
    <xf borderId="59" fillId="0" fontId="37" numFmtId="0" xfId="0" applyAlignment="1" applyBorder="1" applyFont="1">
      <alignment horizontal="left" vertical="center"/>
    </xf>
    <xf borderId="59" fillId="0" fontId="5" numFmtId="3" xfId="0" applyAlignment="1" applyBorder="1" applyFont="1" applyNumberFormat="1">
      <alignment horizontal="center" vertical="center"/>
    </xf>
    <xf borderId="67" fillId="4" fontId="31" numFmtId="0" xfId="0" applyAlignment="1" applyBorder="1" applyFill="1" applyFont="1">
      <alignment horizontal="center" vertical="center"/>
    </xf>
    <xf borderId="1" fillId="20" fontId="48" numFmtId="0" xfId="0" applyAlignment="1" applyBorder="1" applyFill="1" applyFont="1">
      <alignment horizontal="center" vertical="center"/>
    </xf>
    <xf borderId="72" fillId="8" fontId="44" numFmtId="0" xfId="0" applyAlignment="1" applyBorder="1" applyFill="1" applyFont="1">
      <alignment horizontal="center" vertical="center"/>
    </xf>
    <xf borderId="66" fillId="13" fontId="34" numFmtId="165" xfId="0" applyAlignment="1" applyBorder="1" applyFill="1" applyFont="1" applyNumberFormat="1">
      <alignment horizontal="center" vertical="center"/>
    </xf>
    <xf borderId="66" fillId="17" fontId="35" numFmtId="0" xfId="0" applyAlignment="1" applyBorder="1" applyFill="1" applyFont="1">
      <alignment horizontal="center" vertical="center"/>
    </xf>
    <xf borderId="66" fillId="17" fontId="35" numFmtId="0" xfId="0" applyAlignment="1" applyBorder="1" applyFill="1" applyFont="1">
      <alignment horizontal="left" vertical="center"/>
    </xf>
    <xf borderId="73" fillId="17" fontId="36" numFmtId="0" xfId="0" applyAlignment="1" applyBorder="1" applyFill="1" applyFont="1">
      <alignment horizontal="left" readingOrder="0" vertical="center"/>
    </xf>
    <xf borderId="74" fillId="0" fontId="4" numFmtId="0" xfId="0" applyBorder="1" applyFont="1"/>
    <xf borderId="57" fillId="0" fontId="36" numFmtId="0" xfId="0" applyAlignment="1" applyBorder="1" applyFont="1">
      <alignment horizontal="center" vertical="center"/>
    </xf>
    <xf borderId="57" fillId="0" fontId="36" numFmtId="0" xfId="0" applyAlignment="1" applyBorder="1" applyFont="1">
      <alignment horizontal="left" vertical="center"/>
    </xf>
    <xf borderId="57" fillId="0" fontId="36" numFmtId="164" xfId="0" applyAlignment="1" applyBorder="1" applyFont="1" applyNumberFormat="1">
      <alignment horizontal="center" vertical="center"/>
    </xf>
    <xf borderId="57" fillId="0" fontId="36" numFmtId="3" xfId="0" applyAlignment="1" applyBorder="1" applyFont="1" applyNumberFormat="1">
      <alignment horizontal="center" vertical="center"/>
    </xf>
    <xf borderId="66" fillId="18" fontId="37" numFmtId="3" xfId="0" applyAlignment="1" applyBorder="1" applyFill="1" applyFont="1" applyNumberFormat="1">
      <alignment horizontal="center" vertical="center"/>
    </xf>
    <xf borderId="75" fillId="19" fontId="38" numFmtId="9" xfId="0" applyAlignment="1" applyBorder="1" applyFill="1" applyFont="1" applyNumberFormat="1">
      <alignment horizontal="center" vertical="center"/>
    </xf>
    <xf borderId="75" fillId="19" fontId="37" numFmtId="9" xfId="0" applyAlignment="1" applyBorder="1" applyFill="1" applyFont="1" applyNumberFormat="1">
      <alignment horizontal="center" vertical="center"/>
    </xf>
    <xf borderId="75" fillId="19" fontId="39" numFmtId="9" xfId="0" applyAlignment="1" applyBorder="1" applyFill="1" applyFont="1" applyNumberFormat="1">
      <alignment horizontal="center" vertical="center"/>
    </xf>
    <xf borderId="66" fillId="17" fontId="39" numFmtId="165" xfId="0" applyAlignment="1" applyBorder="1" applyFill="1" applyFont="1" applyNumberFormat="1">
      <alignment horizontal="center" vertical="center"/>
    </xf>
    <xf borderId="66" fillId="4" fontId="41" numFmtId="0" xfId="0" applyAlignment="1" applyBorder="1" applyFill="1" applyFont="1">
      <alignment horizontal="center" vertical="center"/>
    </xf>
    <xf borderId="76" fillId="4" fontId="45" numFmtId="0" xfId="0" applyAlignment="1" applyBorder="1" applyFill="1" applyFont="1">
      <alignment horizontal="center" vertical="center"/>
    </xf>
    <xf borderId="1" fillId="21" fontId="49" numFmtId="0" xfId="0" applyAlignment="1" applyBorder="1" applyFill="1" applyFont="1">
      <alignment horizontal="center" vertical="center"/>
    </xf>
    <xf borderId="0" fillId="0" fontId="50" numFmtId="0" xfId="0" applyAlignment="1" applyFont="1">
      <alignment horizontal="left" vertical="center"/>
    </xf>
    <xf borderId="77" fillId="22" fontId="27" numFmtId="0" xfId="0" applyAlignment="1" applyBorder="1" applyFill="1" applyFont="1">
      <alignment horizontal="center" vertical="center"/>
    </xf>
    <xf borderId="78" fillId="0" fontId="4" numFmtId="0" xfId="0" applyBorder="1" applyFont="1"/>
    <xf borderId="79" fillId="0" fontId="4" numFmtId="0" xfId="0" applyBorder="1" applyFont="1"/>
    <xf borderId="80" fillId="22" fontId="27" numFmtId="0" xfId="0" applyAlignment="1" applyBorder="1" applyFill="1" applyFont="1">
      <alignment horizontal="center" vertical="center"/>
    </xf>
    <xf borderId="80" fillId="22" fontId="27" numFmtId="0" xfId="0" applyAlignment="1" applyBorder="1" applyFill="1" applyFont="1">
      <alignment horizontal="left" vertical="center"/>
    </xf>
    <xf borderId="80" fillId="22" fontId="27" numFmtId="3" xfId="0" applyAlignment="1" applyBorder="1" applyFill="1" applyFont="1" applyNumberFormat="1">
      <alignment horizontal="center" vertical="center"/>
    </xf>
    <xf borderId="80" fillId="22" fontId="27" numFmtId="165" xfId="0" applyAlignment="1" applyBorder="1" applyFill="1" applyFont="1" applyNumberFormat="1">
      <alignment horizontal="center" vertical="center"/>
    </xf>
    <xf borderId="81" fillId="22" fontId="27" numFmtId="165" xfId="0" applyAlignment="1" applyBorder="1" applyFill="1" applyFont="1" applyNumberFormat="1">
      <alignment horizontal="center" vertical="center"/>
    </xf>
    <xf borderId="82" fillId="22" fontId="27" numFmtId="0" xfId="0" applyAlignment="1" applyBorder="1" applyFill="1" applyFont="1">
      <alignment horizontal="center" vertical="center"/>
    </xf>
    <xf borderId="83" fillId="22" fontId="27" numFmtId="0" xfId="0" applyAlignment="1" applyBorder="1" applyFill="1" applyFont="1">
      <alignment horizontal="center" vertical="center"/>
    </xf>
    <xf borderId="84" fillId="22" fontId="27" numFmtId="0" xfId="0" applyAlignment="1" applyBorder="1" applyFill="1" applyFont="1">
      <alignment horizontal="center" vertical="center"/>
    </xf>
    <xf borderId="1" fillId="22" fontId="27" numFmtId="0" xfId="0" applyAlignment="1" applyBorder="1" applyFill="1" applyFont="1">
      <alignment horizontal="center" vertical="center"/>
    </xf>
    <xf borderId="0" fillId="0" fontId="51" numFmtId="0" xfId="0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52" numFmtId="0" xfId="0" applyAlignment="1" applyFont="1">
      <alignment vertical="center"/>
    </xf>
    <xf borderId="0" fillId="0" fontId="2" numFmtId="0" xfId="0" applyFont="1"/>
    <xf borderId="0" fillId="0" fontId="53" numFmtId="0" xfId="0" applyFont="1"/>
    <xf borderId="0" fillId="0" fontId="54" numFmtId="0" xfId="0" applyFont="1"/>
    <xf borderId="0" fillId="0" fontId="5" numFmtId="0" xfId="0" applyAlignment="1" applyFont="1">
      <alignment horizontal="left"/>
    </xf>
  </cellXfs>
  <cellStyles count="1">
    <cellStyle xfId="0" name="Normal" builtinId="0"/>
  </cellStyles>
  <dxfs count="5">
    <dxf>
      <font>
        <color rgb="FFFFFFFF"/>
      </font>
      <fill>
        <patternFill patternType="none"/>
      </fill>
      <border/>
    </dxf>
    <dxf>
      <font>
        <color theme="0"/>
      </font>
      <fill>
        <patternFill patternType="none"/>
      </fill>
      <border/>
    </dxf>
    <dxf>
      <font>
        <b/>
        <color rgb="FF993300"/>
      </font>
      <fill>
        <patternFill patternType="solid">
          <fgColor rgb="FFFFD866"/>
          <bgColor rgb="FFFFD866"/>
        </patternFill>
      </fill>
      <border/>
    </dxf>
    <dxf>
      <font>
        <b/>
        <color rgb="FFFFFFFF"/>
      </font>
      <fill>
        <patternFill patternType="solid">
          <fgColor rgb="FF2D5496"/>
          <bgColor rgb="FF2D5496"/>
        </patternFill>
      </fill>
      <border/>
    </dxf>
    <dxf>
      <font>
        <color rgb="FF191919"/>
      </font>
      <fill>
        <patternFill patternType="solid">
          <fgColor rgb="FFBCD6ED"/>
          <bgColor rgb="FFBCD6E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466725</xdr:colOff>
      <xdr:row>30</xdr:row>
      <xdr:rowOff>247650</xdr:rowOff>
    </xdr:from>
    <xdr:ext cx="1009650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8.63"/>
    <col customWidth="1" min="3" max="3" width="7.25"/>
    <col customWidth="1" min="4" max="4" width="10.13"/>
    <col customWidth="1" min="5" max="5" width="7.25"/>
    <col customWidth="1" min="6" max="6" width="10.13"/>
    <col customWidth="1" min="7" max="7" width="8.63"/>
    <col customWidth="1" min="8" max="8" width="3.88"/>
    <col customWidth="1" min="9" max="26" width="6.38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6.25" customHeight="1">
      <c r="A3" s="1"/>
      <c r="B3" s="8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9.0" customHeight="1">
      <c r="A5" s="1"/>
      <c r="B5" s="13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"/>
      <c r="B6" s="16" t="s">
        <v>16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9.0" customHeight="1">
      <c r="A8" s="24" t="s">
        <v>21</v>
      </c>
      <c r="B8" s="25"/>
      <c r="C8" s="25"/>
      <c r="D8" s="25"/>
      <c r="E8" s="25"/>
      <c r="F8" s="25"/>
      <c r="G8" s="25"/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27" t="s">
        <v>26</v>
      </c>
      <c r="B9" s="29" t="s">
        <v>28</v>
      </c>
      <c r="C9" s="31" t="s">
        <v>29</v>
      </c>
      <c r="D9" s="25"/>
      <c r="E9" s="25"/>
      <c r="F9" s="25"/>
      <c r="G9" s="25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33" t="s">
        <v>18</v>
      </c>
      <c r="C10" s="6" t="s">
        <v>34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33" t="s">
        <v>36</v>
      </c>
      <c r="C11" s="6" t="s">
        <v>37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33" t="s">
        <v>38</v>
      </c>
      <c r="C12" s="6" t="s">
        <v>39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33" t="s">
        <v>42</v>
      </c>
      <c r="C13" s="6" t="s">
        <v>43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33" t="s">
        <v>45</v>
      </c>
      <c r="C14" s="6" t="s">
        <v>46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44" t="s">
        <v>50</v>
      </c>
      <c r="C16" s="46" t="s">
        <v>51</v>
      </c>
      <c r="D16" s="48"/>
      <c r="E16" s="48"/>
      <c r="F16" s="48"/>
      <c r="G16" s="49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52" t="s">
        <v>58</v>
      </c>
      <c r="C17" s="53" t="s">
        <v>59</v>
      </c>
      <c r="D17" s="54"/>
      <c r="E17" s="54"/>
      <c r="F17" s="54"/>
      <c r="G17" s="5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59" t="s">
        <v>60</v>
      </c>
      <c r="C18" s="60" t="s">
        <v>29</v>
      </c>
      <c r="D18" s="61"/>
      <c r="E18" s="59" t="s">
        <v>18</v>
      </c>
      <c r="F18" s="62" t="s">
        <v>52</v>
      </c>
      <c r="G18" s="6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64"/>
      <c r="B26" s="64"/>
      <c r="C26" s="65" t="s">
        <v>61</v>
      </c>
      <c r="D26" s="66"/>
      <c r="E26" s="67" t="s">
        <v>62</v>
      </c>
      <c r="F26" s="68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21.75" customHeight="1">
      <c r="A27" s="64"/>
      <c r="B27" s="64"/>
      <c r="C27" s="69" t="s">
        <v>33</v>
      </c>
      <c r="D27" s="70"/>
      <c r="E27" s="70" t="s">
        <v>35</v>
      </c>
      <c r="F27" s="71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91.5" customHeight="1">
      <c r="A28" s="1"/>
      <c r="B28" s="1"/>
      <c r="C28" s="72" t="s">
        <v>63</v>
      </c>
      <c r="D28" s="73"/>
      <c r="E28" s="74" t="s">
        <v>63</v>
      </c>
      <c r="F28" s="7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4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4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26:D26"/>
    <mergeCell ref="C28:D28"/>
    <mergeCell ref="E28:F28"/>
    <mergeCell ref="A8:H8"/>
    <mergeCell ref="C9:H9"/>
    <mergeCell ref="C16:G16"/>
    <mergeCell ref="C17:G17"/>
    <mergeCell ref="C18:D18"/>
    <mergeCell ref="F18:G18"/>
    <mergeCell ref="E26:F26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2.88"/>
    <col customWidth="1" min="3" max="3" width="13.75"/>
    <col customWidth="1" min="4" max="4" width="43.25"/>
    <col customWidth="1" min="5" max="5" width="19.75"/>
    <col customWidth="1" min="6" max="6" width="31.0"/>
    <col customWidth="1" min="7" max="26" width="6.13"/>
  </cols>
  <sheetData>
    <row r="1" ht="26.25" customHeight="1">
      <c r="A1" s="3" t="s">
        <v>0</v>
      </c>
      <c r="B1" s="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0.25" customHeight="1">
      <c r="A3" s="18" t="s">
        <v>18</v>
      </c>
      <c r="B3" s="20" t="s">
        <v>19</v>
      </c>
      <c r="C3" s="20" t="s">
        <v>20</v>
      </c>
      <c r="D3" s="20" t="s">
        <v>22</v>
      </c>
      <c r="E3" s="20" t="s">
        <v>23</v>
      </c>
      <c r="F3" s="23" t="s">
        <v>24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0.25" customHeight="1">
      <c r="A4" s="28" t="s">
        <v>27</v>
      </c>
      <c r="B4" s="30" t="s">
        <v>30</v>
      </c>
      <c r="C4" s="32" t="s">
        <v>31</v>
      </c>
      <c r="D4" s="32" t="s">
        <v>32</v>
      </c>
      <c r="E4" s="34" t="s">
        <v>33</v>
      </c>
      <c r="F4" s="35" t="s">
        <v>35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0.25" customHeight="1">
      <c r="A5" s="37" t="s">
        <v>40</v>
      </c>
      <c r="B5" s="38" t="s">
        <v>41</v>
      </c>
      <c r="C5" s="39" t="s">
        <v>44</v>
      </c>
      <c r="D5" s="39" t="s">
        <v>47</v>
      </c>
      <c r="E5" s="40" t="s">
        <v>48</v>
      </c>
      <c r="F5" s="42" t="s">
        <v>49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0.25" customHeight="1">
      <c r="A6" s="37" t="s">
        <v>52</v>
      </c>
      <c r="B6" s="38" t="s">
        <v>53</v>
      </c>
      <c r="C6" s="39" t="s">
        <v>54</v>
      </c>
      <c r="D6" s="39" t="s">
        <v>55</v>
      </c>
      <c r="E6" s="40" t="s">
        <v>56</v>
      </c>
      <c r="F6" s="42" t="s">
        <v>57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0.25" customHeight="1">
      <c r="A7" s="37"/>
      <c r="B7" s="38"/>
      <c r="C7" s="39"/>
      <c r="D7" s="39"/>
      <c r="E7" s="40"/>
      <c r="F7" s="4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0.25" customHeight="1">
      <c r="A8" s="37"/>
      <c r="B8" s="38"/>
      <c r="C8" s="39"/>
      <c r="D8" s="39"/>
      <c r="E8" s="40"/>
      <c r="F8" s="4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0.25" customHeight="1">
      <c r="A9" s="37"/>
      <c r="B9" s="38"/>
      <c r="C9" s="39"/>
      <c r="D9" s="39"/>
      <c r="E9" s="40"/>
      <c r="F9" s="4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0.25" customHeight="1">
      <c r="A10" s="37"/>
      <c r="B10" s="38"/>
      <c r="C10" s="39"/>
      <c r="D10" s="39"/>
      <c r="E10" s="40"/>
      <c r="F10" s="4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0.25" customHeight="1">
      <c r="A11" s="37"/>
      <c r="B11" s="38"/>
      <c r="C11" s="39"/>
      <c r="D11" s="39"/>
      <c r="E11" s="40"/>
      <c r="F11" s="4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0.25" customHeight="1">
      <c r="A12" s="37"/>
      <c r="B12" s="38"/>
      <c r="C12" s="39"/>
      <c r="D12" s="39"/>
      <c r="E12" s="40"/>
      <c r="F12" s="4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0.25" customHeight="1">
      <c r="A13" s="37"/>
      <c r="B13" s="38"/>
      <c r="C13" s="39"/>
      <c r="D13" s="39"/>
      <c r="E13" s="40"/>
      <c r="F13" s="4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0.25" customHeight="1">
      <c r="A14" s="37"/>
      <c r="B14" s="38"/>
      <c r="C14" s="39"/>
      <c r="D14" s="39"/>
      <c r="E14" s="40"/>
      <c r="F14" s="4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0.25" customHeight="1">
      <c r="A15" s="37"/>
      <c r="B15" s="38"/>
      <c r="C15" s="39"/>
      <c r="D15" s="39"/>
      <c r="E15" s="40"/>
      <c r="F15" s="4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0.25" customHeight="1">
      <c r="A16" s="37"/>
      <c r="B16" s="38"/>
      <c r="C16" s="39"/>
      <c r="D16" s="39"/>
      <c r="E16" s="40"/>
      <c r="F16" s="4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0.25" customHeight="1">
      <c r="A17" s="76"/>
      <c r="B17" s="77"/>
      <c r="C17" s="78"/>
      <c r="D17" s="78"/>
      <c r="E17" s="79"/>
      <c r="F17" s="80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64" t="s">
        <v>64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64" t="s">
        <v>65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>
      <pane xSplit="21.0" topLeftCell="V1" activePane="topRight" state="frozen"/>
      <selection activeCell="W2" sqref="W2" pane="topRight"/>
    </sheetView>
  </sheetViews>
  <sheetFormatPr customHeight="1" defaultColWidth="12.63" defaultRowHeight="15.0"/>
  <cols>
    <col customWidth="1" min="1" max="1" width="1.13"/>
    <col customWidth="1" min="2" max="2" width="3.88"/>
    <col customWidth="1" min="3" max="3" width="6.63"/>
    <col customWidth="1" min="4" max="4" width="15.38"/>
    <col customWidth="1" hidden="1" min="5" max="5" width="30.88"/>
    <col customWidth="1" min="6" max="6" width="22.0"/>
    <col customWidth="1" min="7" max="7" width="21.88"/>
    <col customWidth="1" min="8" max="8" width="18.25"/>
    <col customWidth="1" hidden="1" min="9" max="9" width="21.63"/>
    <col customWidth="1" min="10" max="12" width="10.0"/>
    <col customWidth="1" min="13" max="13" width="10.25"/>
    <col customWidth="1" hidden="1" min="14" max="17" width="6.13"/>
    <col customWidth="1" min="18" max="21" width="7.25"/>
    <col customWidth="1" min="22" max="54" width="6.63"/>
    <col customWidth="1" hidden="1" min="55" max="55" width="6.63"/>
  </cols>
  <sheetData>
    <row r="1" ht="35.25" customHeight="1">
      <c r="A1" s="7"/>
      <c r="B1" s="11" t="s">
        <v>7</v>
      </c>
      <c r="C1" s="12"/>
      <c r="D1" s="12"/>
      <c r="E1" s="12"/>
      <c r="F1" s="12"/>
      <c r="G1" s="12"/>
      <c r="H1" s="14"/>
      <c r="I1" s="15"/>
      <c r="J1" s="17" t="s">
        <v>17</v>
      </c>
      <c r="K1" s="19">
        <v>46324.0</v>
      </c>
      <c r="L1" s="21"/>
      <c r="M1" s="21"/>
      <c r="N1" s="22"/>
      <c r="O1" s="25"/>
      <c r="P1" s="4"/>
      <c r="Q1" s="21"/>
      <c r="R1" s="21"/>
      <c r="S1" s="26" t="s">
        <v>25</v>
      </c>
      <c r="T1" s="36">
        <f>T5/R5</f>
        <v>3.464285714</v>
      </c>
      <c r="U1" s="41" t="str">
        <f>IF(T1&lt;0.75,"(위험)",IF(T1&lt;0.85,"(경고)",IF(T1&lt;0.95,"(주의)","(양호)")))</f>
        <v>(양호)</v>
      </c>
    </row>
    <row r="2" ht="6.0" customHeight="1">
      <c r="A2" s="43"/>
      <c r="B2" s="45"/>
      <c r="C2" s="45"/>
      <c r="D2" s="45"/>
      <c r="E2" s="47"/>
      <c r="F2" s="47"/>
      <c r="G2" s="47"/>
      <c r="H2" s="50"/>
      <c r="I2" s="51"/>
      <c r="J2" s="47"/>
      <c r="K2" s="47"/>
      <c r="L2" s="50"/>
      <c r="M2" s="50"/>
      <c r="N2" s="50"/>
      <c r="O2" s="50"/>
      <c r="P2" s="50"/>
      <c r="Q2" s="55"/>
      <c r="R2" s="57"/>
      <c r="S2" s="58"/>
      <c r="T2" s="58"/>
      <c r="U2" s="58"/>
      <c r="V2" s="63">
        <f>DATE(2026,10,16)</f>
        <v>46311</v>
      </c>
      <c r="W2" s="63">
        <f>DATE(2026,10,19)</f>
        <v>46314</v>
      </c>
      <c r="X2" s="63">
        <f>DATE(2026,10,26)</f>
        <v>46321</v>
      </c>
      <c r="Y2" s="63">
        <f>DATE(2026,11,2)</f>
        <v>46328</v>
      </c>
      <c r="Z2" s="63">
        <f>DATE(2026,11,9)</f>
        <v>46335</v>
      </c>
      <c r="AA2" s="63">
        <f>DATE(2026,11,16)</f>
        <v>46342</v>
      </c>
      <c r="AB2" s="63">
        <f>DATE(2026,11,23)</f>
        <v>46349</v>
      </c>
      <c r="AC2" s="63">
        <f>DATE(2026,11,30)</f>
        <v>46356</v>
      </c>
      <c r="AD2" s="63">
        <f>DATE(2026,12,7)</f>
        <v>46363</v>
      </c>
      <c r="AE2" s="63">
        <f>DATE(2026,12,14)</f>
        <v>46370</v>
      </c>
      <c r="AF2" s="63">
        <f>DATE(2026,12,21)</f>
        <v>46377</v>
      </c>
      <c r="AG2" s="63">
        <f>DATE(2026,12,28)</f>
        <v>46384</v>
      </c>
      <c r="AH2" s="63">
        <f>DATE(2027,1,4)</f>
        <v>46391</v>
      </c>
      <c r="AI2" s="63">
        <f>DATE(2027,1,11)</f>
        <v>46398</v>
      </c>
      <c r="AJ2" s="63">
        <f>DATE(2027,1,18)</f>
        <v>46405</v>
      </c>
      <c r="AK2" s="63">
        <f>DATE(2027,1,25)</f>
        <v>46412</v>
      </c>
      <c r="AL2" s="63">
        <f>DATE(2027,2,1)</f>
        <v>46419</v>
      </c>
      <c r="AM2" s="63">
        <f>DATE(2027,2,8)</f>
        <v>46426</v>
      </c>
      <c r="AN2" s="63">
        <f>DATE(2027,2,15)</f>
        <v>46433</v>
      </c>
      <c r="AO2" s="63">
        <f>DATE(2027,2,22)</f>
        <v>46440</v>
      </c>
      <c r="AP2" s="63">
        <f>DATE(2027,3,1)</f>
        <v>46447</v>
      </c>
      <c r="AQ2" s="63">
        <f>DATE(2027,3,8)</f>
        <v>46454</v>
      </c>
      <c r="AR2" s="63">
        <f>DATE(2027,3,15)</f>
        <v>46461</v>
      </c>
      <c r="AS2" s="63">
        <f>DATE(2027,3,22)</f>
        <v>46468</v>
      </c>
      <c r="AT2" s="63">
        <f>DATE(2027,3,29)</f>
        <v>46475</v>
      </c>
      <c r="AU2" s="63">
        <f>DATE(2027,4,5)</f>
        <v>46482</v>
      </c>
      <c r="AV2" s="63">
        <f>DATE(2027,4,12)</f>
        <v>46489</v>
      </c>
      <c r="AW2" s="63">
        <f>DATE(2027,4,19)</f>
        <v>46496</v>
      </c>
      <c r="AX2" s="63">
        <f>DATE(2027,4,26)</f>
        <v>46503</v>
      </c>
      <c r="AY2" s="63">
        <f>DATE(2027,5,3)</f>
        <v>46510</v>
      </c>
      <c r="AZ2" s="63">
        <f>DATE(2027,5,10)</f>
        <v>46517</v>
      </c>
      <c r="BA2" s="63">
        <f>DATE(2027,5,17)</f>
        <v>46524</v>
      </c>
      <c r="BB2" s="63">
        <f>DATE(2027,5,24)</f>
        <v>46531</v>
      </c>
      <c r="BC2" s="63">
        <f>DATE(2027,6,1)</f>
        <v>46539</v>
      </c>
    </row>
    <row r="3" ht="21.0" customHeight="1">
      <c r="A3" s="81"/>
      <c r="B3" s="82" t="s">
        <v>66</v>
      </c>
      <c r="C3" s="83"/>
      <c r="D3" s="83"/>
      <c r="E3" s="84"/>
      <c r="F3" s="85" t="s">
        <v>67</v>
      </c>
      <c r="G3" s="84"/>
      <c r="H3" s="86" t="s">
        <v>68</v>
      </c>
      <c r="I3" s="87"/>
      <c r="J3" s="88" t="s">
        <v>69</v>
      </c>
      <c r="K3" s="88" t="s">
        <v>70</v>
      </c>
      <c r="L3" s="88" t="s">
        <v>71</v>
      </c>
      <c r="M3" s="88" t="s">
        <v>72</v>
      </c>
      <c r="N3" s="88" t="s">
        <v>73</v>
      </c>
      <c r="O3" s="88" t="s">
        <v>74</v>
      </c>
      <c r="P3" s="88" t="s">
        <v>75</v>
      </c>
      <c r="Q3" s="88" t="s">
        <v>76</v>
      </c>
      <c r="R3" s="88" t="s">
        <v>77</v>
      </c>
      <c r="S3" s="88" t="s">
        <v>78</v>
      </c>
      <c r="T3" s="89" t="s">
        <v>79</v>
      </c>
      <c r="U3" s="87"/>
      <c r="V3" s="90" t="s">
        <v>80</v>
      </c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2"/>
      <c r="BC3" s="93"/>
    </row>
    <row r="4" ht="18.75" customHeight="1">
      <c r="A4" s="81"/>
      <c r="B4" s="94"/>
      <c r="C4" s="95"/>
      <c r="D4" s="95"/>
      <c r="E4" s="96"/>
      <c r="F4" s="97"/>
      <c r="G4" s="98"/>
      <c r="H4" s="99" t="s">
        <v>68</v>
      </c>
      <c r="I4" s="99" t="s">
        <v>81</v>
      </c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 t="s">
        <v>82</v>
      </c>
      <c r="U4" s="101" t="s">
        <v>83</v>
      </c>
      <c r="V4" s="102">
        <v>46296.0</v>
      </c>
      <c r="W4" s="103"/>
      <c r="X4" s="104"/>
      <c r="Y4" s="102">
        <v>46327.0</v>
      </c>
      <c r="Z4" s="103"/>
      <c r="AA4" s="103"/>
      <c r="AB4" s="104"/>
      <c r="AC4" s="102">
        <v>46357.0</v>
      </c>
      <c r="AD4" s="103"/>
      <c r="AE4" s="103"/>
      <c r="AF4" s="103"/>
      <c r="AG4" s="104"/>
      <c r="AH4" s="102">
        <v>46388.0</v>
      </c>
      <c r="AI4" s="103"/>
      <c r="AJ4" s="103"/>
      <c r="AK4" s="104"/>
      <c r="AL4" s="102">
        <v>46419.0</v>
      </c>
      <c r="AM4" s="103"/>
      <c r="AN4" s="103"/>
      <c r="AO4" s="104"/>
      <c r="AP4" s="102">
        <v>46447.0</v>
      </c>
      <c r="AQ4" s="103"/>
      <c r="AR4" s="103"/>
      <c r="AS4" s="103"/>
      <c r="AT4" s="104"/>
      <c r="AU4" s="102">
        <v>46478.0</v>
      </c>
      <c r="AV4" s="103"/>
      <c r="AW4" s="103"/>
      <c r="AX4" s="104"/>
      <c r="AY4" s="102">
        <v>46508.0</v>
      </c>
      <c r="AZ4" s="103"/>
      <c r="BA4" s="103"/>
      <c r="BB4" s="105"/>
      <c r="BC4" s="106"/>
    </row>
    <row r="5" ht="18.0" customHeight="1">
      <c r="A5" s="81"/>
      <c r="B5" s="107"/>
      <c r="C5" s="108" t="s">
        <v>84</v>
      </c>
      <c r="D5" s="109" t="s">
        <v>85</v>
      </c>
      <c r="E5" s="104"/>
      <c r="F5" s="110"/>
      <c r="G5" s="96"/>
      <c r="H5" s="100"/>
      <c r="I5" s="100"/>
      <c r="J5" s="111">
        <f>MIN(J6:J36)</f>
        <v>46311</v>
      </c>
      <c r="K5" s="111">
        <f>MAX(K6:K36)</f>
        <v>46538</v>
      </c>
      <c r="L5" s="111">
        <f>MIN(L6:L36)</f>
        <v>46311</v>
      </c>
      <c r="M5" s="111">
        <f>MAX(M6:M36)</f>
        <v>46346</v>
      </c>
      <c r="N5" s="112">
        <f t="shared" ref="N5:Q5" si="1">N37</f>
        <v>656</v>
      </c>
      <c r="O5" s="112">
        <f t="shared" si="1"/>
        <v>59</v>
      </c>
      <c r="P5" s="112">
        <f t="shared" si="1"/>
        <v>28</v>
      </c>
      <c r="Q5" s="112">
        <f t="shared" si="1"/>
        <v>28</v>
      </c>
      <c r="R5" s="113">
        <f t="array" ref="R5">C6*SUMPRODUCT(R6:R9,{0.1;0.3;0.3;0.3})+C10*IFERROR(AVERAGE(R10:R14),0)+C15*IFERROR(AVERAGE(R15:R27),0)+C28*IFERROR(AVERAGE(R28:R33),0)+C34*IFERROR(AVERAGE(R34:R36),0)</f>
        <v>0.0448</v>
      </c>
      <c r="S5" s="113">
        <f>IFERROR(Q37/O37,0)</f>
        <v>0.4745762712</v>
      </c>
      <c r="T5" s="113">
        <f t="array" ref="T5">C6*SUMPRODUCT(T6:T9,{0.1;0.3;0.3;0.3})+C10*IFERROR(AVERAGE(T10:T14),0)+C15*IFERROR(AVERAGE(T15:T27),0)+C28*IFERROR(AVERAGE(T28:T33),0)+C34*IFERROR(AVERAGE(T34:T36),0)</f>
        <v>0.1552</v>
      </c>
      <c r="U5" s="114">
        <f t="shared" ref="U5:U14" si="3">T5-R5</f>
        <v>0.1104</v>
      </c>
      <c r="V5" s="115" t="str">
        <f>"10월 3W"&amp;IF(AND(DATE(2026,10,16)&lt;=IF(ISBLANK($K$1), TODAY(), $K$1), IF(ISBLANK($K$1), TODAY(), $K$1)&lt;DATE(2026,10,19)), "★", "")</f>
        <v>10월 3W</v>
      </c>
      <c r="W5" s="115" t="str">
        <f>"10월 4W"&amp;IF(AND(DATE(2026,10,19)&lt;=IF(ISBLANK($K$1), TODAY(), $K$1), IF(ISBLANK($K$1), TODAY(), $K$1)&lt;DATE(2026,10,26)), "★", "")</f>
        <v>10월 4W</v>
      </c>
      <c r="X5" s="115" t="str">
        <f>"10월 5W"&amp;IF(AND(DATE(2026,10,26)&lt;=IF(ISBLANK($K$1), TODAY(), $K$1), IF(ISBLANK($K$1), TODAY(), $K$1)&lt;DATE(2026,11,2)), "★", "")</f>
        <v>10월 5W★</v>
      </c>
      <c r="Y5" s="115" t="str">
        <f>"11월 1W"&amp;IF(AND(DATE(2026,11,2)&lt;=IF(ISBLANK($K$1), TODAY(), $K$1), IF(ISBLANK($K$1), TODAY(), $K$1)&lt;DATE(2026,11,9)), "★", "")</f>
        <v>11월 1W</v>
      </c>
      <c r="Z5" s="115" t="str">
        <f>"11월 2W"&amp;IF(AND(DATE(2026,11,9)&lt;=IF(ISBLANK($K$1), TODAY(), $K$1), IF(ISBLANK($K$1), TODAY(), $K$1)&lt;DATE(2026,11,16)), "★", "")</f>
        <v>11월 2W</v>
      </c>
      <c r="AA5" s="115" t="str">
        <f>"11월 3W(M1)"&amp;IF(AND(DATE(2026,11,16)&lt;=IF(ISBLANK($K$1), TODAY(), $K$1), IF(ISBLANK($K$1), TODAY(), $K$1)&lt;DATE(2026,11,23)), "★", "")</f>
        <v>11월 3W(M1)</v>
      </c>
      <c r="AB5" s="115" t="str">
        <f>"11월 4W"&amp;IF(AND(DATE(2026,11,23)&lt;=IF(ISBLANK($K$1), TODAY(), $K$1), IF(ISBLANK($K$1), TODAY(), $K$1)&lt;DATE(2026,11,30)), "★", "")</f>
        <v>11월 4W</v>
      </c>
      <c r="AC5" s="115" t="str">
        <f>"12월 1W"&amp;IF(AND(DATE(2026,11,30)&lt;=IF(ISBLANK($K$1), TODAY(), $K$1), IF(ISBLANK($K$1), TODAY(), $K$1)&lt;DATE(2026,12,7)), "★", "")</f>
        <v>12월 1W</v>
      </c>
      <c r="AD5" s="115" t="str">
        <f>"12월 2W"&amp;IF(AND(DATE(2026,12,7)&lt;=IF(ISBLANK($K$1), TODAY(), $K$1), IF(ISBLANK($K$1), TODAY(), $K$1)&lt;DATE(2026,12,14)), "★", "")</f>
        <v>12월 2W</v>
      </c>
      <c r="AE5" s="115" t="str">
        <f>"12월 3W"&amp;IF(AND(DATE(2026,12,14)&lt;=IF(ISBLANK($K$1), TODAY(), $K$1), IF(ISBLANK($K$1), TODAY(), $K$1)&lt;DATE(2026,12,21)), "★", "")</f>
        <v>12월 3W</v>
      </c>
      <c r="AF5" s="115" t="str">
        <f>"12월 4W"&amp;IF(AND(DATE(2026,12,21)&lt;=IF(ISBLANK($K$1), TODAY(), $K$1), IF(ISBLANK($K$1), TODAY(), $K$1)&lt;DATE(2026,12,28)), "★", "")</f>
        <v>12월 4W</v>
      </c>
      <c r="AG5" s="115" t="str">
        <f>"12월 5W"&amp;IF(AND(DATE(2026,12,28)&lt;=IF(ISBLANK($K$1), TODAY(), $K$1), IF(ISBLANK($K$1), TODAY(), $K$1)&lt;DATE(2027,1,4)), "★", "")</f>
        <v>12월 5W</v>
      </c>
      <c r="AH5" s="115" t="str">
        <f>"1월 1W"&amp;IF(AND(DATE(2027,1,4)&lt;=IF(ISBLANK($K$1), TODAY(), $K$1), IF(ISBLANK($K$1), TODAY(), $K$1)&lt;DATE(2027,1,11)), "★", "")</f>
        <v>1월 1W</v>
      </c>
      <c r="AI5" s="115" t="str">
        <f>"1월 2W"&amp;IF(AND(DATE(2027,1,11)&lt;=IF(ISBLANK($K$1), TODAY(), $K$1), IF(ISBLANK($K$1), TODAY(), $K$1)&lt;DATE(2027,1,18)), "★", "")</f>
        <v>1월 2W</v>
      </c>
      <c r="AJ5" s="115" t="str">
        <f>"1월 3W"&amp;IF(AND(DATE(2027,1,18)&lt;=IF(ISBLANK($K$1), TODAY(), $K$1), IF(ISBLANK($K$1), TODAY(), $K$1)&lt;DATE(2027,1,25)), "★", "")</f>
        <v>1월 3W</v>
      </c>
      <c r="AK5" s="115" t="str">
        <f>"1월 4W(M2/3)"&amp;IF(AND(DATE(2027,1,25)&lt;=IF(ISBLANK($K$1), TODAY(), $K$1), IF(ISBLANK($K$1), TODAY(), $K$1)&lt;DATE(2027,2,1)), "★", "")</f>
        <v>1월 4W(M2/3)</v>
      </c>
      <c r="AL5" s="115" t="str">
        <f>"2월 1W"&amp;IF(AND(DATE(2027,2,1)&lt;=IF(ISBLANK($K$1), TODAY(), $K$1), IF(ISBLANK($K$1), TODAY(), $K$1)&lt;DATE(2027,2,8)), "★", "")</f>
        <v>2월 1W</v>
      </c>
      <c r="AM5" s="115" t="str">
        <f>"2월 2W"&amp;IF(AND(DATE(2027,2,8)&lt;=IF(ISBLANK($K$1), TODAY(), $K$1), IF(ISBLANK($K$1), TODAY(), $K$1)&lt;DATE(2027,2,15)), "★", "")</f>
        <v>2월 2W</v>
      </c>
      <c r="AN5" s="115" t="str">
        <f>"2월 3W"&amp;IF(AND(DATE(2027,2,15)&lt;=IF(ISBLANK($K$1), TODAY(), $K$1), IF(ISBLANK($K$1), TODAY(), $K$1)&lt;DATE(2027,2,22)), "★", "")</f>
        <v>2월 3W</v>
      </c>
      <c r="AO5" s="115" t="str">
        <f>"2월 4W(M4)"&amp;IF(AND(DATE(2027,2,22)&lt;=IF(ISBLANK($K$1), TODAY(), $K$1), IF(ISBLANK($K$1), TODAY(), $K$1)&lt;DATE(2027,3,1)), "★", "")</f>
        <v>2월 4W(M4)</v>
      </c>
      <c r="AP5" s="115" t="str">
        <f>"3월 1W"&amp;IF(AND(DATE(2027,3,1)&lt;=IF(ISBLANK($K$1), TODAY(), $K$1), IF(ISBLANK($K$1), TODAY(), $K$1)&lt;DATE(2027,3,8)), "★", "")</f>
        <v>3월 1W</v>
      </c>
      <c r="AQ5" s="115" t="str">
        <f>"3월 2W"&amp;IF(AND(DATE(2027,3,8)&lt;=IF(ISBLANK($K$1), TODAY(), $K$1), IF(ISBLANK($K$1), TODAY(), $K$1)&lt;DATE(2027,3,15)), "★", "")</f>
        <v>3월 2W</v>
      </c>
      <c r="AR5" s="115" t="str">
        <f>"3월 3W"&amp;IF(AND(DATE(2027,3,15)&lt;=IF(ISBLANK($K$1), TODAY(), $K$1), IF(ISBLANK($K$1), TODAY(), $K$1)&lt;DATE(2027,3,22)), "★", "")</f>
        <v>3월 3W</v>
      </c>
      <c r="AS5" s="115" t="str">
        <f>"3월 4W"&amp;IF(AND(DATE(2027,3,22)&lt;=IF(ISBLANK($K$1), TODAY(), $K$1), IF(ISBLANK($K$1), TODAY(), $K$1)&lt;DATE(2027,3,29)), "★", "")</f>
        <v>3월 4W</v>
      </c>
      <c r="AT5" s="115" t="str">
        <f>"3월 5W"&amp;IF(AND(DATE(2027,3,29)&lt;=IF(ISBLANK($K$1), TODAY(), $K$1), IF(ISBLANK($K$1), TODAY(), $K$1)&lt;DATE(2027,4,5)), "★", "")</f>
        <v>3월 5W</v>
      </c>
      <c r="AU5" s="115" t="str">
        <f>"4월 1W"&amp;IF(AND(DATE(2027,4,5)&lt;=IF(ISBLANK($K$1), TODAY(), $K$1), IF(ISBLANK($K$1), TODAY(), $K$1)&lt;DATE(2027,4,12)), "★", "")</f>
        <v>4월 1W</v>
      </c>
      <c r="AV5" s="115" t="str">
        <f>"4월 2W"&amp;IF(AND(DATE(2027,4,12)&lt;=IF(ISBLANK($K$1), TODAY(), $K$1), IF(ISBLANK($K$1), TODAY(), $K$1)&lt;DATE(2027,4,19)), "★", "")</f>
        <v>4월 2W</v>
      </c>
      <c r="AW5" s="115" t="str">
        <f>"4월 3W"&amp;IF(AND(DATE(2027,4,19)&lt;=IF(ISBLANK($K$1), TODAY(), $K$1), IF(ISBLANK($K$1), TODAY(), $K$1)&lt;DATE(2027,4,26)), "★", "")</f>
        <v>4월 3W</v>
      </c>
      <c r="AX5" s="115" t="str">
        <f>"4월 4W(M5)"&amp;IF(AND(DATE(2027,4,26)&lt;=IF(ISBLANK($K$1), TODAY(), $K$1), IF(ISBLANK($K$1), TODAY(), $K$1)&lt;DATE(2027,5,3)), "★", "")</f>
        <v>4월 4W(M5)</v>
      </c>
      <c r="AY5" s="115" t="str">
        <f>"5월 1W"&amp;IF(AND(DATE(2027,5,3)&lt;=IF(ISBLANK($K$1), TODAY(), $K$1), IF(ISBLANK($K$1), TODAY(), $K$1)&lt;DATE(2027,5,10)), "★", "")</f>
        <v>5월 1W</v>
      </c>
      <c r="AZ5" s="115" t="str">
        <f>"5월 2W"&amp;IF(AND(DATE(2027,5,10)&lt;=IF(ISBLANK($K$1), TODAY(), $K$1), IF(ISBLANK($K$1), TODAY(), $K$1)&lt;DATE(2027,5,17)), "★", "")</f>
        <v>5월 2W</v>
      </c>
      <c r="BA5" s="115" t="str">
        <f>"5월 3W"&amp;IF(AND(DATE(2027,5,17)&lt;=IF(ISBLANK($K$1), TODAY(), $K$1), IF(ISBLANK($K$1), TODAY(), $K$1)&lt;DATE(2027,5,24)), "★", "")</f>
        <v>5월 3W</v>
      </c>
      <c r="BB5" s="116" t="str">
        <f>"5월 4W(M6)"&amp;IF(AND(DATE(2027,5,24)&lt;=IF(ISBLANK($K$1), TODAY(), $K$1), IF(ISBLANK($K$1), TODAY(), $K$1)&lt;=DATE(2027,5,31)), "★", "")</f>
        <v>5월 4W(M6)</v>
      </c>
      <c r="BC5" s="117"/>
    </row>
    <row r="6" ht="19.5" customHeight="1">
      <c r="A6" s="118"/>
      <c r="B6" s="119">
        <v>1.0</v>
      </c>
      <c r="C6" s="120">
        <v>0.1</v>
      </c>
      <c r="D6" s="121" t="s">
        <v>86</v>
      </c>
      <c r="E6" s="122" t="s">
        <v>87</v>
      </c>
      <c r="F6" s="123" t="s">
        <v>88</v>
      </c>
      <c r="G6" s="104"/>
      <c r="H6" s="124" t="s">
        <v>89</v>
      </c>
      <c r="I6" s="125" t="s">
        <v>90</v>
      </c>
      <c r="J6" s="126">
        <v>46311.0</v>
      </c>
      <c r="K6" s="126">
        <v>46318.0</v>
      </c>
      <c r="L6" s="126">
        <v>46311.0</v>
      </c>
      <c r="M6" s="126">
        <v>46318.0</v>
      </c>
      <c r="N6" s="127">
        <f>IF(OR(ISBLANK(J6),ISBLANK(K6)),"",NETWORKDAYS(J6,K6,'휴일'!$A$2:$A$13))</f>
        <v>6</v>
      </c>
      <c r="O6" s="128">
        <f>IF(OR(ISBLANK(L6),ISBLANK(M6)),"",IF(NETWORKDAYS(L6,M6,'휴일'!$A$2:$A$13)&lt;0,"",NETWORKDAYS(L6,M6,'휴일'!$A$2:$A$13)))</f>
        <v>6</v>
      </c>
      <c r="P6" s="127">
        <f>IFERROR(IF(K6&gt;=$K$1,IF(NETWORKDAYS(J6,$K$1,'휴일'!$A$2:$A$13)&gt;0,NETWORKDAYS(J6,$K$1,'휴일'!$A$2:$A$13),""),NETWORKDAYS(J6,K6,'휴일'!$A$2:$A$13)),"")</f>
        <v>6</v>
      </c>
      <c r="Q6" s="129">
        <f>IF(IFERROR(IF(M6&gt;=$K$1,IF(NETWORKDAYS(L6,$K$1,'휴일'!$A$2:$A$13)&gt;0,NETWORKDAYS(L6,$K$1,'휴일'!$A$2:$A$13),""),NETWORKDAYS(L6,M6,'휴일'!$A$2:$A$13)),"")&lt;0,"",IFERROR(IF(M6&gt;=$K$1,IF(NETWORKDAYS(L6,$K$1,'휴일'!$A$2:$A$13)&gt;0,NETWORKDAYS(L6,$K$1,'휴일'!$A$2:$A$13),""),NETWORKDAYS(L6,M6,'휴일'!$A$2:$A$13)),""))</f>
        <v>6</v>
      </c>
      <c r="R6" s="130">
        <f t="shared" ref="R6:S6" si="2">IFERROR(P6/N6,0)</f>
        <v>1</v>
      </c>
      <c r="S6" s="131">
        <f t="shared" si="2"/>
        <v>1</v>
      </c>
      <c r="T6" s="132">
        <f t="shared" ref="T6:T36" si="6">IF(OR(ISBLANK(Q6),ISBLANK(N6),Q6&lt;=0,N6&lt;=0),0,IF(Q6="",0,1-(Q6-N6)/N6))</f>
        <v>1</v>
      </c>
      <c r="U6" s="133">
        <f t="shared" si="3"/>
        <v>0</v>
      </c>
      <c r="V6" s="134" t="str">
        <f t="shared" ref="V6:BB6" si="4">IF(ISNUMBER(SEARCH("★M", $I6)), IF(AND(IF($M6&lt;&gt;"", $M6, $K6) &gt;= V$2, IF($M6&lt;&gt;"", $M6, $K6) &lt; W$2), MID($I6, SEARCH("★M", $I6)+1, 2), ""), IF(AND($S6&gt;=1, IF($M6&lt;&gt;"", $M6, $K6) &gt;= V$2, IF($M6&lt;&gt;"", $M6, $K6) &lt; W$2), "완료", ""))</f>
        <v/>
      </c>
      <c r="W6" s="134" t="str">
        <f t="shared" si="4"/>
        <v>완료</v>
      </c>
      <c r="X6" s="135" t="str">
        <f t="shared" si="4"/>
        <v/>
      </c>
      <c r="Y6" s="135" t="str">
        <f t="shared" si="4"/>
        <v/>
      </c>
      <c r="Z6" s="135" t="str">
        <f t="shared" si="4"/>
        <v/>
      </c>
      <c r="AA6" s="135" t="str">
        <f t="shared" si="4"/>
        <v/>
      </c>
      <c r="AB6" s="135" t="str">
        <f t="shared" si="4"/>
        <v/>
      </c>
      <c r="AC6" s="135" t="str">
        <f t="shared" si="4"/>
        <v/>
      </c>
      <c r="AD6" s="135" t="str">
        <f t="shared" si="4"/>
        <v/>
      </c>
      <c r="AE6" s="135" t="str">
        <f t="shared" si="4"/>
        <v/>
      </c>
      <c r="AF6" s="135" t="str">
        <f t="shared" si="4"/>
        <v/>
      </c>
      <c r="AG6" s="135" t="str">
        <f t="shared" si="4"/>
        <v/>
      </c>
      <c r="AH6" s="135" t="str">
        <f t="shared" si="4"/>
        <v/>
      </c>
      <c r="AI6" s="135" t="str">
        <f t="shared" si="4"/>
        <v/>
      </c>
      <c r="AJ6" s="135" t="str">
        <f t="shared" si="4"/>
        <v/>
      </c>
      <c r="AK6" s="135" t="str">
        <f t="shared" si="4"/>
        <v/>
      </c>
      <c r="AL6" s="135" t="str">
        <f t="shared" si="4"/>
        <v/>
      </c>
      <c r="AM6" s="135" t="str">
        <f t="shared" si="4"/>
        <v/>
      </c>
      <c r="AN6" s="135" t="str">
        <f t="shared" si="4"/>
        <v/>
      </c>
      <c r="AO6" s="135" t="str">
        <f t="shared" si="4"/>
        <v/>
      </c>
      <c r="AP6" s="135" t="str">
        <f t="shared" si="4"/>
        <v/>
      </c>
      <c r="AQ6" s="135" t="str">
        <f t="shared" si="4"/>
        <v/>
      </c>
      <c r="AR6" s="135" t="str">
        <f t="shared" si="4"/>
        <v/>
      </c>
      <c r="AS6" s="135" t="str">
        <f t="shared" si="4"/>
        <v/>
      </c>
      <c r="AT6" s="135" t="str">
        <f t="shared" si="4"/>
        <v/>
      </c>
      <c r="AU6" s="135" t="str">
        <f t="shared" si="4"/>
        <v/>
      </c>
      <c r="AV6" s="135" t="str">
        <f t="shared" si="4"/>
        <v/>
      </c>
      <c r="AW6" s="135" t="str">
        <f t="shared" si="4"/>
        <v/>
      </c>
      <c r="AX6" s="135" t="str">
        <f t="shared" si="4"/>
        <v/>
      </c>
      <c r="AY6" s="135" t="str">
        <f t="shared" si="4"/>
        <v/>
      </c>
      <c r="AZ6" s="135" t="str">
        <f t="shared" si="4"/>
        <v/>
      </c>
      <c r="BA6" s="135" t="str">
        <f t="shared" si="4"/>
        <v/>
      </c>
      <c r="BB6" s="136" t="str">
        <f t="shared" si="4"/>
        <v/>
      </c>
      <c r="BC6" s="137"/>
    </row>
    <row r="7" ht="19.5" customHeight="1">
      <c r="A7" s="118"/>
      <c r="B7" s="119"/>
      <c r="C7" s="120"/>
      <c r="D7" s="121"/>
      <c r="E7" s="122"/>
      <c r="F7" s="123" t="s">
        <v>91</v>
      </c>
      <c r="G7" s="104"/>
      <c r="H7" s="124" t="s">
        <v>92</v>
      </c>
      <c r="I7" s="125" t="s">
        <v>93</v>
      </c>
      <c r="J7" s="126">
        <v>46314.0</v>
      </c>
      <c r="K7" s="126">
        <v>46346.0</v>
      </c>
      <c r="L7" s="126">
        <v>46314.0</v>
      </c>
      <c r="M7" s="126">
        <v>46345.0</v>
      </c>
      <c r="N7" s="127">
        <f>IF(OR(ISBLANK(J7),ISBLANK(K7)),"",NETWORKDAYS(J7,K7,'휴일'!$A$2:$A$13))</f>
        <v>25</v>
      </c>
      <c r="O7" s="128">
        <f>IF(OR(ISBLANK(L7),ISBLANK(M7)),"",IF(NETWORKDAYS(L7,M7,'휴일'!$A$2:$A$13)&lt;0,"",NETWORKDAYS(L7,M7,'휴일'!$A$2:$A$13)))</f>
        <v>24</v>
      </c>
      <c r="P7" s="127">
        <f>IFERROR(IF(K7&gt;=$K$1,IF(NETWORKDAYS(J7,$K$1,'휴일'!$A$2:$A$13)&gt;0,NETWORKDAYS(J7,$K$1,'휴일'!$A$2:$A$13),""),NETWORKDAYS(J7,K7,'휴일'!$A$2:$A$13)),"")</f>
        <v>9</v>
      </c>
      <c r="Q7" s="128">
        <f>IF(IFERROR(IF(M7&gt;=$K$1,IF(NETWORKDAYS(L7,$K$1,'휴일'!$A$2:$A$13)&gt;0,NETWORKDAYS(L7,$K$1,'휴일'!$A$2:$A$13),""),NETWORKDAYS(L7,M7,'휴일'!$A$2:$A$13)),"")&lt;0,"",IFERROR(IF(M7&gt;=$K$1,IF(NETWORKDAYS(L7,$K$1,'휴일'!$A$2:$A$13)&gt;0,NETWORKDAYS(L7,$K$1,'휴일'!$A$2:$A$13),""),NETWORKDAYS(L7,M7,'휴일'!$A$2:$A$13)),""))</f>
        <v>9</v>
      </c>
      <c r="R7" s="138">
        <f t="shared" ref="R7:S7" si="5">IFERROR(P7/N7,0)</f>
        <v>0.36</v>
      </c>
      <c r="S7" s="139">
        <f t="shared" si="5"/>
        <v>0.375</v>
      </c>
      <c r="T7" s="140">
        <f t="shared" si="6"/>
        <v>1.64</v>
      </c>
      <c r="U7" s="141">
        <f t="shared" si="3"/>
        <v>1.28</v>
      </c>
      <c r="V7" s="135" t="str">
        <f t="shared" ref="V7:BB7" si="7">IF(ISNUMBER(SEARCH("★M", $I7)), IF(AND(IF($M7&lt;&gt;"", $M7, $K7) &gt;= V$2, IF($M7&lt;&gt;"", $M7, $K7) &lt; W$2), MID($I7, SEARCH("★M", $I7)+1, 2), ""), IF(AND($S7&gt;=1, IF($M7&lt;&gt;"", $M7, $K7) &gt;= V$2, IF($M7&lt;&gt;"", $M7, $K7) &lt; W$2), "완료", ""))</f>
        <v/>
      </c>
      <c r="W7" s="134" t="str">
        <f t="shared" si="7"/>
        <v/>
      </c>
      <c r="X7" s="134" t="str">
        <f t="shared" si="7"/>
        <v/>
      </c>
      <c r="Y7" s="142" t="str">
        <f t="shared" si="7"/>
        <v/>
      </c>
      <c r="Z7" s="142" t="str">
        <f t="shared" si="7"/>
        <v/>
      </c>
      <c r="AA7" s="142" t="str">
        <f t="shared" si="7"/>
        <v/>
      </c>
      <c r="AB7" s="135" t="str">
        <f t="shared" si="7"/>
        <v/>
      </c>
      <c r="AC7" s="135" t="str">
        <f t="shared" si="7"/>
        <v/>
      </c>
      <c r="AD7" s="135" t="str">
        <f t="shared" si="7"/>
        <v/>
      </c>
      <c r="AE7" s="135" t="str">
        <f t="shared" si="7"/>
        <v/>
      </c>
      <c r="AF7" s="135" t="str">
        <f t="shared" si="7"/>
        <v/>
      </c>
      <c r="AG7" s="135" t="str">
        <f t="shared" si="7"/>
        <v/>
      </c>
      <c r="AH7" s="135" t="str">
        <f t="shared" si="7"/>
        <v/>
      </c>
      <c r="AI7" s="135" t="str">
        <f t="shared" si="7"/>
        <v/>
      </c>
      <c r="AJ7" s="135" t="str">
        <f t="shared" si="7"/>
        <v/>
      </c>
      <c r="AK7" s="135" t="str">
        <f t="shared" si="7"/>
        <v/>
      </c>
      <c r="AL7" s="135" t="str">
        <f t="shared" si="7"/>
        <v/>
      </c>
      <c r="AM7" s="135" t="str">
        <f t="shared" si="7"/>
        <v/>
      </c>
      <c r="AN7" s="135" t="str">
        <f t="shared" si="7"/>
        <v/>
      </c>
      <c r="AO7" s="135" t="str">
        <f t="shared" si="7"/>
        <v/>
      </c>
      <c r="AP7" s="135" t="str">
        <f t="shared" si="7"/>
        <v/>
      </c>
      <c r="AQ7" s="135" t="str">
        <f t="shared" si="7"/>
        <v/>
      </c>
      <c r="AR7" s="135" t="str">
        <f t="shared" si="7"/>
        <v/>
      </c>
      <c r="AS7" s="135" t="str">
        <f t="shared" si="7"/>
        <v/>
      </c>
      <c r="AT7" s="135" t="str">
        <f t="shared" si="7"/>
        <v/>
      </c>
      <c r="AU7" s="135" t="str">
        <f t="shared" si="7"/>
        <v/>
      </c>
      <c r="AV7" s="135" t="str">
        <f t="shared" si="7"/>
        <v/>
      </c>
      <c r="AW7" s="135" t="str">
        <f t="shared" si="7"/>
        <v/>
      </c>
      <c r="AX7" s="135" t="str">
        <f t="shared" si="7"/>
        <v/>
      </c>
      <c r="AY7" s="135" t="str">
        <f t="shared" si="7"/>
        <v/>
      </c>
      <c r="AZ7" s="135" t="str">
        <f t="shared" si="7"/>
        <v/>
      </c>
      <c r="BA7" s="135" t="str">
        <f t="shared" si="7"/>
        <v/>
      </c>
      <c r="BB7" s="136" t="str">
        <f t="shared" si="7"/>
        <v/>
      </c>
      <c r="BC7" s="137"/>
    </row>
    <row r="8" ht="19.5" customHeight="1">
      <c r="A8" s="118"/>
      <c r="B8" s="119"/>
      <c r="C8" s="120"/>
      <c r="D8" s="121"/>
      <c r="E8" s="122"/>
      <c r="F8" s="123" t="s">
        <v>94</v>
      </c>
      <c r="G8" s="104"/>
      <c r="H8" s="124" t="s">
        <v>95</v>
      </c>
      <c r="I8" s="125" t="s">
        <v>96</v>
      </c>
      <c r="J8" s="126">
        <v>46314.0</v>
      </c>
      <c r="K8" s="126">
        <v>46332.0</v>
      </c>
      <c r="L8" s="126">
        <v>46314.0</v>
      </c>
      <c r="M8" s="126">
        <v>46324.0</v>
      </c>
      <c r="N8" s="127">
        <f>IF(OR(ISBLANK(J8),ISBLANK(K8)),"",NETWORKDAYS(J8,K8,'휴일'!$A$2:$A$13))</f>
        <v>15</v>
      </c>
      <c r="O8" s="128">
        <f>IF(OR(ISBLANK(L8),ISBLANK(M8)),"",IF(NETWORKDAYS(L8,M8,'휴일'!$A$2:$A$13)&lt;0,"",NETWORKDAYS(L8,M8,'휴일'!$A$2:$A$13)))</f>
        <v>9</v>
      </c>
      <c r="P8" s="127">
        <f>IFERROR(IF(K8&gt;=$K$1,IF(NETWORKDAYS(J8,$K$1,'휴일'!$A$2:$A$13)&gt;0,NETWORKDAYS(J8,$K$1,'휴일'!$A$2:$A$13),""),NETWORKDAYS(J8,K8,'휴일'!$A$2:$A$13)),"")</f>
        <v>9</v>
      </c>
      <c r="Q8" s="128">
        <f>IF(IFERROR(IF(M8&gt;=$K$1,IF(NETWORKDAYS(L8,$K$1,'휴일'!$A$2:$A$13)&gt;0,NETWORKDAYS(L8,$K$1,'휴일'!$A$2:$A$13),""),NETWORKDAYS(L8,M8,#REF!)),"")&lt;0,"",IFERROR(IF(M8&gt;=$K$1,IF(NETWORKDAYS(L8,$K$1,'휴일'!$A$2:$A$13)&gt;0,NETWORKDAYS(L8,$K$1,'휴일'!$A$2:$A$13),""),NETWORKDAYS(L8,M8,#REF!)),""))</f>
        <v>9</v>
      </c>
      <c r="R8" s="138">
        <f t="shared" ref="R8:S8" si="8">IFERROR(P8/N8,0)</f>
        <v>0.6</v>
      </c>
      <c r="S8" s="139">
        <f t="shared" si="8"/>
        <v>1</v>
      </c>
      <c r="T8" s="140">
        <f t="shared" si="6"/>
        <v>1.4</v>
      </c>
      <c r="U8" s="141">
        <f t="shared" si="3"/>
        <v>0.8</v>
      </c>
      <c r="V8" s="143" t="str">
        <f t="shared" ref="V8:BB8" si="9">IF(ISNUMBER(SEARCH("★M", $I8)), IF(AND(IF($M8&lt;&gt;"", $M8, $K8) &gt;= V$2, IF($M8&lt;&gt;"", $M8, $K8) &lt; W$2), MID($I8, SEARCH("★M", $I8)+1, 2), ""), IF(AND($S8&gt;=1, IF($M8&lt;&gt;"", $M8, $K8) &gt;= V$2, IF($M8&lt;&gt;"", $M8, $K8) &lt; W$2), "완료", ""))</f>
        <v/>
      </c>
      <c r="W8" s="134" t="str">
        <f t="shared" si="9"/>
        <v/>
      </c>
      <c r="X8" s="134" t="str">
        <f t="shared" si="9"/>
        <v>완료</v>
      </c>
      <c r="Y8" s="134" t="str">
        <f t="shared" si="9"/>
        <v/>
      </c>
      <c r="Z8" s="135" t="str">
        <f t="shared" si="9"/>
        <v/>
      </c>
      <c r="AA8" s="135" t="str">
        <f t="shared" si="9"/>
        <v/>
      </c>
      <c r="AB8" s="135" t="str">
        <f t="shared" si="9"/>
        <v/>
      </c>
      <c r="AC8" s="135" t="str">
        <f t="shared" si="9"/>
        <v/>
      </c>
      <c r="AD8" s="135" t="str">
        <f t="shared" si="9"/>
        <v/>
      </c>
      <c r="AE8" s="135" t="str">
        <f t="shared" si="9"/>
        <v/>
      </c>
      <c r="AF8" s="135" t="str">
        <f t="shared" si="9"/>
        <v/>
      </c>
      <c r="AG8" s="135" t="str">
        <f t="shared" si="9"/>
        <v/>
      </c>
      <c r="AH8" s="135" t="str">
        <f t="shared" si="9"/>
        <v/>
      </c>
      <c r="AI8" s="135" t="str">
        <f t="shared" si="9"/>
        <v/>
      </c>
      <c r="AJ8" s="135" t="str">
        <f t="shared" si="9"/>
        <v/>
      </c>
      <c r="AK8" s="135" t="str">
        <f t="shared" si="9"/>
        <v/>
      </c>
      <c r="AL8" s="135" t="str">
        <f t="shared" si="9"/>
        <v/>
      </c>
      <c r="AM8" s="135" t="str">
        <f t="shared" si="9"/>
        <v/>
      </c>
      <c r="AN8" s="135" t="str">
        <f t="shared" si="9"/>
        <v/>
      </c>
      <c r="AO8" s="135" t="str">
        <f t="shared" si="9"/>
        <v/>
      </c>
      <c r="AP8" s="135" t="str">
        <f t="shared" si="9"/>
        <v/>
      </c>
      <c r="AQ8" s="135" t="str">
        <f t="shared" si="9"/>
        <v/>
      </c>
      <c r="AR8" s="135" t="str">
        <f t="shared" si="9"/>
        <v/>
      </c>
      <c r="AS8" s="135" t="str">
        <f t="shared" si="9"/>
        <v/>
      </c>
      <c r="AT8" s="135" t="str">
        <f t="shared" si="9"/>
        <v/>
      </c>
      <c r="AU8" s="135" t="str">
        <f t="shared" si="9"/>
        <v/>
      </c>
      <c r="AV8" s="135" t="str">
        <f t="shared" si="9"/>
        <v/>
      </c>
      <c r="AW8" s="135" t="str">
        <f t="shared" si="9"/>
        <v/>
      </c>
      <c r="AX8" s="135" t="str">
        <f t="shared" si="9"/>
        <v/>
      </c>
      <c r="AY8" s="135" t="str">
        <f t="shared" si="9"/>
        <v/>
      </c>
      <c r="AZ8" s="135" t="str">
        <f t="shared" si="9"/>
        <v/>
      </c>
      <c r="BA8" s="135" t="str">
        <f t="shared" si="9"/>
        <v/>
      </c>
      <c r="BB8" s="136" t="str">
        <f t="shared" si="9"/>
        <v/>
      </c>
      <c r="BC8" s="137"/>
    </row>
    <row r="9" ht="19.5" customHeight="1">
      <c r="A9" s="118"/>
      <c r="B9" s="119"/>
      <c r="C9" s="120"/>
      <c r="D9" s="121"/>
      <c r="E9" s="122"/>
      <c r="F9" s="123" t="s">
        <v>97</v>
      </c>
      <c r="G9" s="104"/>
      <c r="H9" s="124" t="s">
        <v>98</v>
      </c>
      <c r="I9" s="125" t="s">
        <v>99</v>
      </c>
      <c r="J9" s="126">
        <v>46321.0</v>
      </c>
      <c r="K9" s="126">
        <v>46346.0</v>
      </c>
      <c r="L9" s="126">
        <v>46321.0</v>
      </c>
      <c r="M9" s="126">
        <v>46346.0</v>
      </c>
      <c r="N9" s="127">
        <f>IF(OR(ISBLANK(J9),ISBLANK(K9)),"",NETWORKDAYS(J9,K9,'휴일'!$A$2:$A$13))</f>
        <v>20</v>
      </c>
      <c r="O9" s="128">
        <f>IF(OR(ISBLANK(L9),ISBLANK(M9)),"",IF(NETWORKDAYS(L9,M9,'휴일'!$A$2:$A$13)&lt;0,"",NETWORKDAYS(L9,M9,'휴일'!$A$2:$A$13)))</f>
        <v>20</v>
      </c>
      <c r="P9" s="127">
        <f>IFERROR(IF(K9&gt;=$K$1,IF(NETWORKDAYS(J9,$K$1,'휴일'!$A$2:$A$13)&gt;0,NETWORKDAYS(J9,$K$1,'휴일'!$A$2:$A$13),""),NETWORKDAYS(J9,K9,'휴일'!$A$2:$A$13)),"")</f>
        <v>4</v>
      </c>
      <c r="Q9" s="128">
        <f>IF(IFERROR(IF(M9&gt;=$K$1,IF(NETWORKDAYS(L9,$K$1,'휴일'!$A$2:$A$13)&gt;0,NETWORKDAYS(L9,$K$1,'휴일'!$A$2:$A$13),""),NETWORKDAYS(L9,M9,'휴일'!$A$2:$A$13)),"")&lt;0,"",IFERROR(IF(M9&gt;=$K$1,IF(NETWORKDAYS(L9,$K$1,'휴일'!$A$2:$A$13)&gt;0,NETWORKDAYS(L9,$K$1,'휴일'!$A$2:$A$13),""),NETWORKDAYS(L9,M9,'휴일'!$A$2:$A$13)),""))</f>
        <v>4</v>
      </c>
      <c r="R9" s="138">
        <f t="shared" ref="R9:S9" si="10">IFERROR(P9/N9,0)</f>
        <v>0.2</v>
      </c>
      <c r="S9" s="139">
        <f t="shared" si="10"/>
        <v>0.2</v>
      </c>
      <c r="T9" s="140">
        <f t="shared" si="6"/>
        <v>1.8</v>
      </c>
      <c r="U9" s="141">
        <f t="shared" si="3"/>
        <v>1.6</v>
      </c>
      <c r="V9" s="135" t="str">
        <f t="shared" ref="V9:BB9" si="11">IF(ISNUMBER(SEARCH("★M", $I9)), IF(AND(IF($M9&lt;&gt;"", $M9, $K9) &gt;= V$2, IF($M9&lt;&gt;"", $M9, $K9) &lt; W$2), MID($I9, SEARCH("★M", $I9)+1, 2), ""), IF(AND($S9&gt;=1, IF($M9&lt;&gt;"", $M9, $K9) &gt;= V$2, IF($M9&lt;&gt;"", $M9, $K9) &lt; W$2), "완료", ""))</f>
        <v/>
      </c>
      <c r="W9" s="135" t="str">
        <f t="shared" si="11"/>
        <v/>
      </c>
      <c r="X9" s="142" t="str">
        <f t="shared" si="11"/>
        <v/>
      </c>
      <c r="Y9" s="142" t="str">
        <f t="shared" si="11"/>
        <v/>
      </c>
      <c r="Z9" s="142" t="str">
        <f t="shared" si="11"/>
        <v/>
      </c>
      <c r="AA9" s="142" t="str">
        <f t="shared" si="11"/>
        <v/>
      </c>
      <c r="AB9" s="135" t="str">
        <f t="shared" si="11"/>
        <v/>
      </c>
      <c r="AC9" s="135" t="str">
        <f t="shared" si="11"/>
        <v/>
      </c>
      <c r="AD9" s="135" t="str">
        <f t="shared" si="11"/>
        <v/>
      </c>
      <c r="AE9" s="135" t="str">
        <f t="shared" si="11"/>
        <v/>
      </c>
      <c r="AF9" s="135" t="str">
        <f t="shared" si="11"/>
        <v/>
      </c>
      <c r="AG9" s="135" t="str">
        <f t="shared" si="11"/>
        <v/>
      </c>
      <c r="AH9" s="135" t="str">
        <f t="shared" si="11"/>
        <v/>
      </c>
      <c r="AI9" s="135" t="str">
        <f t="shared" si="11"/>
        <v/>
      </c>
      <c r="AJ9" s="135" t="str">
        <f t="shared" si="11"/>
        <v/>
      </c>
      <c r="AK9" s="135" t="str">
        <f t="shared" si="11"/>
        <v/>
      </c>
      <c r="AL9" s="135" t="str">
        <f t="shared" si="11"/>
        <v/>
      </c>
      <c r="AM9" s="135" t="str">
        <f t="shared" si="11"/>
        <v/>
      </c>
      <c r="AN9" s="135" t="str">
        <f t="shared" si="11"/>
        <v/>
      </c>
      <c r="AO9" s="135" t="str">
        <f t="shared" si="11"/>
        <v/>
      </c>
      <c r="AP9" s="135" t="str">
        <f t="shared" si="11"/>
        <v/>
      </c>
      <c r="AQ9" s="135" t="str">
        <f t="shared" si="11"/>
        <v/>
      </c>
      <c r="AR9" s="135" t="str">
        <f t="shared" si="11"/>
        <v/>
      </c>
      <c r="AS9" s="135" t="str">
        <f t="shared" si="11"/>
        <v/>
      </c>
      <c r="AT9" s="135" t="str">
        <f t="shared" si="11"/>
        <v/>
      </c>
      <c r="AU9" s="135" t="str">
        <f t="shared" si="11"/>
        <v/>
      </c>
      <c r="AV9" s="135" t="str">
        <f t="shared" si="11"/>
        <v/>
      </c>
      <c r="AW9" s="135" t="str">
        <f t="shared" si="11"/>
        <v/>
      </c>
      <c r="AX9" s="135" t="str">
        <f t="shared" si="11"/>
        <v/>
      </c>
      <c r="AY9" s="135" t="str">
        <f t="shared" si="11"/>
        <v/>
      </c>
      <c r="AZ9" s="135" t="str">
        <f t="shared" si="11"/>
        <v/>
      </c>
      <c r="BA9" s="135" t="str">
        <f t="shared" si="11"/>
        <v/>
      </c>
      <c r="BB9" s="136" t="str">
        <f t="shared" si="11"/>
        <v/>
      </c>
      <c r="BC9" s="137"/>
    </row>
    <row r="10" ht="19.5" customHeight="1">
      <c r="A10" s="118"/>
      <c r="B10" s="144">
        <v>2.0</v>
      </c>
      <c r="C10" s="120">
        <v>0.15</v>
      </c>
      <c r="D10" s="121" t="s">
        <v>100</v>
      </c>
      <c r="E10" s="122" t="s">
        <v>101</v>
      </c>
      <c r="F10" s="123" t="s">
        <v>102</v>
      </c>
      <c r="G10" s="104"/>
      <c r="H10" s="124" t="s">
        <v>103</v>
      </c>
      <c r="I10" s="125" t="s">
        <v>104</v>
      </c>
      <c r="J10" s="126">
        <v>46328.0</v>
      </c>
      <c r="K10" s="126">
        <v>46346.0</v>
      </c>
      <c r="L10" s="126"/>
      <c r="M10" s="126"/>
      <c r="N10" s="127">
        <f>IF(OR(ISBLANK(J10),ISBLANK(K10)),"",NETWORKDAYS(J10,K10,'휴일'!$A$2:$A$13))</f>
        <v>15</v>
      </c>
      <c r="O10" s="128" t="str">
        <f>IF(OR(ISBLANK(L10),ISBLANK(M10)),"",IF(NETWORKDAYS(L10,M10,'휴일'!$A$2:$A$13)&lt;0,"",NETWORKDAYS(L10,M10,'휴일'!$A$2:$A$13)))</f>
        <v/>
      </c>
      <c r="P10" s="127" t="str">
        <f>IFERROR(IF(K10&gt;=$K$1,IF(NETWORKDAYS(J10,$K$1,'휴일'!$A$2:$A$13)&gt;0,NETWORKDAYS(J10,$K$1,'휴일'!$A$2:$A$13),""),NETWORKDAYS(J10,K10,'휴일'!$A$2:$A$13)),"")</f>
        <v/>
      </c>
      <c r="Q10" s="128">
        <f>IF(IFERROR(IF(M10&gt;=$K$1,IF(NETWORKDAYS(L10,$K$1,'휴일'!$A$2:$A$13)&gt;0,NETWORKDAYS(L10,$K$1,'휴일'!$A$2:$A$13),""),NETWORKDAYS(L10,M10,'휴일'!$A$2:$A$13)),"")&lt;0,"",IFERROR(IF(M10&gt;=$K$1,IF(NETWORKDAYS(L10,$K$1,'휴일'!$A$2:$A$13)&gt;0,NETWORKDAYS(L10,$K$1,'휴일'!$A$2:$A$13),""),NETWORKDAYS(L10,M10,'휴일'!$A$2:$A$13)),""))</f>
        <v>0</v>
      </c>
      <c r="R10" s="138">
        <f t="shared" ref="R10:S10" si="12">IFERROR(P10/N10,0)</f>
        <v>0</v>
      </c>
      <c r="S10" s="139">
        <f t="shared" si="12"/>
        <v>0</v>
      </c>
      <c r="T10" s="140">
        <f t="shared" si="6"/>
        <v>0</v>
      </c>
      <c r="U10" s="141">
        <f t="shared" si="3"/>
        <v>0</v>
      </c>
      <c r="V10" s="135" t="str">
        <f t="shared" ref="V10:BB10" si="13">IF(ISNUMBER(SEARCH("★M", $I10)), IF(AND(IF($M10&lt;&gt;"", $M10, $K10) &gt;= V$2, IF($M10&lt;&gt;"", $M10, $K10) &lt; W$2), MID($I10, SEARCH("★M", $I10)+1, 2), ""), IF(AND($S10&gt;=1, IF($M10&lt;&gt;"", $M10, $K10) &gt;= V$2, IF($M10&lt;&gt;"", $M10, $K10) &lt; W$2), "완료", ""))</f>
        <v/>
      </c>
      <c r="W10" s="135" t="str">
        <f t="shared" si="13"/>
        <v/>
      </c>
      <c r="X10" s="135" t="str">
        <f t="shared" si="13"/>
        <v/>
      </c>
      <c r="Y10" s="142" t="str">
        <f t="shared" si="13"/>
        <v/>
      </c>
      <c r="Z10" s="142" t="str">
        <f t="shared" si="13"/>
        <v/>
      </c>
      <c r="AA10" s="142" t="str">
        <f t="shared" si="13"/>
        <v/>
      </c>
      <c r="AB10" s="135" t="str">
        <f t="shared" si="13"/>
        <v/>
      </c>
      <c r="AC10" s="135" t="str">
        <f t="shared" si="13"/>
        <v/>
      </c>
      <c r="AD10" s="135" t="str">
        <f t="shared" si="13"/>
        <v/>
      </c>
      <c r="AE10" s="135" t="str">
        <f t="shared" si="13"/>
        <v/>
      </c>
      <c r="AF10" s="135" t="str">
        <f t="shared" si="13"/>
        <v/>
      </c>
      <c r="AG10" s="135" t="str">
        <f t="shared" si="13"/>
        <v/>
      </c>
      <c r="AH10" s="135" t="str">
        <f t="shared" si="13"/>
        <v/>
      </c>
      <c r="AI10" s="135" t="str">
        <f t="shared" si="13"/>
        <v/>
      </c>
      <c r="AJ10" s="135" t="str">
        <f t="shared" si="13"/>
        <v/>
      </c>
      <c r="AK10" s="135" t="str">
        <f t="shared" si="13"/>
        <v/>
      </c>
      <c r="AL10" s="135" t="str">
        <f t="shared" si="13"/>
        <v/>
      </c>
      <c r="AM10" s="135" t="str">
        <f t="shared" si="13"/>
        <v/>
      </c>
      <c r="AN10" s="135" t="str">
        <f t="shared" si="13"/>
        <v/>
      </c>
      <c r="AO10" s="135" t="str">
        <f t="shared" si="13"/>
        <v/>
      </c>
      <c r="AP10" s="135" t="str">
        <f t="shared" si="13"/>
        <v/>
      </c>
      <c r="AQ10" s="135" t="str">
        <f t="shared" si="13"/>
        <v/>
      </c>
      <c r="AR10" s="135" t="str">
        <f t="shared" si="13"/>
        <v/>
      </c>
      <c r="AS10" s="135" t="str">
        <f t="shared" si="13"/>
        <v/>
      </c>
      <c r="AT10" s="135" t="str">
        <f t="shared" si="13"/>
        <v/>
      </c>
      <c r="AU10" s="135" t="str">
        <f t="shared" si="13"/>
        <v/>
      </c>
      <c r="AV10" s="135" t="str">
        <f t="shared" si="13"/>
        <v/>
      </c>
      <c r="AW10" s="135" t="str">
        <f t="shared" si="13"/>
        <v/>
      </c>
      <c r="AX10" s="135" t="str">
        <f t="shared" si="13"/>
        <v/>
      </c>
      <c r="AY10" s="135" t="str">
        <f t="shared" si="13"/>
        <v/>
      </c>
      <c r="AZ10" s="135" t="str">
        <f t="shared" si="13"/>
        <v/>
      </c>
      <c r="BA10" s="135" t="str">
        <f t="shared" si="13"/>
        <v/>
      </c>
      <c r="BB10" s="136" t="str">
        <f t="shared" si="13"/>
        <v/>
      </c>
      <c r="BC10" s="137"/>
    </row>
    <row r="11" ht="19.5" customHeight="1">
      <c r="A11" s="118"/>
      <c r="B11" s="144"/>
      <c r="C11" s="120"/>
      <c r="D11" s="121"/>
      <c r="E11" s="122"/>
      <c r="F11" s="123" t="s">
        <v>105</v>
      </c>
      <c r="G11" s="104"/>
      <c r="H11" s="124" t="s">
        <v>106</v>
      </c>
      <c r="I11" s="125" t="s">
        <v>107</v>
      </c>
      <c r="J11" s="126">
        <v>46328.0</v>
      </c>
      <c r="K11" s="126">
        <v>46346.0</v>
      </c>
      <c r="L11" s="126"/>
      <c r="M11" s="126"/>
      <c r="N11" s="127">
        <f>IF(OR(ISBLANK(J11),ISBLANK(K11)),"",NETWORKDAYS(J11,K11,'휴일'!$A$2:$A$13))</f>
        <v>15</v>
      </c>
      <c r="O11" s="128" t="str">
        <f>IF(OR(ISBLANK(L11),ISBLANK(M11)),"",IF(NETWORKDAYS(L11,M11,'휴일'!$A$2:$A$13)&lt;0,"",NETWORKDAYS(L11,M11,'휴일'!$A$2:$A$13)))</f>
        <v/>
      </c>
      <c r="P11" s="127" t="str">
        <f>IFERROR(IF(K11&gt;=$K$1,IF(NETWORKDAYS(J11,$K$1,'휴일'!$A$2:$A$13)&gt;0,NETWORKDAYS(J11,$K$1,'휴일'!$A$2:$A$13),""),NETWORKDAYS(J11,K11,'휴일'!$A$2:$A$13)),"")</f>
        <v/>
      </c>
      <c r="Q11" s="128">
        <f>IF(IFERROR(IF(M11&gt;=$K$1,IF(NETWORKDAYS(L11,$K$1,'휴일'!$A$2:$A$13)&gt;0,NETWORKDAYS(L11,$K$1,'휴일'!$A$2:$A$13),""),NETWORKDAYS(L11,M11,'휴일'!$A$2:$A$13)),"")&lt;0,"",IFERROR(IF(M11&gt;=$K$1,IF(NETWORKDAYS(L11,$K$1,'휴일'!$A$2:$A$13)&gt;0,NETWORKDAYS(L11,$K$1,'휴일'!$A$2:$A$13),""),NETWORKDAYS(L11,M11,'휴일'!$A$2:$A$13)),""))</f>
        <v>0</v>
      </c>
      <c r="R11" s="138">
        <f t="shared" ref="R11:S11" si="14">IFERROR(P11/N11,0)</f>
        <v>0</v>
      </c>
      <c r="S11" s="139">
        <f t="shared" si="14"/>
        <v>0</v>
      </c>
      <c r="T11" s="140">
        <f t="shared" si="6"/>
        <v>0</v>
      </c>
      <c r="U11" s="141">
        <f t="shared" si="3"/>
        <v>0</v>
      </c>
      <c r="V11" s="135" t="str">
        <f t="shared" ref="V11:BB11" si="15">IF(ISNUMBER(SEARCH("★M", $I11)), IF(AND(IF($M11&lt;&gt;"", $M11, $K11) &gt;= V$2, IF($M11&lt;&gt;"", $M11, $K11) &lt; W$2), MID($I11, SEARCH("★M", $I11)+1, 2), ""), IF(AND($S11&gt;=1, IF($M11&lt;&gt;"", $M11, $K11) &gt;= V$2, IF($M11&lt;&gt;"", $M11, $K11) &lt; W$2), "완료", ""))</f>
        <v/>
      </c>
      <c r="W11" s="135" t="str">
        <f t="shared" si="15"/>
        <v/>
      </c>
      <c r="X11" s="135" t="str">
        <f t="shared" si="15"/>
        <v/>
      </c>
      <c r="Y11" s="142" t="str">
        <f t="shared" si="15"/>
        <v/>
      </c>
      <c r="Z11" s="142" t="str">
        <f t="shared" si="15"/>
        <v/>
      </c>
      <c r="AA11" s="142" t="str">
        <f t="shared" si="15"/>
        <v/>
      </c>
      <c r="AB11" s="135" t="str">
        <f t="shared" si="15"/>
        <v/>
      </c>
      <c r="AC11" s="135" t="str">
        <f t="shared" si="15"/>
        <v/>
      </c>
      <c r="AD11" s="135" t="str">
        <f t="shared" si="15"/>
        <v/>
      </c>
      <c r="AE11" s="135" t="str">
        <f t="shared" si="15"/>
        <v/>
      </c>
      <c r="AF11" s="135" t="str">
        <f t="shared" si="15"/>
        <v/>
      </c>
      <c r="AG11" s="135" t="str">
        <f t="shared" si="15"/>
        <v/>
      </c>
      <c r="AH11" s="135" t="str">
        <f t="shared" si="15"/>
        <v/>
      </c>
      <c r="AI11" s="135" t="str">
        <f t="shared" si="15"/>
        <v/>
      </c>
      <c r="AJ11" s="135" t="str">
        <f t="shared" si="15"/>
        <v/>
      </c>
      <c r="AK11" s="135" t="str">
        <f t="shared" si="15"/>
        <v/>
      </c>
      <c r="AL11" s="135" t="str">
        <f t="shared" si="15"/>
        <v/>
      </c>
      <c r="AM11" s="135" t="str">
        <f t="shared" si="15"/>
        <v/>
      </c>
      <c r="AN11" s="135" t="str">
        <f t="shared" si="15"/>
        <v/>
      </c>
      <c r="AO11" s="135" t="str">
        <f t="shared" si="15"/>
        <v/>
      </c>
      <c r="AP11" s="135" t="str">
        <f t="shared" si="15"/>
        <v/>
      </c>
      <c r="AQ11" s="135" t="str">
        <f t="shared" si="15"/>
        <v/>
      </c>
      <c r="AR11" s="135" t="str">
        <f t="shared" si="15"/>
        <v/>
      </c>
      <c r="AS11" s="135" t="str">
        <f t="shared" si="15"/>
        <v/>
      </c>
      <c r="AT11" s="135" t="str">
        <f t="shared" si="15"/>
        <v/>
      </c>
      <c r="AU11" s="135" t="str">
        <f t="shared" si="15"/>
        <v/>
      </c>
      <c r="AV11" s="135" t="str">
        <f t="shared" si="15"/>
        <v/>
      </c>
      <c r="AW11" s="135" t="str">
        <f t="shared" si="15"/>
        <v/>
      </c>
      <c r="AX11" s="135" t="str">
        <f t="shared" si="15"/>
        <v/>
      </c>
      <c r="AY11" s="135" t="str">
        <f t="shared" si="15"/>
        <v/>
      </c>
      <c r="AZ11" s="135" t="str">
        <f t="shared" si="15"/>
        <v/>
      </c>
      <c r="BA11" s="135" t="str">
        <f t="shared" si="15"/>
        <v/>
      </c>
      <c r="BB11" s="136" t="str">
        <f t="shared" si="15"/>
        <v/>
      </c>
      <c r="BC11" s="137"/>
    </row>
    <row r="12" ht="19.5" customHeight="1">
      <c r="A12" s="118"/>
      <c r="B12" s="144"/>
      <c r="C12" s="120"/>
      <c r="D12" s="121"/>
      <c r="E12" s="122"/>
      <c r="F12" s="123" t="s">
        <v>108</v>
      </c>
      <c r="G12" s="104"/>
      <c r="H12" s="124" t="s">
        <v>106</v>
      </c>
      <c r="I12" s="125" t="s">
        <v>109</v>
      </c>
      <c r="J12" s="126">
        <v>46335.0</v>
      </c>
      <c r="K12" s="126">
        <v>46360.0</v>
      </c>
      <c r="L12" s="126"/>
      <c r="M12" s="126"/>
      <c r="N12" s="127">
        <f>IF(OR(ISBLANK(J12),ISBLANK(K12)),"",NETWORKDAYS(J12,K12,'휴일'!$A$2:$A$13))</f>
        <v>20</v>
      </c>
      <c r="O12" s="128" t="str">
        <f>IF(OR(ISBLANK(L12),ISBLANK(M12)),"",IF(NETWORKDAYS(L12,M12,'휴일'!$A$2:$A$13)&lt;0,"",NETWORKDAYS(L12,M12,'휴일'!$A$2:$A$13)))</f>
        <v/>
      </c>
      <c r="P12" s="127" t="str">
        <f>IFERROR(IF(K12&gt;=$K$1,IF(NETWORKDAYS(J12,$K$1,'휴일'!$A$2:$A$13)&gt;0,NETWORKDAYS(J12,$K$1,'휴일'!$A$2:$A$13),""),NETWORKDAYS(J12,K12,'휴일'!$A$2:$A$13)),"")</f>
        <v/>
      </c>
      <c r="Q12" s="128">
        <f>IF(IFERROR(IF(M12&gt;=$K$1,IF(NETWORKDAYS(L12,$K$1,'휴일'!$A$2:$A$13)&gt;0,NETWORKDAYS(L12,$K$1,'휴일'!$A$2:$A$13),""),NETWORKDAYS(L12,M12,'휴일'!$A$2:$A$13)),"")&lt;0,"",IFERROR(IF(M12&gt;=$K$1,IF(NETWORKDAYS(L12,$K$1,'휴일'!$A$2:$A$13)&gt;0,NETWORKDAYS(L12,$K$1,'휴일'!$A$2:$A$13),""),NETWORKDAYS(L12,M12,'휴일'!$A$2:$A$13)),""))</f>
        <v>0</v>
      </c>
      <c r="R12" s="138">
        <f t="shared" ref="R12:S12" si="16">IFERROR(P12/N12,0)</f>
        <v>0</v>
      </c>
      <c r="S12" s="139">
        <f t="shared" si="16"/>
        <v>0</v>
      </c>
      <c r="T12" s="140">
        <f t="shared" si="6"/>
        <v>0</v>
      </c>
      <c r="U12" s="141">
        <f t="shared" si="3"/>
        <v>0</v>
      </c>
      <c r="V12" s="135" t="str">
        <f t="shared" ref="V12:BB12" si="17">IF(ISNUMBER(SEARCH("★M", $I12)), IF(AND(IF($M12&lt;&gt;"", $M12, $K12) &gt;= V$2, IF($M12&lt;&gt;"", $M12, $K12) &lt; W$2), MID($I12, SEARCH("★M", $I12)+1, 2), ""), IF(AND($S12&gt;=1, IF($M12&lt;&gt;"", $M12, $K12) &gt;= V$2, IF($M12&lt;&gt;"", $M12, $K12) &lt; W$2), "완료", ""))</f>
        <v/>
      </c>
      <c r="W12" s="135" t="str">
        <f t="shared" si="17"/>
        <v/>
      </c>
      <c r="X12" s="135" t="str">
        <f t="shared" si="17"/>
        <v/>
      </c>
      <c r="Y12" s="135" t="str">
        <f t="shared" si="17"/>
        <v/>
      </c>
      <c r="Z12" s="142" t="str">
        <f t="shared" si="17"/>
        <v/>
      </c>
      <c r="AA12" s="142" t="str">
        <f t="shared" si="17"/>
        <v/>
      </c>
      <c r="AB12" s="142" t="str">
        <f t="shared" si="17"/>
        <v/>
      </c>
      <c r="AC12" s="142" t="str">
        <f t="shared" si="17"/>
        <v/>
      </c>
      <c r="AD12" s="135" t="str">
        <f t="shared" si="17"/>
        <v/>
      </c>
      <c r="AE12" s="135" t="str">
        <f t="shared" si="17"/>
        <v/>
      </c>
      <c r="AF12" s="135" t="str">
        <f t="shared" si="17"/>
        <v/>
      </c>
      <c r="AG12" s="135" t="str">
        <f t="shared" si="17"/>
        <v/>
      </c>
      <c r="AH12" s="135" t="str">
        <f t="shared" si="17"/>
        <v/>
      </c>
      <c r="AI12" s="135" t="str">
        <f t="shared" si="17"/>
        <v/>
      </c>
      <c r="AJ12" s="135" t="str">
        <f t="shared" si="17"/>
        <v/>
      </c>
      <c r="AK12" s="135" t="str">
        <f t="shared" si="17"/>
        <v/>
      </c>
      <c r="AL12" s="135" t="str">
        <f t="shared" si="17"/>
        <v/>
      </c>
      <c r="AM12" s="135" t="str">
        <f t="shared" si="17"/>
        <v/>
      </c>
      <c r="AN12" s="135" t="str">
        <f t="shared" si="17"/>
        <v/>
      </c>
      <c r="AO12" s="135" t="str">
        <f t="shared" si="17"/>
        <v/>
      </c>
      <c r="AP12" s="135" t="str">
        <f t="shared" si="17"/>
        <v/>
      </c>
      <c r="AQ12" s="135" t="str">
        <f t="shared" si="17"/>
        <v/>
      </c>
      <c r="AR12" s="135" t="str">
        <f t="shared" si="17"/>
        <v/>
      </c>
      <c r="AS12" s="135" t="str">
        <f t="shared" si="17"/>
        <v/>
      </c>
      <c r="AT12" s="135" t="str">
        <f t="shared" si="17"/>
        <v/>
      </c>
      <c r="AU12" s="135" t="str">
        <f t="shared" si="17"/>
        <v/>
      </c>
      <c r="AV12" s="135" t="str">
        <f t="shared" si="17"/>
        <v/>
      </c>
      <c r="AW12" s="135" t="str">
        <f t="shared" si="17"/>
        <v/>
      </c>
      <c r="AX12" s="135" t="str">
        <f t="shared" si="17"/>
        <v/>
      </c>
      <c r="AY12" s="135" t="str">
        <f t="shared" si="17"/>
        <v/>
      </c>
      <c r="AZ12" s="135" t="str">
        <f t="shared" si="17"/>
        <v/>
      </c>
      <c r="BA12" s="135" t="str">
        <f t="shared" si="17"/>
        <v/>
      </c>
      <c r="BB12" s="136" t="str">
        <f t="shared" si="17"/>
        <v/>
      </c>
      <c r="BC12" s="137"/>
    </row>
    <row r="13" ht="19.5" customHeight="1">
      <c r="A13" s="118"/>
      <c r="B13" s="144"/>
      <c r="C13" s="120"/>
      <c r="D13" s="121"/>
      <c r="E13" s="122"/>
      <c r="F13" s="123" t="s">
        <v>110</v>
      </c>
      <c r="G13" s="104"/>
      <c r="H13" s="124" t="s">
        <v>111</v>
      </c>
      <c r="I13" s="125" t="s">
        <v>112</v>
      </c>
      <c r="J13" s="126">
        <v>46335.0</v>
      </c>
      <c r="K13" s="126">
        <v>46346.0</v>
      </c>
      <c r="L13" s="126"/>
      <c r="M13" s="126"/>
      <c r="N13" s="127">
        <f>IF(OR(ISBLANK(J13),ISBLANK(K13)),"",NETWORKDAYS(J13,K13,'휴일'!$A$2:$A$13))</f>
        <v>10</v>
      </c>
      <c r="O13" s="128" t="str">
        <f>IF(OR(ISBLANK(L13),ISBLANK(M13)),"",IF(NETWORKDAYS(L13,M13,'휴일'!$A$2:$A$13)&lt;0,"",NETWORKDAYS(L13,M13,'휴일'!$A$2:$A$13)))</f>
        <v/>
      </c>
      <c r="P13" s="127" t="str">
        <f>IFERROR(IF(K13&gt;=$K$1,IF(NETWORKDAYS(J13,$K$1,'휴일'!$A$2:$A$13)&gt;0,NETWORKDAYS(J13,$K$1,'휴일'!$A$2:$A$13),""),NETWORKDAYS(J13,K13,'휴일'!$A$2:$A$13)),"")</f>
        <v/>
      </c>
      <c r="Q13" s="128">
        <f>IF(IFERROR(IF(M13&gt;=$K$1,IF(NETWORKDAYS(L13,$K$1,'휴일'!$A$2:$A$13)&gt;0,NETWORKDAYS(L13,$K$1,'휴일'!$A$2:$A$13),""),NETWORKDAYS(L13,M13,'휴일'!$A$2:$A$13)),"")&lt;0,"",IFERROR(IF(M13&gt;=$K$1,IF(NETWORKDAYS(L13,$K$1,'휴일'!$A$2:$A$13)&gt;0,NETWORKDAYS(L13,$K$1,'휴일'!$A$2:$A$13),""),NETWORKDAYS(L13,M13,'휴일'!$A$2:$A$13)),""))</f>
        <v>0</v>
      </c>
      <c r="R13" s="138">
        <f t="shared" ref="R13:S13" si="18">IFERROR(P13/N13,0)</f>
        <v>0</v>
      </c>
      <c r="S13" s="139">
        <f t="shared" si="18"/>
        <v>0</v>
      </c>
      <c r="T13" s="140">
        <f t="shared" si="6"/>
        <v>0</v>
      </c>
      <c r="U13" s="141">
        <f t="shared" si="3"/>
        <v>0</v>
      </c>
      <c r="V13" s="135" t="str">
        <f t="shared" ref="V13:BB13" si="19">IF(ISNUMBER(SEARCH("★M", $I13)), IF(AND(IF($M13&lt;&gt;"", $M13, $K13) &gt;= V$2, IF($M13&lt;&gt;"", $M13, $K13) &lt; W$2), MID($I13, SEARCH("★M", $I13)+1, 2), ""), IF(AND($S13&gt;=1, IF($M13&lt;&gt;"", $M13, $K13) &gt;= V$2, IF($M13&lt;&gt;"", $M13, $K13) &lt; W$2), "완료", ""))</f>
        <v/>
      </c>
      <c r="W13" s="135" t="str">
        <f t="shared" si="19"/>
        <v/>
      </c>
      <c r="X13" s="135" t="str">
        <f t="shared" si="19"/>
        <v/>
      </c>
      <c r="Y13" s="135" t="str">
        <f t="shared" si="19"/>
        <v/>
      </c>
      <c r="Z13" s="142" t="str">
        <f t="shared" si="19"/>
        <v/>
      </c>
      <c r="AA13" s="142" t="str">
        <f t="shared" si="19"/>
        <v/>
      </c>
      <c r="AB13" s="135" t="str">
        <f t="shared" si="19"/>
        <v/>
      </c>
      <c r="AC13" s="135" t="str">
        <f t="shared" si="19"/>
        <v/>
      </c>
      <c r="AD13" s="135" t="str">
        <f t="shared" si="19"/>
        <v/>
      </c>
      <c r="AE13" s="135" t="str">
        <f t="shared" si="19"/>
        <v/>
      </c>
      <c r="AF13" s="135" t="str">
        <f t="shared" si="19"/>
        <v/>
      </c>
      <c r="AG13" s="135" t="str">
        <f t="shared" si="19"/>
        <v/>
      </c>
      <c r="AH13" s="135" t="str">
        <f t="shared" si="19"/>
        <v/>
      </c>
      <c r="AI13" s="135" t="str">
        <f t="shared" si="19"/>
        <v/>
      </c>
      <c r="AJ13" s="135" t="str">
        <f t="shared" si="19"/>
        <v/>
      </c>
      <c r="AK13" s="135" t="str">
        <f t="shared" si="19"/>
        <v/>
      </c>
      <c r="AL13" s="135" t="str">
        <f t="shared" si="19"/>
        <v/>
      </c>
      <c r="AM13" s="135" t="str">
        <f t="shared" si="19"/>
        <v/>
      </c>
      <c r="AN13" s="135" t="str">
        <f t="shared" si="19"/>
        <v/>
      </c>
      <c r="AO13" s="135" t="str">
        <f t="shared" si="19"/>
        <v/>
      </c>
      <c r="AP13" s="135" t="str">
        <f t="shared" si="19"/>
        <v/>
      </c>
      <c r="AQ13" s="135" t="str">
        <f t="shared" si="19"/>
        <v/>
      </c>
      <c r="AR13" s="135" t="str">
        <f t="shared" si="19"/>
        <v/>
      </c>
      <c r="AS13" s="135" t="str">
        <f t="shared" si="19"/>
        <v/>
      </c>
      <c r="AT13" s="135" t="str">
        <f t="shared" si="19"/>
        <v/>
      </c>
      <c r="AU13" s="135" t="str">
        <f t="shared" si="19"/>
        <v/>
      </c>
      <c r="AV13" s="135" t="str">
        <f t="shared" si="19"/>
        <v/>
      </c>
      <c r="AW13" s="135" t="str">
        <f t="shared" si="19"/>
        <v/>
      </c>
      <c r="AX13" s="135" t="str">
        <f t="shared" si="19"/>
        <v/>
      </c>
      <c r="AY13" s="135" t="str">
        <f t="shared" si="19"/>
        <v/>
      </c>
      <c r="AZ13" s="135" t="str">
        <f t="shared" si="19"/>
        <v/>
      </c>
      <c r="BA13" s="135" t="str">
        <f t="shared" si="19"/>
        <v/>
      </c>
      <c r="BB13" s="136" t="str">
        <f t="shared" si="19"/>
        <v/>
      </c>
      <c r="BC13" s="137"/>
    </row>
    <row r="14" ht="19.5" customHeight="1">
      <c r="A14" s="118"/>
      <c r="B14" s="144"/>
      <c r="C14" s="120"/>
      <c r="D14" s="121"/>
      <c r="E14" s="122"/>
      <c r="F14" s="123" t="s">
        <v>113</v>
      </c>
      <c r="G14" s="104"/>
      <c r="H14" s="124" t="s">
        <v>89</v>
      </c>
      <c r="I14" s="125" t="s">
        <v>114</v>
      </c>
      <c r="J14" s="126">
        <v>46342.0</v>
      </c>
      <c r="K14" s="126">
        <v>46346.0</v>
      </c>
      <c r="L14" s="126"/>
      <c r="M14" s="126"/>
      <c r="N14" s="127">
        <f>IF(OR(ISBLANK(J14),ISBLANK(K14)),"",NETWORKDAYS(J14,K14,'휴일'!$A$2:$A$13))</f>
        <v>5</v>
      </c>
      <c r="O14" s="128" t="str">
        <f>IF(OR(ISBLANK(L14),ISBLANK(M14)),"",IF(NETWORKDAYS(L14,M14,'휴일'!$A$2:$A$13)&lt;0,"",NETWORKDAYS(L14,M14,'휴일'!$A$2:$A$13)))</f>
        <v/>
      </c>
      <c r="P14" s="127" t="str">
        <f>IFERROR(IF(K14&gt;=$K$1,IF(NETWORKDAYS(J14,$K$1,'휴일'!$A$2:$A$13)&gt;0,NETWORKDAYS(J14,$K$1,'휴일'!$A$2:$A$13),""),NETWORKDAYS(J14,K14,'휴일'!$A$2:$A$13)),"")</f>
        <v/>
      </c>
      <c r="Q14" s="128">
        <f>IF(IFERROR(IF(M14&gt;=$K$1,IF(NETWORKDAYS(L14,$K$1,'휴일'!$A$2:$A$13)&gt;0,NETWORKDAYS(L14,$K$1,'휴일'!$A$2:$A$13),""),NETWORKDAYS(L14,M14,'휴일'!$A$2:$A$13)),"")&lt;0,"",IFERROR(IF(M14&gt;=$K$1,IF(NETWORKDAYS(L14,$K$1,'휴일'!$A$2:$A$13)&gt;0,NETWORKDAYS(L14,$K$1,'휴일'!$A$2:$A$13),""),NETWORKDAYS(L14,M14,'휴일'!$A$2:$A$13)),""))</f>
        <v>0</v>
      </c>
      <c r="R14" s="138">
        <f t="shared" ref="R14:S14" si="20">IFERROR(P14/N14,0)</f>
        <v>0</v>
      </c>
      <c r="S14" s="139">
        <f t="shared" si="20"/>
        <v>0</v>
      </c>
      <c r="T14" s="140">
        <f t="shared" si="6"/>
        <v>0</v>
      </c>
      <c r="U14" s="141">
        <f t="shared" si="3"/>
        <v>0</v>
      </c>
      <c r="V14" s="135" t="str">
        <f t="shared" ref="V14:BB14" si="21">IF(ISNUMBER(SEARCH("★M", $I14)), IF(AND(IF($M14&lt;&gt;"", $M14, $K14) &gt;= V$2, IF($M14&lt;&gt;"", $M14, $K14) &lt; W$2), MID($I14, SEARCH("★M", $I14)+1, 2), ""), IF(AND($S14&gt;=1, IF($M14&lt;&gt;"", $M14, $K14) &gt;= V$2, IF($M14&lt;&gt;"", $M14, $K14) &lt; W$2), "완료", ""))</f>
        <v/>
      </c>
      <c r="W14" s="135" t="str">
        <f t="shared" si="21"/>
        <v/>
      </c>
      <c r="X14" s="135" t="str">
        <f t="shared" si="21"/>
        <v/>
      </c>
      <c r="Y14" s="135" t="str">
        <f t="shared" si="21"/>
        <v/>
      </c>
      <c r="Z14" s="135" t="str">
        <f t="shared" si="21"/>
        <v/>
      </c>
      <c r="AA14" s="145" t="str">
        <f t="shared" si="21"/>
        <v>M1</v>
      </c>
      <c r="AB14" s="135" t="str">
        <f t="shared" si="21"/>
        <v/>
      </c>
      <c r="AC14" s="135" t="str">
        <f t="shared" si="21"/>
        <v/>
      </c>
      <c r="AD14" s="135" t="str">
        <f t="shared" si="21"/>
        <v/>
      </c>
      <c r="AE14" s="135" t="str">
        <f t="shared" si="21"/>
        <v/>
      </c>
      <c r="AF14" s="135" t="str">
        <f t="shared" si="21"/>
        <v/>
      </c>
      <c r="AG14" s="135" t="str">
        <f t="shared" si="21"/>
        <v/>
      </c>
      <c r="AH14" s="135" t="str">
        <f t="shared" si="21"/>
        <v/>
      </c>
      <c r="AI14" s="135" t="str">
        <f t="shared" si="21"/>
        <v/>
      </c>
      <c r="AJ14" s="135" t="str">
        <f t="shared" si="21"/>
        <v/>
      </c>
      <c r="AK14" s="135" t="str">
        <f t="shared" si="21"/>
        <v/>
      </c>
      <c r="AL14" s="135" t="str">
        <f t="shared" si="21"/>
        <v/>
      </c>
      <c r="AM14" s="135" t="str">
        <f t="shared" si="21"/>
        <v/>
      </c>
      <c r="AN14" s="135" t="str">
        <f t="shared" si="21"/>
        <v/>
      </c>
      <c r="AO14" s="135" t="str">
        <f t="shared" si="21"/>
        <v/>
      </c>
      <c r="AP14" s="135" t="str">
        <f t="shared" si="21"/>
        <v/>
      </c>
      <c r="AQ14" s="135" t="str">
        <f t="shared" si="21"/>
        <v/>
      </c>
      <c r="AR14" s="135" t="str">
        <f t="shared" si="21"/>
        <v/>
      </c>
      <c r="AS14" s="135" t="str">
        <f t="shared" si="21"/>
        <v/>
      </c>
      <c r="AT14" s="135" t="str">
        <f t="shared" si="21"/>
        <v/>
      </c>
      <c r="AU14" s="135" t="str">
        <f t="shared" si="21"/>
        <v/>
      </c>
      <c r="AV14" s="135" t="str">
        <f t="shared" si="21"/>
        <v/>
      </c>
      <c r="AW14" s="135" t="str">
        <f t="shared" si="21"/>
        <v/>
      </c>
      <c r="AX14" s="135" t="str">
        <f t="shared" si="21"/>
        <v/>
      </c>
      <c r="AY14" s="135" t="str">
        <f t="shared" si="21"/>
        <v/>
      </c>
      <c r="AZ14" s="135" t="str">
        <f t="shared" si="21"/>
        <v/>
      </c>
      <c r="BA14" s="135" t="str">
        <f t="shared" si="21"/>
        <v/>
      </c>
      <c r="BB14" s="136" t="str">
        <f t="shared" si="21"/>
        <v/>
      </c>
      <c r="BC14" s="137"/>
    </row>
    <row r="15" ht="19.5" customHeight="1">
      <c r="A15" s="118"/>
      <c r="B15" s="144">
        <v>3.0</v>
      </c>
      <c r="C15" s="120">
        <v>0.4</v>
      </c>
      <c r="D15" s="121" t="s">
        <v>115</v>
      </c>
      <c r="E15" s="122" t="s">
        <v>116</v>
      </c>
      <c r="F15" s="123" t="s">
        <v>117</v>
      </c>
      <c r="G15" s="104"/>
      <c r="H15" s="124" t="s">
        <v>118</v>
      </c>
      <c r="I15" s="125" t="s">
        <v>119</v>
      </c>
      <c r="J15" s="126">
        <v>46349.0</v>
      </c>
      <c r="K15" s="126">
        <v>46374.0</v>
      </c>
      <c r="L15" s="126"/>
      <c r="M15" s="126"/>
      <c r="N15" s="127">
        <f>IF(OR(ISBLANK(J15),ISBLANK(K15)),"",NETWORKDAYS(J15,K15,'휴일'!$A$2:$A$13))</f>
        <v>20</v>
      </c>
      <c r="O15" s="128" t="str">
        <f>IF(OR(ISBLANK(L15),ISBLANK(M15)),"",IF(NETWORKDAYS(L15,M15,'휴일'!$A$2:$A$13)&lt;0,"",NETWORKDAYS(L15,M15,'휴일'!$A$2:$A$13)))</f>
        <v/>
      </c>
      <c r="P15" s="127" t="str">
        <f>IFERROR(IF(K15&gt;=$K$1,IF(NETWORKDAYS(J15,$K$1,'휴일'!$A$2:$A$13)&gt;0,NETWORKDAYS(J15,$K$1,'휴일'!$A$2:$A$13),""),NETWORKDAYS(J15,K15,'휴일'!$A$2:$A$13)),"")</f>
        <v/>
      </c>
      <c r="Q15" s="128">
        <f>IF(IFERROR(IF(M15&gt;=$K$1,IF(NETWORKDAYS(L15,$K$1,'휴일'!$A$2:$A$13)&gt;0,NETWORKDAYS(L15,$K$1,'휴일'!$A$2:$A$13),""),NETWORKDAYS(L15,M15,'휴일'!$A$2:$A$13)),"")&lt;0,"",IFERROR(IF(M15&gt;=$K$1,IF(NETWORKDAYS(L15,$K$1,'휴일'!$A$2:$A$13)&gt;0,NETWORKDAYS(L15,$K$1,'휴일'!$A$2:$A$13),""),NETWORKDAYS(L15,M15,'휴일'!$A$2:$A$13)),""))</f>
        <v>0</v>
      </c>
      <c r="R15" s="138">
        <f t="shared" ref="R15:S15" si="22">IFERROR(P15/N15,0)</f>
        <v>0</v>
      </c>
      <c r="S15" s="139">
        <f t="shared" si="22"/>
        <v>0</v>
      </c>
      <c r="T15" s="140">
        <f t="shared" si="6"/>
        <v>0</v>
      </c>
      <c r="U15" s="141">
        <f>T15-R10</f>
        <v>0</v>
      </c>
      <c r="V15" s="135" t="str">
        <f t="shared" ref="V15:BB15" si="23">IF(ISNUMBER(SEARCH("★M", $I15)), IF(AND(IF($M15&lt;&gt;"", $M15, $K15) &gt;= V$2, IF($M15&lt;&gt;"", $M15, $K15) &lt; W$2), MID($I15, SEARCH("★M", $I15)+1, 2), ""), IF(AND($S15&gt;=1, IF($M15&lt;&gt;"", $M15, $K15) &gt;= V$2, IF($M15&lt;&gt;"", $M15, $K15) &lt; W$2), "완료", ""))</f>
        <v/>
      </c>
      <c r="W15" s="135" t="str">
        <f t="shared" si="23"/>
        <v/>
      </c>
      <c r="X15" s="135" t="str">
        <f t="shared" si="23"/>
        <v/>
      </c>
      <c r="Y15" s="135" t="str">
        <f t="shared" si="23"/>
        <v/>
      </c>
      <c r="Z15" s="135" t="str">
        <f t="shared" si="23"/>
        <v/>
      </c>
      <c r="AA15" s="135" t="str">
        <f t="shared" si="23"/>
        <v/>
      </c>
      <c r="AB15" s="142" t="str">
        <f t="shared" si="23"/>
        <v/>
      </c>
      <c r="AC15" s="142" t="str">
        <f t="shared" si="23"/>
        <v/>
      </c>
      <c r="AD15" s="142" t="str">
        <f t="shared" si="23"/>
        <v/>
      </c>
      <c r="AE15" s="142" t="str">
        <f t="shared" si="23"/>
        <v/>
      </c>
      <c r="AF15" s="135" t="str">
        <f t="shared" si="23"/>
        <v/>
      </c>
      <c r="AG15" s="135" t="str">
        <f t="shared" si="23"/>
        <v/>
      </c>
      <c r="AH15" s="135" t="str">
        <f t="shared" si="23"/>
        <v/>
      </c>
      <c r="AI15" s="135" t="str">
        <f t="shared" si="23"/>
        <v/>
      </c>
      <c r="AJ15" s="135" t="str">
        <f t="shared" si="23"/>
        <v/>
      </c>
      <c r="AK15" s="135" t="str">
        <f t="shared" si="23"/>
        <v/>
      </c>
      <c r="AL15" s="135" t="str">
        <f t="shared" si="23"/>
        <v/>
      </c>
      <c r="AM15" s="135" t="str">
        <f t="shared" si="23"/>
        <v/>
      </c>
      <c r="AN15" s="135" t="str">
        <f t="shared" si="23"/>
        <v/>
      </c>
      <c r="AO15" s="135" t="str">
        <f t="shared" si="23"/>
        <v/>
      </c>
      <c r="AP15" s="135" t="str">
        <f t="shared" si="23"/>
        <v/>
      </c>
      <c r="AQ15" s="135" t="str">
        <f t="shared" si="23"/>
        <v/>
      </c>
      <c r="AR15" s="135" t="str">
        <f t="shared" si="23"/>
        <v/>
      </c>
      <c r="AS15" s="135" t="str">
        <f t="shared" si="23"/>
        <v/>
      </c>
      <c r="AT15" s="135" t="str">
        <f t="shared" si="23"/>
        <v/>
      </c>
      <c r="AU15" s="135" t="str">
        <f t="shared" si="23"/>
        <v/>
      </c>
      <c r="AV15" s="135" t="str">
        <f t="shared" si="23"/>
        <v/>
      </c>
      <c r="AW15" s="135" t="str">
        <f t="shared" si="23"/>
        <v/>
      </c>
      <c r="AX15" s="135" t="str">
        <f t="shared" si="23"/>
        <v/>
      </c>
      <c r="AY15" s="135" t="str">
        <f t="shared" si="23"/>
        <v/>
      </c>
      <c r="AZ15" s="135" t="str">
        <f t="shared" si="23"/>
        <v/>
      </c>
      <c r="BA15" s="135" t="str">
        <f t="shared" si="23"/>
        <v/>
      </c>
      <c r="BB15" s="136" t="str">
        <f t="shared" si="23"/>
        <v/>
      </c>
      <c r="BC15" s="137"/>
    </row>
    <row r="16" ht="19.5" customHeight="1">
      <c r="A16" s="118"/>
      <c r="B16" s="144"/>
      <c r="C16" s="120"/>
      <c r="D16" s="121"/>
      <c r="E16" s="122"/>
      <c r="F16" s="123" t="s">
        <v>120</v>
      </c>
      <c r="G16" s="104"/>
      <c r="H16" s="124" t="s">
        <v>118</v>
      </c>
      <c r="I16" s="125" t="s">
        <v>121</v>
      </c>
      <c r="J16" s="126">
        <v>46356.0</v>
      </c>
      <c r="K16" s="126">
        <v>46381.0</v>
      </c>
      <c r="L16" s="126"/>
      <c r="M16" s="126"/>
      <c r="N16" s="127">
        <f>IF(OR(ISBLANK(J16),ISBLANK(K16)),"",NETWORKDAYS(J16,K16,'휴일'!$A$2:$A$13))</f>
        <v>19</v>
      </c>
      <c r="O16" s="128" t="str">
        <f>IF(OR(ISBLANK(L16),ISBLANK(M16)),"",IF(NETWORKDAYS(L16,M16,'휴일'!$A$2:$A$13)&lt;0,"",NETWORKDAYS(L16,M16,'휴일'!$A$2:$A$13)))</f>
        <v/>
      </c>
      <c r="P16" s="127" t="str">
        <f>IFERROR(IF(K16&gt;=$K$1,IF(NETWORKDAYS(J16,$K$1,'휴일'!$A$2:$A$13)&gt;0,NETWORKDAYS(J16,$K$1,'휴일'!$A$2:$A$13),""),NETWORKDAYS(J16,K16,'휴일'!$A$2:$A$13)),"")</f>
        <v/>
      </c>
      <c r="Q16" s="128">
        <f>IF(IFERROR(IF(M16&gt;=$K$1,IF(NETWORKDAYS(L16,$K$1,'휴일'!$A$2:$A$13)&gt;0,NETWORKDAYS(L16,$K$1,'휴일'!$A$2:$A$13),""),NETWORKDAYS(L16,M16,'휴일'!$A$2:$A$13)),"")&lt;0,"",IFERROR(IF(M16&gt;=$K$1,IF(NETWORKDAYS(L16,$K$1,'휴일'!$A$2:$A$13)&gt;0,NETWORKDAYS(L16,$K$1,'휴일'!$A$2:$A$13),""),NETWORKDAYS(L16,M16,'휴일'!$A$2:$A$13)),""))</f>
        <v>0</v>
      </c>
      <c r="R16" s="138">
        <f t="shared" ref="R16:S16" si="24">IFERROR(P16/N16,0)</f>
        <v>0</v>
      </c>
      <c r="S16" s="139">
        <f t="shared" si="24"/>
        <v>0</v>
      </c>
      <c r="T16" s="140">
        <f t="shared" si="6"/>
        <v>0</v>
      </c>
      <c r="U16" s="141">
        <f t="shared" ref="U16:U36" si="27">T16-R16</f>
        <v>0</v>
      </c>
      <c r="V16" s="135" t="str">
        <f t="shared" ref="V16:BB16" si="25">IF(ISNUMBER(SEARCH("★M", $I16)), IF(AND(IF($M16&lt;&gt;"", $M16, $K16) &gt;= V$2, IF($M16&lt;&gt;"", $M16, $K16) &lt; W$2), MID($I16, SEARCH("★M", $I16)+1, 2), ""), IF(AND($S16&gt;=1, IF($M16&lt;&gt;"", $M16, $K16) &gt;= V$2, IF($M16&lt;&gt;"", $M16, $K16) &lt; W$2), "완료", ""))</f>
        <v/>
      </c>
      <c r="W16" s="135" t="str">
        <f t="shared" si="25"/>
        <v/>
      </c>
      <c r="X16" s="135" t="str">
        <f t="shared" si="25"/>
        <v/>
      </c>
      <c r="Y16" s="135" t="str">
        <f t="shared" si="25"/>
        <v/>
      </c>
      <c r="Z16" s="135" t="str">
        <f t="shared" si="25"/>
        <v/>
      </c>
      <c r="AA16" s="135" t="str">
        <f t="shared" si="25"/>
        <v/>
      </c>
      <c r="AB16" s="135" t="str">
        <f t="shared" si="25"/>
        <v/>
      </c>
      <c r="AC16" s="142" t="str">
        <f t="shared" si="25"/>
        <v/>
      </c>
      <c r="AD16" s="142" t="str">
        <f t="shared" si="25"/>
        <v/>
      </c>
      <c r="AE16" s="142" t="str">
        <f t="shared" si="25"/>
        <v/>
      </c>
      <c r="AF16" s="142" t="str">
        <f t="shared" si="25"/>
        <v/>
      </c>
      <c r="AG16" s="135" t="str">
        <f t="shared" si="25"/>
        <v/>
      </c>
      <c r="AH16" s="135" t="str">
        <f t="shared" si="25"/>
        <v/>
      </c>
      <c r="AI16" s="135" t="str">
        <f t="shared" si="25"/>
        <v/>
      </c>
      <c r="AJ16" s="135" t="str">
        <f t="shared" si="25"/>
        <v/>
      </c>
      <c r="AK16" s="135" t="str">
        <f t="shared" si="25"/>
        <v/>
      </c>
      <c r="AL16" s="135" t="str">
        <f t="shared" si="25"/>
        <v/>
      </c>
      <c r="AM16" s="135" t="str">
        <f t="shared" si="25"/>
        <v/>
      </c>
      <c r="AN16" s="135" t="str">
        <f t="shared" si="25"/>
        <v/>
      </c>
      <c r="AO16" s="135" t="str">
        <f t="shared" si="25"/>
        <v/>
      </c>
      <c r="AP16" s="135" t="str">
        <f t="shared" si="25"/>
        <v/>
      </c>
      <c r="AQ16" s="135" t="str">
        <f t="shared" si="25"/>
        <v/>
      </c>
      <c r="AR16" s="135" t="str">
        <f t="shared" si="25"/>
        <v/>
      </c>
      <c r="AS16" s="135" t="str">
        <f t="shared" si="25"/>
        <v/>
      </c>
      <c r="AT16" s="135" t="str">
        <f t="shared" si="25"/>
        <v/>
      </c>
      <c r="AU16" s="135" t="str">
        <f t="shared" si="25"/>
        <v/>
      </c>
      <c r="AV16" s="135" t="str">
        <f t="shared" si="25"/>
        <v/>
      </c>
      <c r="AW16" s="135" t="str">
        <f t="shared" si="25"/>
        <v/>
      </c>
      <c r="AX16" s="135" t="str">
        <f t="shared" si="25"/>
        <v/>
      </c>
      <c r="AY16" s="135" t="str">
        <f t="shared" si="25"/>
        <v/>
      </c>
      <c r="AZ16" s="135" t="str">
        <f t="shared" si="25"/>
        <v/>
      </c>
      <c r="BA16" s="135" t="str">
        <f t="shared" si="25"/>
        <v/>
      </c>
      <c r="BB16" s="136" t="str">
        <f t="shared" si="25"/>
        <v/>
      </c>
      <c r="BC16" s="137"/>
    </row>
    <row r="17" ht="19.5" customHeight="1">
      <c r="A17" s="118"/>
      <c r="B17" s="144"/>
      <c r="C17" s="120"/>
      <c r="D17" s="121"/>
      <c r="E17" s="122"/>
      <c r="F17" s="123" t="s">
        <v>122</v>
      </c>
      <c r="G17" s="104"/>
      <c r="H17" s="124" t="s">
        <v>111</v>
      </c>
      <c r="I17" s="125" t="s">
        <v>123</v>
      </c>
      <c r="J17" s="126">
        <v>46370.0</v>
      </c>
      <c r="K17" s="126">
        <v>46402.0</v>
      </c>
      <c r="L17" s="126"/>
      <c r="M17" s="126"/>
      <c r="N17" s="127">
        <f>IF(OR(ISBLANK(J17),ISBLANK(K17)),"",NETWORKDAYS(J17,K17,'휴일'!$A$2:$A$13))</f>
        <v>23</v>
      </c>
      <c r="O17" s="128" t="str">
        <f>IF(OR(ISBLANK(L17),ISBLANK(M17)),"",IF(NETWORKDAYS(L17,M17,'휴일'!$A$2:$A$13)&lt;0,"",NETWORKDAYS(L17,M17,'휴일'!$A$2:$A$13)))</f>
        <v/>
      </c>
      <c r="P17" s="127" t="str">
        <f>IFERROR(IF(K17&gt;=$K$1,IF(NETWORKDAYS(J17,$K$1,'휴일'!$A$2:$A$13)&gt;0,NETWORKDAYS(J17,$K$1,'휴일'!$A$2:$A$13),""),NETWORKDAYS(J17,K17,'휴일'!$A$2:$A$13)),"")</f>
        <v/>
      </c>
      <c r="Q17" s="128">
        <f>IF(IFERROR(IF(M17&gt;=$K$1,IF(NETWORKDAYS(L17,$K$1,'휴일'!$A$2:$A$13)&gt;0,NETWORKDAYS(L17,$K$1,'휴일'!$A$2:$A$13),""),NETWORKDAYS(L17,M17,'휴일'!$A$2:$A$13)),"")&lt;0,"",IFERROR(IF(M17&gt;=$K$1,IF(NETWORKDAYS(L17,$K$1,'휴일'!$A$2:$A$13)&gt;0,NETWORKDAYS(L17,$K$1,'휴일'!$A$2:$A$13),""),NETWORKDAYS(L17,M17,'휴일'!$A$2:$A$13)),""))</f>
        <v>0</v>
      </c>
      <c r="R17" s="138">
        <f t="shared" ref="R17:S17" si="26">IFERROR(P17/N17,0)</f>
        <v>0</v>
      </c>
      <c r="S17" s="139">
        <f t="shared" si="26"/>
        <v>0</v>
      </c>
      <c r="T17" s="140">
        <f t="shared" si="6"/>
        <v>0</v>
      </c>
      <c r="U17" s="141">
        <f t="shared" si="27"/>
        <v>0</v>
      </c>
      <c r="V17" s="135" t="str">
        <f t="shared" ref="V17:BB17" si="28">IF(ISNUMBER(SEARCH("★M", $I17)), IF(AND(IF($M17&lt;&gt;"", $M17, $K17) &gt;= V$2, IF($M17&lt;&gt;"", $M17, $K17) &lt; W$2), MID($I17, SEARCH("★M", $I17)+1, 2), ""), IF(AND($S17&gt;=1, IF($M17&lt;&gt;"", $M17, $K17) &gt;= V$2, IF($M17&lt;&gt;"", $M17, $K17) &lt; W$2), "완료", ""))</f>
        <v/>
      </c>
      <c r="W17" s="135" t="str">
        <f t="shared" si="28"/>
        <v/>
      </c>
      <c r="X17" s="135" t="str">
        <f t="shared" si="28"/>
        <v/>
      </c>
      <c r="Y17" s="135" t="str">
        <f t="shared" si="28"/>
        <v/>
      </c>
      <c r="Z17" s="135" t="str">
        <f t="shared" si="28"/>
        <v/>
      </c>
      <c r="AA17" s="135" t="str">
        <f t="shared" si="28"/>
        <v/>
      </c>
      <c r="AB17" s="135" t="str">
        <f t="shared" si="28"/>
        <v/>
      </c>
      <c r="AC17" s="135" t="str">
        <f t="shared" si="28"/>
        <v/>
      </c>
      <c r="AD17" s="135" t="str">
        <f t="shared" si="28"/>
        <v/>
      </c>
      <c r="AE17" s="142" t="str">
        <f t="shared" si="28"/>
        <v/>
      </c>
      <c r="AF17" s="142" t="str">
        <f t="shared" si="28"/>
        <v/>
      </c>
      <c r="AG17" s="142" t="str">
        <f t="shared" si="28"/>
        <v/>
      </c>
      <c r="AH17" s="142" t="str">
        <f t="shared" si="28"/>
        <v/>
      </c>
      <c r="AI17" s="142" t="str">
        <f t="shared" si="28"/>
        <v/>
      </c>
      <c r="AJ17" s="135" t="str">
        <f t="shared" si="28"/>
        <v/>
      </c>
      <c r="AK17" s="135" t="str">
        <f t="shared" si="28"/>
        <v/>
      </c>
      <c r="AL17" s="135" t="str">
        <f t="shared" si="28"/>
        <v/>
      </c>
      <c r="AM17" s="135" t="str">
        <f t="shared" si="28"/>
        <v/>
      </c>
      <c r="AN17" s="135" t="str">
        <f t="shared" si="28"/>
        <v/>
      </c>
      <c r="AO17" s="135" t="str">
        <f t="shared" si="28"/>
        <v/>
      </c>
      <c r="AP17" s="135" t="str">
        <f t="shared" si="28"/>
        <v/>
      </c>
      <c r="AQ17" s="135" t="str">
        <f t="shared" si="28"/>
        <v/>
      </c>
      <c r="AR17" s="135" t="str">
        <f t="shared" si="28"/>
        <v/>
      </c>
      <c r="AS17" s="135" t="str">
        <f t="shared" si="28"/>
        <v/>
      </c>
      <c r="AT17" s="135" t="str">
        <f t="shared" si="28"/>
        <v/>
      </c>
      <c r="AU17" s="135" t="str">
        <f t="shared" si="28"/>
        <v/>
      </c>
      <c r="AV17" s="135" t="str">
        <f t="shared" si="28"/>
        <v/>
      </c>
      <c r="AW17" s="135" t="str">
        <f t="shared" si="28"/>
        <v/>
      </c>
      <c r="AX17" s="135" t="str">
        <f t="shared" si="28"/>
        <v/>
      </c>
      <c r="AY17" s="135" t="str">
        <f t="shared" si="28"/>
        <v/>
      </c>
      <c r="AZ17" s="135" t="str">
        <f t="shared" si="28"/>
        <v/>
      </c>
      <c r="BA17" s="135" t="str">
        <f t="shared" si="28"/>
        <v/>
      </c>
      <c r="BB17" s="136" t="str">
        <f t="shared" si="28"/>
        <v/>
      </c>
      <c r="BC17" s="137"/>
    </row>
    <row r="18" ht="19.5" customHeight="1">
      <c r="A18" s="118"/>
      <c r="B18" s="144"/>
      <c r="C18" s="120"/>
      <c r="D18" s="121"/>
      <c r="E18" s="122" t="s">
        <v>124</v>
      </c>
      <c r="F18" s="123" t="s">
        <v>125</v>
      </c>
      <c r="G18" s="104"/>
      <c r="H18" s="124" t="s">
        <v>118</v>
      </c>
      <c r="I18" s="125" t="s">
        <v>126</v>
      </c>
      <c r="J18" s="126">
        <v>46363.0</v>
      </c>
      <c r="K18" s="126">
        <v>46416.0</v>
      </c>
      <c r="L18" s="126"/>
      <c r="M18" s="126"/>
      <c r="N18" s="127">
        <f>IF(OR(ISBLANK(J18),ISBLANK(K18)),"",NETWORKDAYS(J18,K18,'휴일'!$A$2:$A$13))</f>
        <v>38</v>
      </c>
      <c r="O18" s="128" t="str">
        <f>IF(OR(ISBLANK(L18),ISBLANK(M18)),"",IF(NETWORKDAYS(L18,M18,'휴일'!$A$2:$A$13)&lt;0,"",NETWORKDAYS(L18,M18,'휴일'!$A$2:$A$13)))</f>
        <v/>
      </c>
      <c r="P18" s="127" t="str">
        <f>IFERROR(IF(K18&gt;=$K$1,IF(NETWORKDAYS(J18,$K$1,'휴일'!$A$2:$A$13)&gt;0,NETWORKDAYS(J18,$K$1,'휴일'!$A$2:$A$13),""),NETWORKDAYS(J18,K18,'휴일'!$A$2:$A$13)),"")</f>
        <v/>
      </c>
      <c r="Q18" s="128">
        <f>IF(IFERROR(IF(M18&gt;=$K$1,IF(NETWORKDAYS(L18,$K$1,'휴일'!$A$2:$A$13)&gt;0,NETWORKDAYS(L18,$K$1,'휴일'!$A$2:$A$13),""),NETWORKDAYS(L18,M18,'휴일'!$A$2:$A$13)),"")&lt;0,"",IFERROR(IF(M18&gt;=$K$1,IF(NETWORKDAYS(L18,$K$1,'휴일'!$A$2:$A$13)&gt;0,NETWORKDAYS(L18,$K$1,'휴일'!$A$2:$A$13),""),NETWORKDAYS(L18,M18,'휴일'!$A$2:$A$13)),""))</f>
        <v>0</v>
      </c>
      <c r="R18" s="138">
        <f t="shared" ref="R18:S18" si="29">IFERROR(P18/N18,0)</f>
        <v>0</v>
      </c>
      <c r="S18" s="139">
        <f t="shared" si="29"/>
        <v>0</v>
      </c>
      <c r="T18" s="140">
        <f t="shared" si="6"/>
        <v>0</v>
      </c>
      <c r="U18" s="141">
        <f t="shared" si="27"/>
        <v>0</v>
      </c>
      <c r="V18" s="135" t="str">
        <f t="shared" ref="V18:BB18" si="30">IF(ISNUMBER(SEARCH("★M", $I18)), IF(AND(IF($M18&lt;&gt;"", $M18, $K18) &gt;= V$2, IF($M18&lt;&gt;"", $M18, $K18) &lt; W$2), MID($I18, SEARCH("★M", $I18)+1, 2), ""), IF(AND($S18&gt;=1, IF($M18&lt;&gt;"", $M18, $K18) &gt;= V$2, IF($M18&lt;&gt;"", $M18, $K18) &lt; W$2), "완료", ""))</f>
        <v/>
      </c>
      <c r="W18" s="135" t="str">
        <f t="shared" si="30"/>
        <v/>
      </c>
      <c r="X18" s="135" t="str">
        <f t="shared" si="30"/>
        <v/>
      </c>
      <c r="Y18" s="135" t="str">
        <f t="shared" si="30"/>
        <v/>
      </c>
      <c r="Z18" s="135" t="str">
        <f t="shared" si="30"/>
        <v/>
      </c>
      <c r="AA18" s="135" t="str">
        <f t="shared" si="30"/>
        <v/>
      </c>
      <c r="AB18" s="135" t="str">
        <f t="shared" si="30"/>
        <v/>
      </c>
      <c r="AC18" s="135" t="str">
        <f t="shared" si="30"/>
        <v/>
      </c>
      <c r="AD18" s="142" t="str">
        <f t="shared" si="30"/>
        <v/>
      </c>
      <c r="AE18" s="142" t="str">
        <f t="shared" si="30"/>
        <v/>
      </c>
      <c r="AF18" s="142" t="str">
        <f t="shared" si="30"/>
        <v/>
      </c>
      <c r="AG18" s="142" t="str">
        <f t="shared" si="30"/>
        <v/>
      </c>
      <c r="AH18" s="142" t="str">
        <f t="shared" si="30"/>
        <v/>
      </c>
      <c r="AI18" s="142" t="str">
        <f t="shared" si="30"/>
        <v/>
      </c>
      <c r="AJ18" s="142" t="str">
        <f t="shared" si="30"/>
        <v/>
      </c>
      <c r="AK18" s="145" t="str">
        <f t="shared" si="30"/>
        <v>M2</v>
      </c>
      <c r="AL18" s="135" t="str">
        <f t="shared" si="30"/>
        <v/>
      </c>
      <c r="AM18" s="135" t="str">
        <f t="shared" si="30"/>
        <v/>
      </c>
      <c r="AN18" s="135" t="str">
        <f t="shared" si="30"/>
        <v/>
      </c>
      <c r="AO18" s="135" t="str">
        <f t="shared" si="30"/>
        <v/>
      </c>
      <c r="AP18" s="135" t="str">
        <f t="shared" si="30"/>
        <v/>
      </c>
      <c r="AQ18" s="135" t="str">
        <f t="shared" si="30"/>
        <v/>
      </c>
      <c r="AR18" s="135" t="str">
        <f t="shared" si="30"/>
        <v/>
      </c>
      <c r="AS18" s="135" t="str">
        <f t="shared" si="30"/>
        <v/>
      </c>
      <c r="AT18" s="135" t="str">
        <f t="shared" si="30"/>
        <v/>
      </c>
      <c r="AU18" s="135" t="str">
        <f t="shared" si="30"/>
        <v/>
      </c>
      <c r="AV18" s="135" t="str">
        <f t="shared" si="30"/>
        <v/>
      </c>
      <c r="AW18" s="135" t="str">
        <f t="shared" si="30"/>
        <v/>
      </c>
      <c r="AX18" s="135" t="str">
        <f t="shared" si="30"/>
        <v/>
      </c>
      <c r="AY18" s="135" t="str">
        <f t="shared" si="30"/>
        <v/>
      </c>
      <c r="AZ18" s="135" t="str">
        <f t="shared" si="30"/>
        <v/>
      </c>
      <c r="BA18" s="135" t="str">
        <f t="shared" si="30"/>
        <v/>
      </c>
      <c r="BB18" s="136" t="str">
        <f t="shared" si="30"/>
        <v/>
      </c>
      <c r="BC18" s="137"/>
    </row>
    <row r="19" ht="19.5" customHeight="1">
      <c r="A19" s="146"/>
      <c r="B19" s="144"/>
      <c r="C19" s="120"/>
      <c r="D19" s="121"/>
      <c r="E19" s="122"/>
      <c r="F19" s="123" t="s">
        <v>127</v>
      </c>
      <c r="G19" s="104"/>
      <c r="H19" s="124" t="s">
        <v>111</v>
      </c>
      <c r="I19" s="125" t="s">
        <v>128</v>
      </c>
      <c r="J19" s="126">
        <v>46377.0</v>
      </c>
      <c r="K19" s="126">
        <v>46416.0</v>
      </c>
      <c r="L19" s="126"/>
      <c r="M19" s="126"/>
      <c r="N19" s="127">
        <f>IF(OR(ISBLANK(J19),ISBLANK(K19)),"",NETWORKDAYS(J19,K19,'휴일'!$A$2:$A$13))</f>
        <v>28</v>
      </c>
      <c r="O19" s="128" t="str">
        <f>IF(OR(ISBLANK(L19),ISBLANK(M19)),"",IF(NETWORKDAYS(L19,M19,'휴일'!$A$2:$A$13)&lt;0,"",NETWORKDAYS(L19,M19,'휴일'!$A$2:$A$13)))</f>
        <v/>
      </c>
      <c r="P19" s="127" t="str">
        <f>IFERROR(IF(K19&gt;=$K$1,IF(NETWORKDAYS(J19,$K$1,'휴일'!$A$2:$A$13)&gt;0,NETWORKDAYS(J19,$K$1,'휴일'!$A$2:$A$13),""),NETWORKDAYS(J19,K19,'휴일'!$A$2:$A$13)),"")</f>
        <v/>
      </c>
      <c r="Q19" s="128">
        <f>IF(IFERROR(IF(M19&gt;=$K$1,IF(NETWORKDAYS(L19,$K$1,'휴일'!$A$2:$A$13)&gt;0,NETWORKDAYS(L19,$K$1,'휴일'!$A$2:$A$13),""),NETWORKDAYS(L19,M19,'휴일'!$A$2:$A$13)),"")&lt;0,"",IFERROR(IF(M19&gt;=$K$1,IF(NETWORKDAYS(L19,$K$1,'휴일'!$A$2:$A$13)&gt;0,NETWORKDAYS(L19,$K$1,'휴일'!$A$2:$A$13),""),NETWORKDAYS(L19,M19,'휴일'!$A$2:$A$13)),""))</f>
        <v>0</v>
      </c>
      <c r="R19" s="138">
        <f t="shared" ref="R19:S19" si="31">IFERROR(P19/N19,0)</f>
        <v>0</v>
      </c>
      <c r="S19" s="139">
        <f t="shared" si="31"/>
        <v>0</v>
      </c>
      <c r="T19" s="140">
        <f t="shared" si="6"/>
        <v>0</v>
      </c>
      <c r="U19" s="141">
        <f t="shared" si="27"/>
        <v>0</v>
      </c>
      <c r="V19" s="135" t="str">
        <f t="shared" ref="V19:BB19" si="32">IF(ISNUMBER(SEARCH("★M", $I19)), IF(AND(IF($M19&lt;&gt;"", $M19, $K19) &gt;= V$2, IF($M19&lt;&gt;"", $M19, $K19) &lt; W$2), MID($I19, SEARCH("★M", $I19)+1, 2), ""), IF(AND($S19&gt;=1, IF($M19&lt;&gt;"", $M19, $K19) &gt;= V$2, IF($M19&lt;&gt;"", $M19, $K19) &lt; W$2), "완료", ""))</f>
        <v/>
      </c>
      <c r="W19" s="147" t="str">
        <f t="shared" si="32"/>
        <v/>
      </c>
      <c r="X19" s="147" t="str">
        <f t="shared" si="32"/>
        <v/>
      </c>
      <c r="Y19" s="147" t="str">
        <f t="shared" si="32"/>
        <v/>
      </c>
      <c r="Z19" s="147" t="str">
        <f t="shared" si="32"/>
        <v/>
      </c>
      <c r="AA19" s="147" t="str">
        <f t="shared" si="32"/>
        <v/>
      </c>
      <c r="AB19" s="147" t="str">
        <f t="shared" si="32"/>
        <v/>
      </c>
      <c r="AC19" s="147" t="str">
        <f t="shared" si="32"/>
        <v/>
      </c>
      <c r="AD19" s="147" t="str">
        <f t="shared" si="32"/>
        <v/>
      </c>
      <c r="AE19" s="147" t="str">
        <f t="shared" si="32"/>
        <v/>
      </c>
      <c r="AF19" s="142" t="str">
        <f t="shared" si="32"/>
        <v/>
      </c>
      <c r="AG19" s="142" t="str">
        <f t="shared" si="32"/>
        <v/>
      </c>
      <c r="AH19" s="142" t="str">
        <f t="shared" si="32"/>
        <v/>
      </c>
      <c r="AI19" s="142" t="str">
        <f t="shared" si="32"/>
        <v/>
      </c>
      <c r="AJ19" s="142" t="str">
        <f t="shared" si="32"/>
        <v/>
      </c>
      <c r="AK19" s="142" t="str">
        <f t="shared" si="32"/>
        <v/>
      </c>
      <c r="AL19" s="147" t="str">
        <f t="shared" si="32"/>
        <v/>
      </c>
      <c r="AM19" s="147" t="str">
        <f t="shared" si="32"/>
        <v/>
      </c>
      <c r="AN19" s="147" t="str">
        <f t="shared" si="32"/>
        <v/>
      </c>
      <c r="AO19" s="147" t="str">
        <f t="shared" si="32"/>
        <v/>
      </c>
      <c r="AP19" s="147" t="str">
        <f t="shared" si="32"/>
        <v/>
      </c>
      <c r="AQ19" s="147" t="str">
        <f t="shared" si="32"/>
        <v/>
      </c>
      <c r="AR19" s="147" t="str">
        <f t="shared" si="32"/>
        <v/>
      </c>
      <c r="AS19" s="147" t="str">
        <f t="shared" si="32"/>
        <v/>
      </c>
      <c r="AT19" s="147" t="str">
        <f t="shared" si="32"/>
        <v/>
      </c>
      <c r="AU19" s="147" t="str">
        <f t="shared" si="32"/>
        <v/>
      </c>
      <c r="AV19" s="147" t="str">
        <f t="shared" si="32"/>
        <v/>
      </c>
      <c r="AW19" s="147" t="str">
        <f t="shared" si="32"/>
        <v/>
      </c>
      <c r="AX19" s="147" t="str">
        <f t="shared" si="32"/>
        <v/>
      </c>
      <c r="AY19" s="147" t="str">
        <f t="shared" si="32"/>
        <v/>
      </c>
      <c r="AZ19" s="147" t="str">
        <f t="shared" si="32"/>
        <v/>
      </c>
      <c r="BA19" s="147" t="str">
        <f t="shared" si="32"/>
        <v/>
      </c>
      <c r="BB19" s="148" t="str">
        <f t="shared" si="32"/>
        <v/>
      </c>
      <c r="BC19" s="149"/>
    </row>
    <row r="20" ht="19.5" customHeight="1">
      <c r="A20" s="118"/>
      <c r="B20" s="144"/>
      <c r="C20" s="120"/>
      <c r="D20" s="121"/>
      <c r="E20" s="122" t="s">
        <v>129</v>
      </c>
      <c r="F20" s="123" t="s">
        <v>130</v>
      </c>
      <c r="G20" s="104"/>
      <c r="H20" s="124" t="s">
        <v>103</v>
      </c>
      <c r="I20" s="125" t="s">
        <v>131</v>
      </c>
      <c r="J20" s="126">
        <v>46384.0</v>
      </c>
      <c r="K20" s="126">
        <v>46430.0</v>
      </c>
      <c r="L20" s="126"/>
      <c r="M20" s="126"/>
      <c r="N20" s="127">
        <f>IF(OR(ISBLANK(J20),ISBLANK(K20)),"",NETWORKDAYS(J20,K20,'휴일'!$A$2:$A$13))</f>
        <v>32</v>
      </c>
      <c r="O20" s="128" t="str">
        <f>IF(OR(ISBLANK(L20),ISBLANK(M20)),"",IF(NETWORKDAYS(L20,M20,'휴일'!$A$2:$A$13)&lt;0,"",NETWORKDAYS(L20,M20,'휴일'!$A$2:$A$13)))</f>
        <v/>
      </c>
      <c r="P20" s="127" t="str">
        <f>IFERROR(IF(K20&gt;=$K$1,IF(NETWORKDAYS(J20,$K$1,'휴일'!$A$2:$A$13)&gt;0,NETWORKDAYS(J20,$K$1,'휴일'!$A$2:$A$13),""),NETWORKDAYS(J20,K20,'휴일'!$A$2:$A$13)),"")</f>
        <v/>
      </c>
      <c r="Q20" s="128">
        <f>IF(IFERROR(IF(M20&gt;=$K$1,IF(NETWORKDAYS(L20,$K$1,'휴일'!$A$2:$A$13)&gt;0,NETWORKDAYS(L20,$K$1,'휴일'!$A$2:$A$13),""),NETWORKDAYS(L20,M20,'휴일'!$A$2:$A$13)),"")&lt;0,"",IFERROR(IF(M20&gt;=$K$1,IF(NETWORKDAYS(L20,$K$1,'휴일'!$A$2:$A$13)&gt;0,NETWORKDAYS(L20,$K$1,'휴일'!$A$2:$A$13),""),NETWORKDAYS(L20,M20,'휴일'!$A$2:$A$13)),""))</f>
        <v>0</v>
      </c>
      <c r="R20" s="138">
        <f t="shared" ref="R20:S20" si="33">IFERROR(P20/N20,0)</f>
        <v>0</v>
      </c>
      <c r="S20" s="139">
        <f t="shared" si="33"/>
        <v>0</v>
      </c>
      <c r="T20" s="140">
        <f t="shared" si="6"/>
        <v>0</v>
      </c>
      <c r="U20" s="141">
        <f t="shared" si="27"/>
        <v>0</v>
      </c>
      <c r="V20" s="135" t="str">
        <f t="shared" ref="V20:BB20" si="34">IF(ISNUMBER(SEARCH("★M", $I20)), IF(AND(IF($M20&lt;&gt;"", $M20, $K20) &gt;= V$2, IF($M20&lt;&gt;"", $M20, $K20) &lt; W$2), MID($I20, SEARCH("★M", $I20)+1, 2), ""), IF(AND($S20&gt;=1, IF($M20&lt;&gt;"", $M20, $K20) &gt;= V$2, IF($M20&lt;&gt;"", $M20, $K20) &lt; W$2), "완료", ""))</f>
        <v/>
      </c>
      <c r="W20" s="135" t="str">
        <f t="shared" si="34"/>
        <v/>
      </c>
      <c r="X20" s="135" t="str">
        <f t="shared" si="34"/>
        <v/>
      </c>
      <c r="Y20" s="135" t="str">
        <f t="shared" si="34"/>
        <v/>
      </c>
      <c r="Z20" s="135" t="str">
        <f t="shared" si="34"/>
        <v/>
      </c>
      <c r="AA20" s="135" t="str">
        <f t="shared" si="34"/>
        <v/>
      </c>
      <c r="AB20" s="135" t="str">
        <f t="shared" si="34"/>
        <v/>
      </c>
      <c r="AC20" s="135" t="str">
        <f t="shared" si="34"/>
        <v/>
      </c>
      <c r="AD20" s="135" t="str">
        <f t="shared" si="34"/>
        <v/>
      </c>
      <c r="AE20" s="135" t="str">
        <f t="shared" si="34"/>
        <v/>
      </c>
      <c r="AF20" s="135" t="str">
        <f t="shared" si="34"/>
        <v/>
      </c>
      <c r="AG20" s="142" t="str">
        <f t="shared" si="34"/>
        <v/>
      </c>
      <c r="AH20" s="142" t="str">
        <f t="shared" si="34"/>
        <v/>
      </c>
      <c r="AI20" s="142" t="str">
        <f t="shared" si="34"/>
        <v/>
      </c>
      <c r="AJ20" s="142" t="str">
        <f t="shared" si="34"/>
        <v/>
      </c>
      <c r="AK20" s="142" t="str">
        <f t="shared" si="34"/>
        <v/>
      </c>
      <c r="AL20" s="142" t="str">
        <f t="shared" si="34"/>
        <v/>
      </c>
      <c r="AM20" s="142" t="str">
        <f t="shared" si="34"/>
        <v/>
      </c>
      <c r="AN20" s="135" t="str">
        <f t="shared" si="34"/>
        <v/>
      </c>
      <c r="AO20" s="135" t="str">
        <f t="shared" si="34"/>
        <v/>
      </c>
      <c r="AP20" s="135" t="str">
        <f t="shared" si="34"/>
        <v/>
      </c>
      <c r="AQ20" s="135" t="str">
        <f t="shared" si="34"/>
        <v/>
      </c>
      <c r="AR20" s="135" t="str">
        <f t="shared" si="34"/>
        <v/>
      </c>
      <c r="AS20" s="135" t="str">
        <f t="shared" si="34"/>
        <v/>
      </c>
      <c r="AT20" s="135" t="str">
        <f t="shared" si="34"/>
        <v/>
      </c>
      <c r="AU20" s="135" t="str">
        <f t="shared" si="34"/>
        <v/>
      </c>
      <c r="AV20" s="135" t="str">
        <f t="shared" si="34"/>
        <v/>
      </c>
      <c r="AW20" s="135" t="str">
        <f t="shared" si="34"/>
        <v/>
      </c>
      <c r="AX20" s="135" t="str">
        <f t="shared" si="34"/>
        <v/>
      </c>
      <c r="AY20" s="135" t="str">
        <f t="shared" si="34"/>
        <v/>
      </c>
      <c r="AZ20" s="135" t="str">
        <f t="shared" si="34"/>
        <v/>
      </c>
      <c r="BA20" s="135" t="str">
        <f t="shared" si="34"/>
        <v/>
      </c>
      <c r="BB20" s="136" t="str">
        <f t="shared" si="34"/>
        <v/>
      </c>
      <c r="BC20" s="137"/>
    </row>
    <row r="21" ht="19.5" customHeight="1">
      <c r="A21" s="118"/>
      <c r="B21" s="144"/>
      <c r="C21" s="120"/>
      <c r="D21" s="121"/>
      <c r="E21" s="122"/>
      <c r="F21" s="123" t="s">
        <v>132</v>
      </c>
      <c r="G21" s="104"/>
      <c r="H21" s="124" t="s">
        <v>103</v>
      </c>
      <c r="I21" s="125" t="s">
        <v>133</v>
      </c>
      <c r="J21" s="126">
        <v>46398.0</v>
      </c>
      <c r="K21" s="126">
        <v>46437.0</v>
      </c>
      <c r="L21" s="126"/>
      <c r="M21" s="126"/>
      <c r="N21" s="127">
        <f>IF(OR(ISBLANK(J21),ISBLANK(K21)),"",NETWORKDAYS(J21,K21,'휴일'!$A$2:$A$13))</f>
        <v>28</v>
      </c>
      <c r="O21" s="128" t="str">
        <f>IF(OR(ISBLANK(L21),ISBLANK(M21)),"",IF(NETWORKDAYS(L21,M21,'휴일'!$A$2:$A$13)&lt;0,"",NETWORKDAYS(L21,M21,'휴일'!$A$2:$A$13)))</f>
        <v/>
      </c>
      <c r="P21" s="127" t="str">
        <f>IFERROR(IF(K21&gt;=$K$1,IF(NETWORKDAYS(J21,$K$1,'휴일'!$A$2:$A$13)&gt;0,NETWORKDAYS(J21,$K$1,'휴일'!$A$2:$A$13),""),NETWORKDAYS(J21,K21,'휴일'!$A$2:$A$13)),"")</f>
        <v/>
      </c>
      <c r="Q21" s="128">
        <f>IF(IFERROR(IF(M21&gt;=$K$1,IF(NETWORKDAYS(L21,$K$1,'휴일'!$A$2:$A$13)&gt;0,NETWORKDAYS(L21,$K$1,'휴일'!$A$2:$A$13),""),NETWORKDAYS(L21,M21,'휴일'!$A$2:$A$13)),"")&lt;0,"",IFERROR(IF(M21&gt;=$K$1,IF(NETWORKDAYS(L21,$K$1,'휴일'!$A$2:$A$13)&gt;0,NETWORKDAYS(L21,$K$1,'휴일'!$A$2:$A$13),""),NETWORKDAYS(L21,M21,'휴일'!$A$2:$A$13)),""))</f>
        <v>0</v>
      </c>
      <c r="R21" s="138">
        <f t="shared" ref="R21:S21" si="35">IFERROR(P21/N21,0)</f>
        <v>0</v>
      </c>
      <c r="S21" s="139">
        <f t="shared" si="35"/>
        <v>0</v>
      </c>
      <c r="T21" s="140">
        <f t="shared" si="6"/>
        <v>0</v>
      </c>
      <c r="U21" s="141">
        <f t="shared" si="27"/>
        <v>0</v>
      </c>
      <c r="V21" s="135" t="str">
        <f t="shared" ref="V21:BB21" si="36">IF(ISNUMBER(SEARCH("★M", $I21)), IF(AND(IF($M21&lt;&gt;"", $M21, $K21) &gt;= V$2, IF($M21&lt;&gt;"", $M21, $K21) &lt; W$2), MID($I21, SEARCH("★M", $I21)+1, 2), ""), IF(AND($S21&gt;=1, IF($M21&lt;&gt;"", $M21, $K21) &gt;= V$2, IF($M21&lt;&gt;"", $M21, $K21) &lt; W$2), "완료", ""))</f>
        <v/>
      </c>
      <c r="W21" s="135" t="str">
        <f t="shared" si="36"/>
        <v/>
      </c>
      <c r="X21" s="135" t="str">
        <f t="shared" si="36"/>
        <v/>
      </c>
      <c r="Y21" s="135" t="str">
        <f t="shared" si="36"/>
        <v/>
      </c>
      <c r="Z21" s="135" t="str">
        <f t="shared" si="36"/>
        <v/>
      </c>
      <c r="AA21" s="135" t="str">
        <f t="shared" si="36"/>
        <v/>
      </c>
      <c r="AB21" s="135" t="str">
        <f t="shared" si="36"/>
        <v/>
      </c>
      <c r="AC21" s="135" t="str">
        <f t="shared" si="36"/>
        <v/>
      </c>
      <c r="AD21" s="135" t="str">
        <f t="shared" si="36"/>
        <v/>
      </c>
      <c r="AE21" s="135" t="str">
        <f t="shared" si="36"/>
        <v/>
      </c>
      <c r="AF21" s="135" t="str">
        <f t="shared" si="36"/>
        <v/>
      </c>
      <c r="AG21" s="135" t="str">
        <f t="shared" si="36"/>
        <v/>
      </c>
      <c r="AH21" s="135" t="str">
        <f t="shared" si="36"/>
        <v/>
      </c>
      <c r="AI21" s="142" t="str">
        <f t="shared" si="36"/>
        <v/>
      </c>
      <c r="AJ21" s="142" t="str">
        <f t="shared" si="36"/>
        <v/>
      </c>
      <c r="AK21" s="142" t="str">
        <f t="shared" si="36"/>
        <v/>
      </c>
      <c r="AL21" s="142" t="str">
        <f t="shared" si="36"/>
        <v/>
      </c>
      <c r="AM21" s="142" t="str">
        <f t="shared" si="36"/>
        <v/>
      </c>
      <c r="AN21" s="142" t="str">
        <f t="shared" si="36"/>
        <v/>
      </c>
      <c r="AO21" s="135" t="str">
        <f t="shared" si="36"/>
        <v/>
      </c>
      <c r="AP21" s="135" t="str">
        <f t="shared" si="36"/>
        <v/>
      </c>
      <c r="AQ21" s="135" t="str">
        <f t="shared" si="36"/>
        <v/>
      </c>
      <c r="AR21" s="135" t="str">
        <f t="shared" si="36"/>
        <v/>
      </c>
      <c r="AS21" s="135" t="str">
        <f t="shared" si="36"/>
        <v/>
      </c>
      <c r="AT21" s="135" t="str">
        <f t="shared" si="36"/>
        <v/>
      </c>
      <c r="AU21" s="135" t="str">
        <f t="shared" si="36"/>
        <v/>
      </c>
      <c r="AV21" s="135" t="str">
        <f t="shared" si="36"/>
        <v/>
      </c>
      <c r="AW21" s="135" t="str">
        <f t="shared" si="36"/>
        <v/>
      </c>
      <c r="AX21" s="135" t="str">
        <f t="shared" si="36"/>
        <v/>
      </c>
      <c r="AY21" s="135" t="str">
        <f t="shared" si="36"/>
        <v/>
      </c>
      <c r="AZ21" s="135" t="str">
        <f t="shared" si="36"/>
        <v/>
      </c>
      <c r="BA21" s="135" t="str">
        <f t="shared" si="36"/>
        <v/>
      </c>
      <c r="BB21" s="136" t="str">
        <f t="shared" si="36"/>
        <v/>
      </c>
      <c r="BC21" s="137"/>
    </row>
    <row r="22" ht="19.5" customHeight="1">
      <c r="A22" s="118"/>
      <c r="B22" s="144"/>
      <c r="C22" s="120"/>
      <c r="D22" s="121"/>
      <c r="E22" s="122"/>
      <c r="F22" s="123" t="s">
        <v>134</v>
      </c>
      <c r="G22" s="104"/>
      <c r="H22" s="124" t="s">
        <v>135</v>
      </c>
      <c r="I22" s="125" t="s">
        <v>136</v>
      </c>
      <c r="J22" s="126">
        <v>46412.0</v>
      </c>
      <c r="K22" s="126">
        <v>46444.0</v>
      </c>
      <c r="L22" s="126"/>
      <c r="M22" s="126"/>
      <c r="N22" s="127">
        <f>IF(OR(ISBLANK(J22),ISBLANK(K22)),"",NETWORKDAYS(J22,K22,'휴일'!$A$2:$A$13))</f>
        <v>23</v>
      </c>
      <c r="O22" s="128" t="str">
        <f>IF(OR(ISBLANK(L22),ISBLANK(M22)),"",IF(NETWORKDAYS(L22,M22,'휴일'!$A$2:$A$13)&lt;0,"",NETWORKDAYS(L22,M22,'휴일'!$A$2:$A$13)))</f>
        <v/>
      </c>
      <c r="P22" s="127" t="str">
        <f>IFERROR(IF(K22&gt;=$K$1,IF(NETWORKDAYS(J22,$K$1,'휴일'!$A$2:$A$13)&gt;0,NETWORKDAYS(J22,$K$1,'휴일'!$A$2:$A$13),""),NETWORKDAYS(J22,K22,'휴일'!$A$2:$A$13)),"")</f>
        <v/>
      </c>
      <c r="Q22" s="128">
        <f>IF(IFERROR(IF(M22&gt;=$K$1,IF(NETWORKDAYS(L22,$K$1,'휴일'!$A$2:$A$13)&gt;0,NETWORKDAYS(L22,$K$1,'휴일'!$A$2:$A$13),""),NETWORKDAYS(L22,M22,'휴일'!$A$2:$A$13)),"")&lt;0,"",IFERROR(IF(M22&gt;=$K$1,IF(NETWORKDAYS(L22,$K$1,'휴일'!$A$2:$A$13)&gt;0,NETWORKDAYS(L22,$K$1,'휴일'!$A$2:$A$13),""),NETWORKDAYS(L22,M22,'휴일'!$A$2:$A$13)),""))</f>
        <v>0</v>
      </c>
      <c r="R22" s="138">
        <f t="shared" ref="R22:S22" si="37">IFERROR(P22/N22,0)</f>
        <v>0</v>
      </c>
      <c r="S22" s="139">
        <f t="shared" si="37"/>
        <v>0</v>
      </c>
      <c r="T22" s="140">
        <f t="shared" si="6"/>
        <v>0</v>
      </c>
      <c r="U22" s="141">
        <f t="shared" si="27"/>
        <v>0</v>
      </c>
      <c r="V22" s="135" t="str">
        <f t="shared" ref="V22:BB22" si="38">IF(ISNUMBER(SEARCH("★M", $I22)), IF(AND(IF($M22&lt;&gt;"", $M22, $K22) &gt;= V$2, IF($M22&lt;&gt;"", $M22, $K22) &lt; W$2), MID($I22, SEARCH("★M", $I22)+1, 2), ""), IF(AND($S22&gt;=1, IF($M22&lt;&gt;"", $M22, $K22) &gt;= V$2, IF($M22&lt;&gt;"", $M22, $K22) &lt; W$2), "완료", ""))</f>
        <v/>
      </c>
      <c r="W22" s="135" t="str">
        <f t="shared" si="38"/>
        <v/>
      </c>
      <c r="X22" s="135" t="str">
        <f t="shared" si="38"/>
        <v/>
      </c>
      <c r="Y22" s="135" t="str">
        <f t="shared" si="38"/>
        <v/>
      </c>
      <c r="Z22" s="135" t="str">
        <f t="shared" si="38"/>
        <v/>
      </c>
      <c r="AA22" s="135" t="str">
        <f t="shared" si="38"/>
        <v/>
      </c>
      <c r="AB22" s="135" t="str">
        <f t="shared" si="38"/>
        <v/>
      </c>
      <c r="AC22" s="135" t="str">
        <f t="shared" si="38"/>
        <v/>
      </c>
      <c r="AD22" s="135" t="str">
        <f t="shared" si="38"/>
        <v/>
      </c>
      <c r="AE22" s="135" t="str">
        <f t="shared" si="38"/>
        <v/>
      </c>
      <c r="AF22" s="135" t="str">
        <f t="shared" si="38"/>
        <v/>
      </c>
      <c r="AG22" s="135" t="str">
        <f t="shared" si="38"/>
        <v/>
      </c>
      <c r="AH22" s="135" t="str">
        <f t="shared" si="38"/>
        <v/>
      </c>
      <c r="AI22" s="135" t="str">
        <f t="shared" si="38"/>
        <v/>
      </c>
      <c r="AJ22" s="135" t="str">
        <f t="shared" si="38"/>
        <v/>
      </c>
      <c r="AK22" s="142" t="str">
        <f t="shared" si="38"/>
        <v/>
      </c>
      <c r="AL22" s="142" t="str">
        <f t="shared" si="38"/>
        <v/>
      </c>
      <c r="AM22" s="142" t="str">
        <f t="shared" si="38"/>
        <v/>
      </c>
      <c r="AN22" s="142" t="str">
        <f t="shared" si="38"/>
        <v/>
      </c>
      <c r="AO22" s="142" t="str">
        <f t="shared" si="38"/>
        <v/>
      </c>
      <c r="AP22" s="135" t="str">
        <f t="shared" si="38"/>
        <v/>
      </c>
      <c r="AQ22" s="135" t="str">
        <f t="shared" si="38"/>
        <v/>
      </c>
      <c r="AR22" s="135" t="str">
        <f t="shared" si="38"/>
        <v/>
      </c>
      <c r="AS22" s="135" t="str">
        <f t="shared" si="38"/>
        <v/>
      </c>
      <c r="AT22" s="135" t="str">
        <f t="shared" si="38"/>
        <v/>
      </c>
      <c r="AU22" s="135" t="str">
        <f t="shared" si="38"/>
        <v/>
      </c>
      <c r="AV22" s="135" t="str">
        <f t="shared" si="38"/>
        <v/>
      </c>
      <c r="AW22" s="135" t="str">
        <f t="shared" si="38"/>
        <v/>
      </c>
      <c r="AX22" s="135" t="str">
        <f t="shared" si="38"/>
        <v/>
      </c>
      <c r="AY22" s="135" t="str">
        <f t="shared" si="38"/>
        <v/>
      </c>
      <c r="AZ22" s="135" t="str">
        <f t="shared" si="38"/>
        <v/>
      </c>
      <c r="BA22" s="135" t="str">
        <f t="shared" si="38"/>
        <v/>
      </c>
      <c r="BB22" s="136" t="str">
        <f t="shared" si="38"/>
        <v/>
      </c>
      <c r="BC22" s="137"/>
    </row>
    <row r="23" ht="19.5" customHeight="1">
      <c r="A23" s="118"/>
      <c r="B23" s="144"/>
      <c r="C23" s="120"/>
      <c r="D23" s="121"/>
      <c r="E23" s="122" t="s">
        <v>137</v>
      </c>
      <c r="F23" s="123" t="s">
        <v>138</v>
      </c>
      <c r="G23" s="104"/>
      <c r="H23" s="124" t="s">
        <v>135</v>
      </c>
      <c r="I23" s="125" t="s">
        <v>139</v>
      </c>
      <c r="J23" s="126">
        <v>46391.0</v>
      </c>
      <c r="K23" s="126">
        <v>46423.0</v>
      </c>
      <c r="L23" s="126"/>
      <c r="M23" s="126"/>
      <c r="N23" s="127">
        <f>IF(OR(ISBLANK(J23),ISBLANK(K23)),"",NETWORKDAYS(J23,K23,'휴일'!$A$2:$A$13))</f>
        <v>25</v>
      </c>
      <c r="O23" s="128" t="str">
        <f>IF(OR(ISBLANK(L23),ISBLANK(M23)),"",IF(NETWORKDAYS(L23,M23,'휴일'!$A$2:$A$13)&lt;0,"",NETWORKDAYS(L23,M23,'휴일'!$A$2:$A$13)))</f>
        <v/>
      </c>
      <c r="P23" s="127" t="str">
        <f>IFERROR(IF(K23&gt;=$K$1,IF(NETWORKDAYS(J23,$K$1,'휴일'!$A$2:$A$13)&gt;0,NETWORKDAYS(J23,$K$1,'휴일'!$A$2:$A$13),""),NETWORKDAYS(J23,K23,'휴일'!$A$2:$A$13)),"")</f>
        <v/>
      </c>
      <c r="Q23" s="128">
        <f>IF(IFERROR(IF(M23&gt;=$K$1,IF(NETWORKDAYS(L23,$K$1,'휴일'!$A$2:$A$13)&gt;0,NETWORKDAYS(L23,$K$1,'휴일'!$A$2:$A$13),""),NETWORKDAYS(L23,M23,'휴일'!$A$2:$A$13)),"")&lt;0,"",IFERROR(IF(M23&gt;=$K$1,IF(NETWORKDAYS(L23,$K$1,'휴일'!$A$2:$A$13)&gt;0,NETWORKDAYS(L23,$K$1,'휴일'!$A$2:$A$13),""),NETWORKDAYS(L23,M23,'휴일'!$A$2:$A$13)),""))</f>
        <v>0</v>
      </c>
      <c r="R23" s="138">
        <f t="shared" ref="R23:S23" si="39">IFERROR(P23/N23,0)</f>
        <v>0</v>
      </c>
      <c r="S23" s="139">
        <f t="shared" si="39"/>
        <v>0</v>
      </c>
      <c r="T23" s="140">
        <f t="shared" si="6"/>
        <v>0</v>
      </c>
      <c r="U23" s="141">
        <f t="shared" si="27"/>
        <v>0</v>
      </c>
      <c r="V23" s="135" t="str">
        <f t="shared" ref="V23:BB23" si="40">IF(ISNUMBER(SEARCH("★M", $I23)), IF(AND(IF($M23&lt;&gt;"", $M23, $K23) &gt;= V$2, IF($M23&lt;&gt;"", $M23, $K23) &lt; W$2), MID($I23, SEARCH("★M", $I23)+1, 2), ""), IF(AND($S23&gt;=1, IF($M23&lt;&gt;"", $M23, $K23) &gt;= V$2, IF($M23&lt;&gt;"", $M23, $K23) &lt; W$2), "완료", ""))</f>
        <v/>
      </c>
      <c r="W23" s="135" t="str">
        <f t="shared" si="40"/>
        <v/>
      </c>
      <c r="X23" s="135" t="str">
        <f t="shared" si="40"/>
        <v/>
      </c>
      <c r="Y23" s="135" t="str">
        <f t="shared" si="40"/>
        <v/>
      </c>
      <c r="Z23" s="135" t="str">
        <f t="shared" si="40"/>
        <v/>
      </c>
      <c r="AA23" s="135" t="str">
        <f t="shared" si="40"/>
        <v/>
      </c>
      <c r="AB23" s="135" t="str">
        <f t="shared" si="40"/>
        <v/>
      </c>
      <c r="AC23" s="135" t="str">
        <f t="shared" si="40"/>
        <v/>
      </c>
      <c r="AD23" s="135" t="str">
        <f t="shared" si="40"/>
        <v/>
      </c>
      <c r="AE23" s="135" t="str">
        <f t="shared" si="40"/>
        <v/>
      </c>
      <c r="AF23" s="135" t="str">
        <f t="shared" si="40"/>
        <v/>
      </c>
      <c r="AG23" s="135" t="str">
        <f t="shared" si="40"/>
        <v/>
      </c>
      <c r="AH23" s="142" t="str">
        <f t="shared" si="40"/>
        <v/>
      </c>
      <c r="AI23" s="142" t="str">
        <f t="shared" si="40"/>
        <v/>
      </c>
      <c r="AJ23" s="142" t="str">
        <f t="shared" si="40"/>
        <v/>
      </c>
      <c r="AK23" s="142" t="str">
        <f t="shared" si="40"/>
        <v/>
      </c>
      <c r="AL23" s="142" t="str">
        <f t="shared" si="40"/>
        <v/>
      </c>
      <c r="AM23" s="135" t="str">
        <f t="shared" si="40"/>
        <v/>
      </c>
      <c r="AN23" s="135" t="str">
        <f t="shared" si="40"/>
        <v/>
      </c>
      <c r="AO23" s="135" t="str">
        <f t="shared" si="40"/>
        <v/>
      </c>
      <c r="AP23" s="135" t="str">
        <f t="shared" si="40"/>
        <v/>
      </c>
      <c r="AQ23" s="135" t="str">
        <f t="shared" si="40"/>
        <v/>
      </c>
      <c r="AR23" s="135" t="str">
        <f t="shared" si="40"/>
        <v/>
      </c>
      <c r="AS23" s="135" t="str">
        <f t="shared" si="40"/>
        <v/>
      </c>
      <c r="AT23" s="135" t="str">
        <f t="shared" si="40"/>
        <v/>
      </c>
      <c r="AU23" s="135" t="str">
        <f t="shared" si="40"/>
        <v/>
      </c>
      <c r="AV23" s="135" t="str">
        <f t="shared" si="40"/>
        <v/>
      </c>
      <c r="AW23" s="135" t="str">
        <f t="shared" si="40"/>
        <v/>
      </c>
      <c r="AX23" s="135" t="str">
        <f t="shared" si="40"/>
        <v/>
      </c>
      <c r="AY23" s="135" t="str">
        <f t="shared" si="40"/>
        <v/>
      </c>
      <c r="AZ23" s="135" t="str">
        <f t="shared" si="40"/>
        <v/>
      </c>
      <c r="BA23" s="135" t="str">
        <f t="shared" si="40"/>
        <v/>
      </c>
      <c r="BB23" s="136" t="str">
        <f t="shared" si="40"/>
        <v/>
      </c>
      <c r="BC23" s="137"/>
    </row>
    <row r="24" ht="19.5" customHeight="1">
      <c r="A24" s="118"/>
      <c r="B24" s="144"/>
      <c r="C24" s="120"/>
      <c r="D24" s="121"/>
      <c r="E24" s="122"/>
      <c r="F24" s="123" t="s">
        <v>140</v>
      </c>
      <c r="G24" s="104"/>
      <c r="H24" s="124" t="s">
        <v>135</v>
      </c>
      <c r="I24" s="125" t="s">
        <v>141</v>
      </c>
      <c r="J24" s="126">
        <v>46398.0</v>
      </c>
      <c r="K24" s="126">
        <v>46444.0</v>
      </c>
      <c r="L24" s="126"/>
      <c r="M24" s="126"/>
      <c r="N24" s="127">
        <f>IF(OR(ISBLANK(J24),ISBLANK(K24)),"",NETWORKDAYS(J24,K24,'휴일'!$A$2:$A$13))</f>
        <v>33</v>
      </c>
      <c r="O24" s="128" t="str">
        <f>IF(OR(ISBLANK(L24),ISBLANK(M24)),"",IF(NETWORKDAYS(L24,M24,'휴일'!$A$2:$A$13)&lt;0,"",NETWORKDAYS(L24,M24,'휴일'!$A$2:$A$13)))</f>
        <v/>
      </c>
      <c r="P24" s="127" t="str">
        <f>IFERROR(IF(K24&gt;=$K$1,IF(NETWORKDAYS(J24,$K$1,'휴일'!$A$2:$A$13)&gt;0,NETWORKDAYS(J24,$K$1,'휴일'!$A$2:$A$13),""),NETWORKDAYS(J24,K24,'휴일'!$A$2:$A$13)),"")</f>
        <v/>
      </c>
      <c r="Q24" s="128">
        <f>IF(IFERROR(IF(M24&gt;=$K$1,IF(NETWORKDAYS(L24,$K$1,'휴일'!$A$2:$A$13)&gt;0,NETWORKDAYS(L24,$K$1,'휴일'!$A$2:$A$13),""),NETWORKDAYS(L24,M24,'휴일'!$A$2:$A$13)),"")&lt;0,"",IFERROR(IF(M24&gt;=$K$1,IF(NETWORKDAYS(L24,$K$1,'휴일'!$A$2:$A$13)&gt;0,NETWORKDAYS(L24,$K$1,'휴일'!$A$2:$A$13),""),NETWORKDAYS(L24,M24,'휴일'!$A$2:$A$13)),""))</f>
        <v>0</v>
      </c>
      <c r="R24" s="138">
        <f t="shared" ref="R24:S24" si="41">IFERROR(P24/N24,0)</f>
        <v>0</v>
      </c>
      <c r="S24" s="139">
        <f t="shared" si="41"/>
        <v>0</v>
      </c>
      <c r="T24" s="140">
        <f t="shared" si="6"/>
        <v>0</v>
      </c>
      <c r="U24" s="141">
        <f t="shared" si="27"/>
        <v>0</v>
      </c>
      <c r="V24" s="135" t="str">
        <f t="shared" ref="V24:BB24" si="42">IF(ISNUMBER(SEARCH("★M", $I24)), IF(AND(IF($M24&lt;&gt;"", $M24, $K24) &gt;= V$2, IF($M24&lt;&gt;"", $M24, $K24) &lt; W$2), MID($I24, SEARCH("★M", $I24)+1, 2), ""), IF(AND($S24&gt;=1, IF($M24&lt;&gt;"", $M24, $K24) &gt;= V$2, IF($M24&lt;&gt;"", $M24, $K24) &lt; W$2), "완료", ""))</f>
        <v/>
      </c>
      <c r="W24" s="135" t="str">
        <f t="shared" si="42"/>
        <v/>
      </c>
      <c r="X24" s="135" t="str">
        <f t="shared" si="42"/>
        <v/>
      </c>
      <c r="Y24" s="135" t="str">
        <f t="shared" si="42"/>
        <v/>
      </c>
      <c r="Z24" s="135" t="str">
        <f t="shared" si="42"/>
        <v/>
      </c>
      <c r="AA24" s="135" t="str">
        <f t="shared" si="42"/>
        <v/>
      </c>
      <c r="AB24" s="135" t="str">
        <f t="shared" si="42"/>
        <v/>
      </c>
      <c r="AC24" s="135" t="str">
        <f t="shared" si="42"/>
        <v/>
      </c>
      <c r="AD24" s="135" t="str">
        <f t="shared" si="42"/>
        <v/>
      </c>
      <c r="AE24" s="135" t="str">
        <f t="shared" si="42"/>
        <v/>
      </c>
      <c r="AF24" s="135" t="str">
        <f t="shared" si="42"/>
        <v/>
      </c>
      <c r="AG24" s="135" t="str">
        <f t="shared" si="42"/>
        <v/>
      </c>
      <c r="AH24" s="135" t="str">
        <f t="shared" si="42"/>
        <v/>
      </c>
      <c r="AI24" s="142" t="str">
        <f t="shared" si="42"/>
        <v/>
      </c>
      <c r="AJ24" s="142" t="str">
        <f t="shared" si="42"/>
        <v/>
      </c>
      <c r="AK24" s="142" t="str">
        <f t="shared" si="42"/>
        <v/>
      </c>
      <c r="AL24" s="142" t="str">
        <f t="shared" si="42"/>
        <v/>
      </c>
      <c r="AM24" s="142" t="str">
        <f t="shared" si="42"/>
        <v/>
      </c>
      <c r="AN24" s="142" t="str">
        <f t="shared" si="42"/>
        <v/>
      </c>
      <c r="AO24" s="145" t="str">
        <f t="shared" si="42"/>
        <v>M4</v>
      </c>
      <c r="AP24" s="135" t="str">
        <f t="shared" si="42"/>
        <v/>
      </c>
      <c r="AQ24" s="135" t="str">
        <f t="shared" si="42"/>
        <v/>
      </c>
      <c r="AR24" s="135" t="str">
        <f t="shared" si="42"/>
        <v/>
      </c>
      <c r="AS24" s="135" t="str">
        <f t="shared" si="42"/>
        <v/>
      </c>
      <c r="AT24" s="135" t="str">
        <f t="shared" si="42"/>
        <v/>
      </c>
      <c r="AU24" s="135" t="str">
        <f t="shared" si="42"/>
        <v/>
      </c>
      <c r="AV24" s="135" t="str">
        <f t="shared" si="42"/>
        <v/>
      </c>
      <c r="AW24" s="135" t="str">
        <f t="shared" si="42"/>
        <v/>
      </c>
      <c r="AX24" s="135" t="str">
        <f t="shared" si="42"/>
        <v/>
      </c>
      <c r="AY24" s="135" t="str">
        <f t="shared" si="42"/>
        <v/>
      </c>
      <c r="AZ24" s="135" t="str">
        <f t="shared" si="42"/>
        <v/>
      </c>
      <c r="BA24" s="135" t="str">
        <f t="shared" si="42"/>
        <v/>
      </c>
      <c r="BB24" s="136" t="str">
        <f t="shared" si="42"/>
        <v/>
      </c>
      <c r="BC24" s="137"/>
    </row>
    <row r="25" ht="19.5" customHeight="1">
      <c r="A25" s="118"/>
      <c r="B25" s="144"/>
      <c r="C25" s="120"/>
      <c r="D25" s="121"/>
      <c r="E25" s="122"/>
      <c r="F25" s="123" t="s">
        <v>142</v>
      </c>
      <c r="G25" s="104"/>
      <c r="H25" s="124" t="s">
        <v>143</v>
      </c>
      <c r="I25" s="125" t="s">
        <v>144</v>
      </c>
      <c r="J25" s="126">
        <v>46405.0</v>
      </c>
      <c r="K25" s="126">
        <v>46444.0</v>
      </c>
      <c r="L25" s="126"/>
      <c r="M25" s="126"/>
      <c r="N25" s="127">
        <f>IF(OR(ISBLANK(J25),ISBLANK(K25)),"",NETWORKDAYS(J25,K25,'휴일'!$A$2:$A$13))</f>
        <v>28</v>
      </c>
      <c r="O25" s="128" t="str">
        <f>IF(OR(ISBLANK(L25),ISBLANK(M25)),"",IF(NETWORKDAYS(L25,M25,'휴일'!$A$2:$A$13)&lt;0,"",NETWORKDAYS(L25,M25,'휴일'!$A$2:$A$13)))</f>
        <v/>
      </c>
      <c r="P25" s="127" t="str">
        <f>IFERROR(IF(K25&gt;=$K$1,IF(NETWORKDAYS(J25,$K$1,'휴일'!$A$2:$A$13)&gt;0,NETWORKDAYS(J25,$K$1,'휴일'!$A$2:$A$13),""),NETWORKDAYS(J25,K25,'휴일'!$A$2:$A$13)),"")</f>
        <v/>
      </c>
      <c r="Q25" s="128">
        <f>IF(IFERROR(IF(M25&gt;=$K$1,IF(NETWORKDAYS(L25,$K$1,'휴일'!$A$2:$A$13)&gt;0,NETWORKDAYS(L25,$K$1,'휴일'!$A$2:$A$13),""),NETWORKDAYS(L25,M25,'휴일'!$A$2:$A$13)),"")&lt;0,"",IFERROR(IF(M25&gt;=$K$1,IF(NETWORKDAYS(L25,$K$1,'휴일'!$A$2:$A$13)&gt;0,NETWORKDAYS(L25,$K$1,'휴일'!$A$2:$A$13),""),NETWORKDAYS(L25,M25,'휴일'!$A$2:$A$13)),""))</f>
        <v>0</v>
      </c>
      <c r="R25" s="138">
        <f t="shared" ref="R25:S25" si="43">IFERROR(P25/N25,0)</f>
        <v>0</v>
      </c>
      <c r="S25" s="139">
        <f t="shared" si="43"/>
        <v>0</v>
      </c>
      <c r="T25" s="140">
        <f t="shared" si="6"/>
        <v>0</v>
      </c>
      <c r="U25" s="141">
        <f t="shared" si="27"/>
        <v>0</v>
      </c>
      <c r="V25" s="135" t="str">
        <f t="shared" ref="V25:BB25" si="44">IF(ISNUMBER(SEARCH("★M", $I25)), IF(AND(IF($M25&lt;&gt;"", $M25, $K25) &gt;= V$2, IF($M25&lt;&gt;"", $M25, $K25) &lt; W$2), MID($I25, SEARCH("★M", $I25)+1, 2), ""), IF(AND($S25&gt;=1, IF($M25&lt;&gt;"", $M25, $K25) &gt;= V$2, IF($M25&lt;&gt;"", $M25, $K25) &lt; W$2), "완료", ""))</f>
        <v/>
      </c>
      <c r="W25" s="135" t="str">
        <f t="shared" si="44"/>
        <v/>
      </c>
      <c r="X25" s="135" t="str">
        <f t="shared" si="44"/>
        <v/>
      </c>
      <c r="Y25" s="135" t="str">
        <f t="shared" si="44"/>
        <v/>
      </c>
      <c r="Z25" s="135" t="str">
        <f t="shared" si="44"/>
        <v/>
      </c>
      <c r="AA25" s="135" t="str">
        <f t="shared" si="44"/>
        <v/>
      </c>
      <c r="AB25" s="135" t="str">
        <f t="shared" si="44"/>
        <v/>
      </c>
      <c r="AC25" s="135" t="str">
        <f t="shared" si="44"/>
        <v/>
      </c>
      <c r="AD25" s="135" t="str">
        <f t="shared" si="44"/>
        <v/>
      </c>
      <c r="AE25" s="135" t="str">
        <f t="shared" si="44"/>
        <v/>
      </c>
      <c r="AF25" s="135" t="str">
        <f t="shared" si="44"/>
        <v/>
      </c>
      <c r="AG25" s="135" t="str">
        <f t="shared" si="44"/>
        <v/>
      </c>
      <c r="AH25" s="135" t="str">
        <f t="shared" si="44"/>
        <v/>
      </c>
      <c r="AI25" s="135" t="str">
        <f t="shared" si="44"/>
        <v/>
      </c>
      <c r="AJ25" s="142" t="str">
        <f t="shared" si="44"/>
        <v/>
      </c>
      <c r="AK25" s="142" t="str">
        <f t="shared" si="44"/>
        <v/>
      </c>
      <c r="AL25" s="142" t="str">
        <f t="shared" si="44"/>
        <v/>
      </c>
      <c r="AM25" s="142" t="str">
        <f t="shared" si="44"/>
        <v/>
      </c>
      <c r="AN25" s="142" t="str">
        <f t="shared" si="44"/>
        <v/>
      </c>
      <c r="AO25" s="142" t="str">
        <f t="shared" si="44"/>
        <v/>
      </c>
      <c r="AP25" s="135" t="str">
        <f t="shared" si="44"/>
        <v/>
      </c>
      <c r="AQ25" s="135" t="str">
        <f t="shared" si="44"/>
        <v/>
      </c>
      <c r="AR25" s="135" t="str">
        <f t="shared" si="44"/>
        <v/>
      </c>
      <c r="AS25" s="135" t="str">
        <f t="shared" si="44"/>
        <v/>
      </c>
      <c r="AT25" s="135" t="str">
        <f t="shared" si="44"/>
        <v/>
      </c>
      <c r="AU25" s="135" t="str">
        <f t="shared" si="44"/>
        <v/>
      </c>
      <c r="AV25" s="135" t="str">
        <f t="shared" si="44"/>
        <v/>
      </c>
      <c r="AW25" s="135" t="str">
        <f t="shared" si="44"/>
        <v/>
      </c>
      <c r="AX25" s="135" t="str">
        <f t="shared" si="44"/>
        <v/>
      </c>
      <c r="AY25" s="135" t="str">
        <f t="shared" si="44"/>
        <v/>
      </c>
      <c r="AZ25" s="135" t="str">
        <f t="shared" si="44"/>
        <v/>
      </c>
      <c r="BA25" s="135" t="str">
        <f t="shared" si="44"/>
        <v/>
      </c>
      <c r="BB25" s="136" t="str">
        <f t="shared" si="44"/>
        <v/>
      </c>
      <c r="BC25" s="137"/>
    </row>
    <row r="26" ht="19.5" customHeight="1">
      <c r="A26" s="118"/>
      <c r="B26" s="144"/>
      <c r="C26" s="120"/>
      <c r="D26" s="121"/>
      <c r="E26" s="122" t="s">
        <v>145</v>
      </c>
      <c r="F26" s="123" t="s">
        <v>146</v>
      </c>
      <c r="G26" s="104"/>
      <c r="H26" s="124" t="s">
        <v>147</v>
      </c>
      <c r="I26" s="125" t="s">
        <v>148</v>
      </c>
      <c r="J26" s="126">
        <v>46349.0</v>
      </c>
      <c r="K26" s="126">
        <v>46387.0</v>
      </c>
      <c r="L26" s="126"/>
      <c r="M26" s="126"/>
      <c r="N26" s="127">
        <f>IF(OR(ISBLANK(J26),ISBLANK(K26)),"",NETWORKDAYS(J26,K26,'휴일'!$A$2:$A$13))</f>
        <v>28</v>
      </c>
      <c r="O26" s="128" t="str">
        <f>IF(OR(ISBLANK(L26),ISBLANK(M26)),"",IF(NETWORKDAYS(L26,M26,'휴일'!$A$2:$A$13)&lt;0,"",NETWORKDAYS(L26,M26,'휴일'!$A$2:$A$13)))</f>
        <v/>
      </c>
      <c r="P26" s="127" t="str">
        <f>IFERROR(IF(K26&gt;=$K$1,IF(NETWORKDAYS(J26,$K$1,'휴일'!$A$2:$A$13)&gt;0,NETWORKDAYS(J26,$K$1,'휴일'!$A$2:$A$13),""),NETWORKDAYS(J26,K26,'휴일'!$A$2:$A$13)),"")</f>
        <v/>
      </c>
      <c r="Q26" s="128">
        <f>IF(IFERROR(IF(M26&gt;=$K$1,IF(NETWORKDAYS(L26,$K$1,'휴일'!$A$2:$A$13)&gt;0,NETWORKDAYS(L26,$K$1,'휴일'!$A$2:$A$13),""),NETWORKDAYS(L26,M26,'휴일'!$A$2:$A$13)),"")&lt;0,"",IFERROR(IF(M26&gt;=$K$1,IF(NETWORKDAYS(L26,$K$1,'휴일'!$A$2:$A$13)&gt;0,NETWORKDAYS(L26,$K$1,'휴일'!$A$2:$A$13),""),NETWORKDAYS(L26,M26,'휴일'!$A$2:$A$13)),""))</f>
        <v>0</v>
      </c>
      <c r="R26" s="138">
        <f t="shared" ref="R26:S26" si="45">IFERROR(P26/N26,0)</f>
        <v>0</v>
      </c>
      <c r="S26" s="139">
        <f t="shared" si="45"/>
        <v>0</v>
      </c>
      <c r="T26" s="140">
        <f t="shared" si="6"/>
        <v>0</v>
      </c>
      <c r="U26" s="141">
        <f t="shared" si="27"/>
        <v>0</v>
      </c>
      <c r="V26" s="135" t="str">
        <f t="shared" ref="V26:BB26" si="46">IF(ISNUMBER(SEARCH("★M", $I26)), IF(AND(IF($M26&lt;&gt;"", $M26, $K26) &gt;= V$2, IF($M26&lt;&gt;"", $M26, $K26) &lt; W$2), MID($I26, SEARCH("★M", $I26)+1, 2), ""), IF(AND($S26&gt;=1, IF($M26&lt;&gt;"", $M26, $K26) &gt;= V$2, IF($M26&lt;&gt;"", $M26, $K26) &lt; W$2), "완료", ""))</f>
        <v/>
      </c>
      <c r="W26" s="135" t="str">
        <f t="shared" si="46"/>
        <v/>
      </c>
      <c r="X26" s="135" t="str">
        <f t="shared" si="46"/>
        <v/>
      </c>
      <c r="Y26" s="135" t="str">
        <f t="shared" si="46"/>
        <v/>
      </c>
      <c r="Z26" s="135" t="str">
        <f t="shared" si="46"/>
        <v/>
      </c>
      <c r="AA26" s="135" t="str">
        <f t="shared" si="46"/>
        <v/>
      </c>
      <c r="AB26" s="142" t="str">
        <f t="shared" si="46"/>
        <v/>
      </c>
      <c r="AC26" s="142" t="str">
        <f t="shared" si="46"/>
        <v/>
      </c>
      <c r="AD26" s="142" t="str">
        <f t="shared" si="46"/>
        <v/>
      </c>
      <c r="AE26" s="142" t="str">
        <f t="shared" si="46"/>
        <v/>
      </c>
      <c r="AF26" s="142" t="str">
        <f t="shared" si="46"/>
        <v/>
      </c>
      <c r="AG26" s="142" t="str">
        <f t="shared" si="46"/>
        <v/>
      </c>
      <c r="AH26" s="135" t="str">
        <f t="shared" si="46"/>
        <v/>
      </c>
      <c r="AI26" s="135" t="str">
        <f t="shared" si="46"/>
        <v/>
      </c>
      <c r="AJ26" s="135" t="str">
        <f t="shared" si="46"/>
        <v/>
      </c>
      <c r="AK26" s="135" t="str">
        <f t="shared" si="46"/>
        <v/>
      </c>
      <c r="AL26" s="135" t="str">
        <f t="shared" si="46"/>
        <v/>
      </c>
      <c r="AM26" s="135" t="str">
        <f t="shared" si="46"/>
        <v/>
      </c>
      <c r="AN26" s="135" t="str">
        <f t="shared" si="46"/>
        <v/>
      </c>
      <c r="AO26" s="135" t="str">
        <f t="shared" si="46"/>
        <v/>
      </c>
      <c r="AP26" s="135" t="str">
        <f t="shared" si="46"/>
        <v/>
      </c>
      <c r="AQ26" s="135" t="str">
        <f t="shared" si="46"/>
        <v/>
      </c>
      <c r="AR26" s="135" t="str">
        <f t="shared" si="46"/>
        <v/>
      </c>
      <c r="AS26" s="135" t="str">
        <f t="shared" si="46"/>
        <v/>
      </c>
      <c r="AT26" s="135" t="str">
        <f t="shared" si="46"/>
        <v/>
      </c>
      <c r="AU26" s="135" t="str">
        <f t="shared" si="46"/>
        <v/>
      </c>
      <c r="AV26" s="135" t="str">
        <f t="shared" si="46"/>
        <v/>
      </c>
      <c r="AW26" s="135" t="str">
        <f t="shared" si="46"/>
        <v/>
      </c>
      <c r="AX26" s="135" t="str">
        <f t="shared" si="46"/>
        <v/>
      </c>
      <c r="AY26" s="135" t="str">
        <f t="shared" si="46"/>
        <v/>
      </c>
      <c r="AZ26" s="135" t="str">
        <f t="shared" si="46"/>
        <v/>
      </c>
      <c r="BA26" s="135" t="str">
        <f t="shared" si="46"/>
        <v/>
      </c>
      <c r="BB26" s="136" t="str">
        <f t="shared" si="46"/>
        <v/>
      </c>
      <c r="BC26" s="137"/>
    </row>
    <row r="27" ht="19.5" customHeight="1">
      <c r="A27" s="118"/>
      <c r="B27" s="144"/>
      <c r="C27" s="120"/>
      <c r="D27" s="121"/>
      <c r="E27" s="122"/>
      <c r="F27" s="123" t="s">
        <v>149</v>
      </c>
      <c r="G27" s="104"/>
      <c r="H27" s="124" t="s">
        <v>147</v>
      </c>
      <c r="I27" s="125" t="s">
        <v>150</v>
      </c>
      <c r="J27" s="126">
        <v>46370.0</v>
      </c>
      <c r="K27" s="126">
        <v>46416.0</v>
      </c>
      <c r="L27" s="126"/>
      <c r="M27" s="126"/>
      <c r="N27" s="127">
        <f>IF(OR(ISBLANK(J27),ISBLANK(K27)),"",NETWORKDAYS(J27,K27,'휴일'!$A$2:$A$13))</f>
        <v>33</v>
      </c>
      <c r="O27" s="128" t="str">
        <f>IF(OR(ISBLANK(L27),ISBLANK(M27)),"",IF(NETWORKDAYS(L27,M27,'휴일'!$A$2:$A$13)&lt;0,"",NETWORKDAYS(L27,M27,'휴일'!$A$2:$A$13)))</f>
        <v/>
      </c>
      <c r="P27" s="127" t="str">
        <f>IFERROR(IF(K27&gt;=$K$1,IF(NETWORKDAYS(J27,$K$1,'휴일'!$A$2:$A$13)&gt;0,NETWORKDAYS(J27,$K$1,'휴일'!$A$2:$A$13),""),NETWORKDAYS(J27,K27,'휴일'!$A$2:$A$13)),"")</f>
        <v/>
      </c>
      <c r="Q27" s="128">
        <f>IF(IFERROR(IF(M27&gt;=$K$1,IF(NETWORKDAYS(L27,$K$1,'휴일'!$A$2:$A$13)&gt;0,NETWORKDAYS(L27,$K$1,'휴일'!$A$2:$A$13),""),NETWORKDAYS(L27,M27,'휴일'!$A$2:$A$13)),"")&lt;0,"",IFERROR(IF(M27&gt;=$K$1,IF(NETWORKDAYS(L27,$K$1,'휴일'!$A$2:$A$13)&gt;0,NETWORKDAYS(L27,$K$1,'휴일'!$A$2:$A$13),""),NETWORKDAYS(L27,M27,'휴일'!$A$2:$A$13)),""))</f>
        <v>0</v>
      </c>
      <c r="R27" s="138">
        <f t="shared" ref="R27:S27" si="47">IFERROR(P27/N27,0)</f>
        <v>0</v>
      </c>
      <c r="S27" s="139">
        <f t="shared" si="47"/>
        <v>0</v>
      </c>
      <c r="T27" s="140">
        <f t="shared" si="6"/>
        <v>0</v>
      </c>
      <c r="U27" s="141">
        <f t="shared" si="27"/>
        <v>0</v>
      </c>
      <c r="V27" s="135" t="str">
        <f t="shared" ref="V27:BB27" si="48">IF(ISNUMBER(SEARCH("★M", $I27)), IF(AND(IF($M27&lt;&gt;"", $M27, $K27) &gt;= V$2, IF($M27&lt;&gt;"", $M27, $K27) &lt; W$2), MID($I27, SEARCH("★M", $I27)+1, 2), ""), IF(AND($S27&gt;=1, IF($M27&lt;&gt;"", $M27, $K27) &gt;= V$2, IF($M27&lt;&gt;"", $M27, $K27) &lt; W$2), "완료", ""))</f>
        <v/>
      </c>
      <c r="W27" s="135" t="str">
        <f t="shared" si="48"/>
        <v/>
      </c>
      <c r="X27" s="135" t="str">
        <f t="shared" si="48"/>
        <v/>
      </c>
      <c r="Y27" s="135" t="str">
        <f t="shared" si="48"/>
        <v/>
      </c>
      <c r="Z27" s="135" t="str">
        <f t="shared" si="48"/>
        <v/>
      </c>
      <c r="AA27" s="135" t="str">
        <f t="shared" si="48"/>
        <v/>
      </c>
      <c r="AB27" s="135" t="str">
        <f t="shared" si="48"/>
        <v/>
      </c>
      <c r="AC27" s="135" t="str">
        <f t="shared" si="48"/>
        <v/>
      </c>
      <c r="AD27" s="135" t="str">
        <f t="shared" si="48"/>
        <v/>
      </c>
      <c r="AE27" s="142" t="str">
        <f t="shared" si="48"/>
        <v/>
      </c>
      <c r="AF27" s="142" t="str">
        <f t="shared" si="48"/>
        <v/>
      </c>
      <c r="AG27" s="142" t="str">
        <f t="shared" si="48"/>
        <v/>
      </c>
      <c r="AH27" s="142" t="str">
        <f t="shared" si="48"/>
        <v/>
      </c>
      <c r="AI27" s="142" t="str">
        <f t="shared" si="48"/>
        <v/>
      </c>
      <c r="AJ27" s="142" t="str">
        <f t="shared" si="48"/>
        <v/>
      </c>
      <c r="AK27" s="145" t="str">
        <f t="shared" si="48"/>
        <v>M3</v>
      </c>
      <c r="AL27" s="135" t="str">
        <f t="shared" si="48"/>
        <v/>
      </c>
      <c r="AM27" s="135" t="str">
        <f t="shared" si="48"/>
        <v/>
      </c>
      <c r="AN27" s="135" t="str">
        <f t="shared" si="48"/>
        <v/>
      </c>
      <c r="AO27" s="135" t="str">
        <f t="shared" si="48"/>
        <v/>
      </c>
      <c r="AP27" s="135" t="str">
        <f t="shared" si="48"/>
        <v/>
      </c>
      <c r="AQ27" s="135" t="str">
        <f t="shared" si="48"/>
        <v/>
      </c>
      <c r="AR27" s="135" t="str">
        <f t="shared" si="48"/>
        <v/>
      </c>
      <c r="AS27" s="135" t="str">
        <f t="shared" si="48"/>
        <v/>
      </c>
      <c r="AT27" s="135" t="str">
        <f t="shared" si="48"/>
        <v/>
      </c>
      <c r="AU27" s="135" t="str">
        <f t="shared" si="48"/>
        <v/>
      </c>
      <c r="AV27" s="135" t="str">
        <f t="shared" si="48"/>
        <v/>
      </c>
      <c r="AW27" s="135" t="str">
        <f t="shared" si="48"/>
        <v/>
      </c>
      <c r="AX27" s="135" t="str">
        <f t="shared" si="48"/>
        <v/>
      </c>
      <c r="AY27" s="135" t="str">
        <f t="shared" si="48"/>
        <v/>
      </c>
      <c r="AZ27" s="135" t="str">
        <f t="shared" si="48"/>
        <v/>
      </c>
      <c r="BA27" s="135" t="str">
        <f t="shared" si="48"/>
        <v/>
      </c>
      <c r="BB27" s="136" t="str">
        <f t="shared" si="48"/>
        <v/>
      </c>
      <c r="BC27" s="137"/>
    </row>
    <row r="28" ht="19.5" customHeight="1">
      <c r="A28" s="118"/>
      <c r="B28" s="144">
        <v>4.0</v>
      </c>
      <c r="C28" s="120">
        <v>0.2</v>
      </c>
      <c r="D28" s="121" t="s">
        <v>151</v>
      </c>
      <c r="E28" s="122" t="s">
        <v>152</v>
      </c>
      <c r="F28" s="123" t="s">
        <v>153</v>
      </c>
      <c r="G28" s="104"/>
      <c r="H28" s="124" t="s">
        <v>154</v>
      </c>
      <c r="I28" s="125" t="s">
        <v>155</v>
      </c>
      <c r="J28" s="126">
        <v>46447.0</v>
      </c>
      <c r="K28" s="126">
        <v>46493.0</v>
      </c>
      <c r="L28" s="126"/>
      <c r="M28" s="126"/>
      <c r="N28" s="127">
        <f>IF(OR(ISBLANK(J28),ISBLANK(K28)),"",NETWORKDAYS(J28,K28,'휴일'!$A$2:$A$13))</f>
        <v>34</v>
      </c>
      <c r="O28" s="128" t="str">
        <f>IF(OR(ISBLANK(L28),ISBLANK(M28)),"",IF(NETWORKDAYS(L28,M28,'휴일'!$A$2:$A$13)&lt;0,"",NETWORKDAYS(L28,M28,'휴일'!$A$2:$A$13)))</f>
        <v/>
      </c>
      <c r="P28" s="127" t="str">
        <f>IFERROR(IF(K28&gt;=$K$1,IF(NETWORKDAYS(J28,$K$1,'휴일'!$A$2:$A$13)&gt;0,NETWORKDAYS(J28,$K$1,'휴일'!$A$2:$A$13),""),NETWORKDAYS(J28,K28,'휴일'!$A$2:$A$13)),"")</f>
        <v/>
      </c>
      <c r="Q28" s="128">
        <f>IF(IFERROR(IF(M28&gt;=$K$1,IF(NETWORKDAYS(L28,$K$1,'휴일'!$A$2:$A$13)&gt;0,NETWORKDAYS(L28,$K$1,'휴일'!$A$2:$A$13),""),NETWORKDAYS(L28,M28,'휴일'!$A$2:$A$13)),"")&lt;0,"",IFERROR(IF(M28&gt;=$K$1,IF(NETWORKDAYS(L28,$K$1,'휴일'!$A$2:$A$13)&gt;0,NETWORKDAYS(L28,$K$1,'휴일'!$A$2:$A$13),""),NETWORKDAYS(L28,M28,'휴일'!$A$2:$A$13)),""))</f>
        <v>0</v>
      </c>
      <c r="R28" s="138">
        <f t="shared" ref="R28:S28" si="49">IFERROR(P28/N28,0)</f>
        <v>0</v>
      </c>
      <c r="S28" s="139">
        <f t="shared" si="49"/>
        <v>0</v>
      </c>
      <c r="T28" s="140">
        <f t="shared" si="6"/>
        <v>0</v>
      </c>
      <c r="U28" s="141">
        <f t="shared" si="27"/>
        <v>0</v>
      </c>
      <c r="V28" s="135" t="str">
        <f t="shared" ref="V28:BB28" si="50">IF(ISNUMBER(SEARCH("★M", $I28)), IF(AND(IF($M28&lt;&gt;"", $M28, $K28) &gt;= V$2, IF($M28&lt;&gt;"", $M28, $K28) &lt; W$2), MID($I28, SEARCH("★M", $I28)+1, 2), ""), IF(AND($S28&gt;=1, IF($M28&lt;&gt;"", $M28, $K28) &gt;= V$2, IF($M28&lt;&gt;"", $M28, $K28) &lt; W$2), "완료", ""))</f>
        <v/>
      </c>
      <c r="W28" s="135" t="str">
        <f t="shared" si="50"/>
        <v/>
      </c>
      <c r="X28" s="135" t="str">
        <f t="shared" si="50"/>
        <v/>
      </c>
      <c r="Y28" s="135" t="str">
        <f t="shared" si="50"/>
        <v/>
      </c>
      <c r="Z28" s="135" t="str">
        <f t="shared" si="50"/>
        <v/>
      </c>
      <c r="AA28" s="135" t="str">
        <f t="shared" si="50"/>
        <v/>
      </c>
      <c r="AB28" s="135" t="str">
        <f t="shared" si="50"/>
        <v/>
      </c>
      <c r="AC28" s="135" t="str">
        <f t="shared" si="50"/>
        <v/>
      </c>
      <c r="AD28" s="135" t="str">
        <f t="shared" si="50"/>
        <v/>
      </c>
      <c r="AE28" s="135" t="str">
        <f t="shared" si="50"/>
        <v/>
      </c>
      <c r="AF28" s="135" t="str">
        <f t="shared" si="50"/>
        <v/>
      </c>
      <c r="AG28" s="135" t="str">
        <f t="shared" si="50"/>
        <v/>
      </c>
      <c r="AH28" s="135" t="str">
        <f t="shared" si="50"/>
        <v/>
      </c>
      <c r="AI28" s="135" t="str">
        <f t="shared" si="50"/>
        <v/>
      </c>
      <c r="AJ28" s="135" t="str">
        <f t="shared" si="50"/>
        <v/>
      </c>
      <c r="AK28" s="135" t="str">
        <f t="shared" si="50"/>
        <v/>
      </c>
      <c r="AL28" s="135" t="str">
        <f t="shared" si="50"/>
        <v/>
      </c>
      <c r="AM28" s="135" t="str">
        <f t="shared" si="50"/>
        <v/>
      </c>
      <c r="AN28" s="135" t="str">
        <f t="shared" si="50"/>
        <v/>
      </c>
      <c r="AO28" s="135" t="str">
        <f t="shared" si="50"/>
        <v/>
      </c>
      <c r="AP28" s="142" t="str">
        <f t="shared" si="50"/>
        <v/>
      </c>
      <c r="AQ28" s="142" t="str">
        <f t="shared" si="50"/>
        <v/>
      </c>
      <c r="AR28" s="142" t="str">
        <f t="shared" si="50"/>
        <v/>
      </c>
      <c r="AS28" s="142" t="str">
        <f t="shared" si="50"/>
        <v/>
      </c>
      <c r="AT28" s="142" t="str">
        <f t="shared" si="50"/>
        <v/>
      </c>
      <c r="AU28" s="142" t="str">
        <f t="shared" si="50"/>
        <v/>
      </c>
      <c r="AV28" s="142" t="str">
        <f t="shared" si="50"/>
        <v/>
      </c>
      <c r="AW28" s="135" t="str">
        <f t="shared" si="50"/>
        <v/>
      </c>
      <c r="AX28" s="135" t="str">
        <f t="shared" si="50"/>
        <v/>
      </c>
      <c r="AY28" s="135" t="str">
        <f t="shared" si="50"/>
        <v/>
      </c>
      <c r="AZ28" s="135" t="str">
        <f t="shared" si="50"/>
        <v/>
      </c>
      <c r="BA28" s="135" t="str">
        <f t="shared" si="50"/>
        <v/>
      </c>
      <c r="BB28" s="136" t="str">
        <f t="shared" si="50"/>
        <v/>
      </c>
      <c r="BC28" s="137"/>
    </row>
    <row r="29" ht="19.5" customHeight="1">
      <c r="A29" s="118"/>
      <c r="B29" s="144"/>
      <c r="C29" s="120"/>
      <c r="D29" s="121"/>
      <c r="E29" s="122"/>
      <c r="F29" s="123" t="s">
        <v>156</v>
      </c>
      <c r="G29" s="104"/>
      <c r="H29" s="124" t="s">
        <v>157</v>
      </c>
      <c r="I29" s="125" t="s">
        <v>158</v>
      </c>
      <c r="J29" s="126">
        <v>46461.0</v>
      </c>
      <c r="K29" s="126">
        <v>46486.0</v>
      </c>
      <c r="L29" s="126"/>
      <c r="M29" s="126"/>
      <c r="N29" s="127">
        <f>IF(OR(ISBLANK(J29),ISBLANK(K29)),"",NETWORKDAYS(J29,K29,'휴일'!$A$2:$A$13))</f>
        <v>20</v>
      </c>
      <c r="O29" s="128" t="str">
        <f>IF(OR(ISBLANK(L29),ISBLANK(M29)),"",IF(NETWORKDAYS(L29,M29,'휴일'!$A$2:$A$13)&lt;0,"",NETWORKDAYS(L29,M29,'휴일'!$A$2:$A$13)))</f>
        <v/>
      </c>
      <c r="P29" s="127" t="str">
        <f>IFERROR(IF(K29&gt;=$K$1,IF(NETWORKDAYS(J29,$K$1,'휴일'!$A$2:$A$13)&gt;0,NETWORKDAYS(J29,$K$1,'휴일'!$A$2:$A$13),""),NETWORKDAYS(J29,K29,'휴일'!$A$2:$A$13)),"")</f>
        <v/>
      </c>
      <c r="Q29" s="128">
        <f>IF(IFERROR(IF(M29&gt;=$K$1,IF(NETWORKDAYS(L29,$K$1,'휴일'!$A$2:$A$13)&gt;0,NETWORKDAYS(L29,$K$1,'휴일'!$A$2:$A$13),""),NETWORKDAYS(L29,M29,'휴일'!$A$2:$A$13)),"")&lt;0,"",IFERROR(IF(M29&gt;=$K$1,IF(NETWORKDAYS(L29,$K$1,'휴일'!$A$2:$A$13)&gt;0,NETWORKDAYS(L29,$K$1,'휴일'!$A$2:$A$13),""),NETWORKDAYS(L29,M29,'휴일'!$A$2:$A$13)),""))</f>
        <v>0</v>
      </c>
      <c r="R29" s="138">
        <f t="shared" ref="R29:S29" si="51">IFERROR(P29/N29,0)</f>
        <v>0</v>
      </c>
      <c r="S29" s="139">
        <f t="shared" si="51"/>
        <v>0</v>
      </c>
      <c r="T29" s="140">
        <f t="shared" si="6"/>
        <v>0</v>
      </c>
      <c r="U29" s="141">
        <f t="shared" si="27"/>
        <v>0</v>
      </c>
      <c r="V29" s="135" t="str">
        <f t="shared" ref="V29:BB29" si="52">IF(ISNUMBER(SEARCH("★M", $I29)), IF(AND(IF($M29&lt;&gt;"", $M29, $K29) &gt;= V$2, IF($M29&lt;&gt;"", $M29, $K29) &lt; W$2), MID($I29, SEARCH("★M", $I29)+1, 2), ""), IF(AND($S29&gt;=1, IF($M29&lt;&gt;"", $M29, $K29) &gt;= V$2, IF($M29&lt;&gt;"", $M29, $K29) &lt; W$2), "완료", ""))</f>
        <v/>
      </c>
      <c r="W29" s="135" t="str">
        <f t="shared" si="52"/>
        <v/>
      </c>
      <c r="X29" s="135" t="str">
        <f t="shared" si="52"/>
        <v/>
      </c>
      <c r="Y29" s="135" t="str">
        <f t="shared" si="52"/>
        <v/>
      </c>
      <c r="Z29" s="135" t="str">
        <f t="shared" si="52"/>
        <v/>
      </c>
      <c r="AA29" s="135" t="str">
        <f t="shared" si="52"/>
        <v/>
      </c>
      <c r="AB29" s="135" t="str">
        <f t="shared" si="52"/>
        <v/>
      </c>
      <c r="AC29" s="135" t="str">
        <f t="shared" si="52"/>
        <v/>
      </c>
      <c r="AD29" s="135" t="str">
        <f t="shared" si="52"/>
        <v/>
      </c>
      <c r="AE29" s="135" t="str">
        <f t="shared" si="52"/>
        <v/>
      </c>
      <c r="AF29" s="135" t="str">
        <f t="shared" si="52"/>
        <v/>
      </c>
      <c r="AG29" s="135" t="str">
        <f t="shared" si="52"/>
        <v/>
      </c>
      <c r="AH29" s="135" t="str">
        <f t="shared" si="52"/>
        <v/>
      </c>
      <c r="AI29" s="135" t="str">
        <f t="shared" si="52"/>
        <v/>
      </c>
      <c r="AJ29" s="135" t="str">
        <f t="shared" si="52"/>
        <v/>
      </c>
      <c r="AK29" s="135" t="str">
        <f t="shared" si="52"/>
        <v/>
      </c>
      <c r="AL29" s="135" t="str">
        <f t="shared" si="52"/>
        <v/>
      </c>
      <c r="AM29" s="135" t="str">
        <f t="shared" si="52"/>
        <v/>
      </c>
      <c r="AN29" s="135" t="str">
        <f t="shared" si="52"/>
        <v/>
      </c>
      <c r="AO29" s="135" t="str">
        <f t="shared" si="52"/>
        <v/>
      </c>
      <c r="AP29" s="135" t="str">
        <f t="shared" si="52"/>
        <v/>
      </c>
      <c r="AQ29" s="135" t="str">
        <f t="shared" si="52"/>
        <v/>
      </c>
      <c r="AR29" s="142" t="str">
        <f t="shared" si="52"/>
        <v/>
      </c>
      <c r="AS29" s="142" t="str">
        <f t="shared" si="52"/>
        <v/>
      </c>
      <c r="AT29" s="142" t="str">
        <f t="shared" si="52"/>
        <v/>
      </c>
      <c r="AU29" s="142" t="str">
        <f t="shared" si="52"/>
        <v/>
      </c>
      <c r="AV29" s="135" t="str">
        <f t="shared" si="52"/>
        <v/>
      </c>
      <c r="AW29" s="135" t="str">
        <f t="shared" si="52"/>
        <v/>
      </c>
      <c r="AX29" s="135" t="str">
        <f t="shared" si="52"/>
        <v/>
      </c>
      <c r="AY29" s="135" t="str">
        <f t="shared" si="52"/>
        <v/>
      </c>
      <c r="AZ29" s="135" t="str">
        <f t="shared" si="52"/>
        <v/>
      </c>
      <c r="BA29" s="135" t="str">
        <f t="shared" si="52"/>
        <v/>
      </c>
      <c r="BB29" s="136" t="str">
        <f t="shared" si="52"/>
        <v/>
      </c>
      <c r="BC29" s="137"/>
    </row>
    <row r="30" ht="19.5" customHeight="1">
      <c r="A30" s="118"/>
      <c r="B30" s="144"/>
      <c r="C30" s="120"/>
      <c r="D30" s="121"/>
      <c r="E30" s="122" t="s">
        <v>159</v>
      </c>
      <c r="F30" s="123" t="s">
        <v>160</v>
      </c>
      <c r="G30" s="104"/>
      <c r="H30" s="124" t="s">
        <v>118</v>
      </c>
      <c r="I30" s="125" t="s">
        <v>161</v>
      </c>
      <c r="J30" s="126">
        <v>46454.0</v>
      </c>
      <c r="K30" s="126">
        <v>46486.0</v>
      </c>
      <c r="L30" s="126"/>
      <c r="M30" s="126"/>
      <c r="N30" s="127">
        <f>IF(OR(ISBLANK(J30),ISBLANK(K30)),"",NETWORKDAYS(J30,K30,'휴일'!$A$2:$A$13))</f>
        <v>25</v>
      </c>
      <c r="O30" s="128" t="str">
        <f>IF(OR(ISBLANK(L30),ISBLANK(M30)),"",IF(NETWORKDAYS(L30,M30,'휴일'!$A$2:$A$13)&lt;0,"",NETWORKDAYS(L30,M30,'휴일'!$A$2:$A$13)))</f>
        <v/>
      </c>
      <c r="P30" s="127" t="str">
        <f>IFERROR(IF(K30&gt;=$K$1,IF(NETWORKDAYS(J30,$K$1,'휴일'!$A$2:$A$13)&gt;0,NETWORKDAYS(J30,$K$1,'휴일'!$A$2:$A$13),""),NETWORKDAYS(J30,K30,'휴일'!$A$2:$A$13)),"")</f>
        <v/>
      </c>
      <c r="Q30" s="128">
        <f>IF(IFERROR(IF(M30&gt;=$K$1,IF(NETWORKDAYS(L30,$K$1,'휴일'!$A$2:$A$13)&gt;0,NETWORKDAYS(L30,$K$1,'휴일'!$A$2:$A$13),""),NETWORKDAYS(L30,M30,'휴일'!$A$2:$A$13)),"")&lt;0,"",IFERROR(IF(M30&gt;=$K$1,IF(NETWORKDAYS(L30,$K$1,'휴일'!$A$2:$A$13)&gt;0,NETWORKDAYS(L30,$K$1,'휴일'!$A$2:$A$13),""),NETWORKDAYS(L30,M30,'휴일'!$A$2:$A$13)),""))</f>
        <v>0</v>
      </c>
      <c r="R30" s="138">
        <f t="shared" ref="R30:S30" si="53">IFERROR(P30/N30,0)</f>
        <v>0</v>
      </c>
      <c r="S30" s="139">
        <f t="shared" si="53"/>
        <v>0</v>
      </c>
      <c r="T30" s="140">
        <f t="shared" si="6"/>
        <v>0</v>
      </c>
      <c r="U30" s="141">
        <f t="shared" si="27"/>
        <v>0</v>
      </c>
      <c r="V30" s="135" t="str">
        <f t="shared" ref="V30:BB30" si="54">IF(ISNUMBER(SEARCH("★M", $I30)), IF(AND(IF($M30&lt;&gt;"", $M30, $K30) &gt;= V$2, IF($M30&lt;&gt;"", $M30, $K30) &lt; W$2), MID($I30, SEARCH("★M", $I30)+1, 2), ""), IF(AND($S30&gt;=1, IF($M30&lt;&gt;"", $M30, $K30) &gt;= V$2, IF($M30&lt;&gt;"", $M30, $K30) &lt; W$2), "완료", ""))</f>
        <v/>
      </c>
      <c r="W30" s="135" t="str">
        <f t="shared" si="54"/>
        <v/>
      </c>
      <c r="X30" s="135" t="str">
        <f t="shared" si="54"/>
        <v/>
      </c>
      <c r="Y30" s="135" t="str">
        <f t="shared" si="54"/>
        <v/>
      </c>
      <c r="Z30" s="135" t="str">
        <f t="shared" si="54"/>
        <v/>
      </c>
      <c r="AA30" s="135" t="str">
        <f t="shared" si="54"/>
        <v/>
      </c>
      <c r="AB30" s="135" t="str">
        <f t="shared" si="54"/>
        <v/>
      </c>
      <c r="AC30" s="135" t="str">
        <f t="shared" si="54"/>
        <v/>
      </c>
      <c r="AD30" s="135" t="str">
        <f t="shared" si="54"/>
        <v/>
      </c>
      <c r="AE30" s="135" t="str">
        <f t="shared" si="54"/>
        <v/>
      </c>
      <c r="AF30" s="135" t="str">
        <f t="shared" si="54"/>
        <v/>
      </c>
      <c r="AG30" s="135" t="str">
        <f t="shared" si="54"/>
        <v/>
      </c>
      <c r="AH30" s="135" t="str">
        <f t="shared" si="54"/>
        <v/>
      </c>
      <c r="AI30" s="135" t="str">
        <f t="shared" si="54"/>
        <v/>
      </c>
      <c r="AJ30" s="135" t="str">
        <f t="shared" si="54"/>
        <v/>
      </c>
      <c r="AK30" s="135" t="str">
        <f t="shared" si="54"/>
        <v/>
      </c>
      <c r="AL30" s="135" t="str">
        <f t="shared" si="54"/>
        <v/>
      </c>
      <c r="AM30" s="135" t="str">
        <f t="shared" si="54"/>
        <v/>
      </c>
      <c r="AN30" s="135" t="str">
        <f t="shared" si="54"/>
        <v/>
      </c>
      <c r="AO30" s="135" t="str">
        <f t="shared" si="54"/>
        <v/>
      </c>
      <c r="AP30" s="135" t="str">
        <f t="shared" si="54"/>
        <v/>
      </c>
      <c r="AQ30" s="142" t="str">
        <f t="shared" si="54"/>
        <v/>
      </c>
      <c r="AR30" s="142" t="str">
        <f t="shared" si="54"/>
        <v/>
      </c>
      <c r="AS30" s="142" t="str">
        <f t="shared" si="54"/>
        <v/>
      </c>
      <c r="AT30" s="142" t="str">
        <f t="shared" si="54"/>
        <v/>
      </c>
      <c r="AU30" s="142" t="str">
        <f t="shared" si="54"/>
        <v/>
      </c>
      <c r="AV30" s="135" t="str">
        <f t="shared" si="54"/>
        <v/>
      </c>
      <c r="AW30" s="135" t="str">
        <f t="shared" si="54"/>
        <v/>
      </c>
      <c r="AX30" s="135" t="str">
        <f t="shared" si="54"/>
        <v/>
      </c>
      <c r="AY30" s="135" t="str">
        <f t="shared" si="54"/>
        <v/>
      </c>
      <c r="AZ30" s="135" t="str">
        <f t="shared" si="54"/>
        <v/>
      </c>
      <c r="BA30" s="135" t="str">
        <f t="shared" si="54"/>
        <v/>
      </c>
      <c r="BB30" s="136" t="str">
        <f t="shared" si="54"/>
        <v/>
      </c>
      <c r="BC30" s="137"/>
    </row>
    <row r="31" ht="19.5" customHeight="1">
      <c r="A31" s="118"/>
      <c r="B31" s="144"/>
      <c r="C31" s="120"/>
      <c r="D31" s="121"/>
      <c r="E31" s="122"/>
      <c r="F31" s="123" t="s">
        <v>162</v>
      </c>
      <c r="G31" s="104"/>
      <c r="H31" s="124" t="s">
        <v>118</v>
      </c>
      <c r="I31" s="125" t="s">
        <v>163</v>
      </c>
      <c r="J31" s="126">
        <v>46468.0</v>
      </c>
      <c r="K31" s="126">
        <v>46500.0</v>
      </c>
      <c r="L31" s="126"/>
      <c r="M31" s="126"/>
      <c r="N31" s="127">
        <f>IF(OR(ISBLANK(J31),ISBLANK(K31)),"",NETWORKDAYS(J31,K31,'휴일'!$A$2:$A$13))</f>
        <v>25</v>
      </c>
      <c r="O31" s="128" t="str">
        <f>IF(OR(ISBLANK(L31),ISBLANK(M31)),"",IF(NETWORKDAYS(L31,M31,'휴일'!$A$2:$A$13)&lt;0,"",NETWORKDAYS(L31,M31,'휴일'!$A$2:$A$13)))</f>
        <v/>
      </c>
      <c r="P31" s="127" t="str">
        <f>IFERROR(IF(K31&gt;=$K$1,IF(NETWORKDAYS(J31,$K$1,'휴일'!$A$2:$A$13)&gt;0,NETWORKDAYS(J31,$K$1,'휴일'!$A$2:$A$13),""),NETWORKDAYS(J31,K31,'휴일'!$A$2:$A$13)),"")</f>
        <v/>
      </c>
      <c r="Q31" s="128">
        <f>IF(IFERROR(IF(M31&gt;=$K$1,IF(NETWORKDAYS(L31,$K$1,'휴일'!$A$2:$A$13)&gt;0,NETWORKDAYS(L31,$K$1,'휴일'!$A$2:$A$13),""),NETWORKDAYS(L31,M31,'휴일'!$A$2:$A$13)),"")&lt;0,"",IFERROR(IF(M31&gt;=$K$1,IF(NETWORKDAYS(L31,$K$1,'휴일'!$A$2:$A$13)&gt;0,NETWORKDAYS(L31,$K$1,'휴일'!$A$2:$A$13),""),NETWORKDAYS(L31,M31,'휴일'!$A$2:$A$13)),""))</f>
        <v>0</v>
      </c>
      <c r="R31" s="138">
        <f t="shared" ref="R31:S31" si="55">IFERROR(P31/N31,0)</f>
        <v>0</v>
      </c>
      <c r="S31" s="139">
        <f t="shared" si="55"/>
        <v>0</v>
      </c>
      <c r="T31" s="140">
        <f t="shared" si="6"/>
        <v>0</v>
      </c>
      <c r="U31" s="141">
        <f t="shared" si="27"/>
        <v>0</v>
      </c>
      <c r="V31" s="135" t="str">
        <f t="shared" ref="V31:BB31" si="56">IF(ISNUMBER(SEARCH("★M", $I31)), IF(AND(IF($M31&lt;&gt;"", $M31, $K31) &gt;= V$2, IF($M31&lt;&gt;"", $M31, $K31) &lt; W$2), MID($I31, SEARCH("★M", $I31)+1, 2), ""), IF(AND($S31&gt;=1, IF($M31&lt;&gt;"", $M31, $K31) &gt;= V$2, IF($M31&lt;&gt;"", $M31, $K31) &lt; W$2), "완료", ""))</f>
        <v/>
      </c>
      <c r="W31" s="135" t="str">
        <f t="shared" si="56"/>
        <v/>
      </c>
      <c r="X31" s="135" t="str">
        <f t="shared" si="56"/>
        <v/>
      </c>
      <c r="Y31" s="135" t="str">
        <f t="shared" si="56"/>
        <v/>
      </c>
      <c r="Z31" s="135" t="str">
        <f t="shared" si="56"/>
        <v/>
      </c>
      <c r="AA31" s="135" t="str">
        <f t="shared" si="56"/>
        <v/>
      </c>
      <c r="AB31" s="135" t="str">
        <f t="shared" si="56"/>
        <v/>
      </c>
      <c r="AC31" s="135" t="str">
        <f t="shared" si="56"/>
        <v/>
      </c>
      <c r="AD31" s="135" t="str">
        <f t="shared" si="56"/>
        <v/>
      </c>
      <c r="AE31" s="135" t="str">
        <f t="shared" si="56"/>
        <v/>
      </c>
      <c r="AF31" s="135" t="str">
        <f t="shared" si="56"/>
        <v/>
      </c>
      <c r="AG31" s="135" t="str">
        <f t="shared" si="56"/>
        <v/>
      </c>
      <c r="AH31" s="135" t="str">
        <f t="shared" si="56"/>
        <v/>
      </c>
      <c r="AI31" s="135" t="str">
        <f t="shared" si="56"/>
        <v/>
      </c>
      <c r="AJ31" s="135" t="str">
        <f t="shared" si="56"/>
        <v/>
      </c>
      <c r="AK31" s="135" t="str">
        <f t="shared" si="56"/>
        <v/>
      </c>
      <c r="AL31" s="135" t="str">
        <f t="shared" si="56"/>
        <v/>
      </c>
      <c r="AM31" s="135" t="str">
        <f t="shared" si="56"/>
        <v/>
      </c>
      <c r="AN31" s="135" t="str">
        <f t="shared" si="56"/>
        <v/>
      </c>
      <c r="AO31" s="135" t="str">
        <f t="shared" si="56"/>
        <v/>
      </c>
      <c r="AP31" s="135" t="str">
        <f t="shared" si="56"/>
        <v/>
      </c>
      <c r="AQ31" s="135" t="str">
        <f t="shared" si="56"/>
        <v/>
      </c>
      <c r="AR31" s="135" t="str">
        <f t="shared" si="56"/>
        <v/>
      </c>
      <c r="AS31" s="142" t="str">
        <f t="shared" si="56"/>
        <v/>
      </c>
      <c r="AT31" s="142" t="str">
        <f t="shared" si="56"/>
        <v/>
      </c>
      <c r="AU31" s="142" t="str">
        <f t="shared" si="56"/>
        <v/>
      </c>
      <c r="AV31" s="142" t="str">
        <f t="shared" si="56"/>
        <v/>
      </c>
      <c r="AW31" s="142" t="str">
        <f t="shared" si="56"/>
        <v/>
      </c>
      <c r="AX31" s="135" t="str">
        <f t="shared" si="56"/>
        <v/>
      </c>
      <c r="AY31" s="135" t="str">
        <f t="shared" si="56"/>
        <v/>
      </c>
      <c r="AZ31" s="135" t="str">
        <f t="shared" si="56"/>
        <v/>
      </c>
      <c r="BA31" s="135" t="str">
        <f t="shared" si="56"/>
        <v/>
      </c>
      <c r="BB31" s="136" t="str">
        <f t="shared" si="56"/>
        <v/>
      </c>
      <c r="BC31" s="137"/>
    </row>
    <row r="32" ht="19.5" customHeight="1">
      <c r="A32" s="118"/>
      <c r="B32" s="144"/>
      <c r="C32" s="120"/>
      <c r="D32" s="121"/>
      <c r="E32" s="122" t="s">
        <v>164</v>
      </c>
      <c r="F32" s="123" t="s">
        <v>165</v>
      </c>
      <c r="G32" s="104"/>
      <c r="H32" s="124" t="s">
        <v>166</v>
      </c>
      <c r="I32" s="125" t="s">
        <v>167</v>
      </c>
      <c r="J32" s="126">
        <v>46475.0</v>
      </c>
      <c r="K32" s="126">
        <v>46500.0</v>
      </c>
      <c r="L32" s="126"/>
      <c r="M32" s="126"/>
      <c r="N32" s="127">
        <f>IF(OR(ISBLANK(J32),ISBLANK(K32)),"",NETWORKDAYS(J32,K32,'휴일'!$A$2:$A$13))</f>
        <v>20</v>
      </c>
      <c r="O32" s="128" t="str">
        <f>IF(OR(ISBLANK(L32),ISBLANK(M32)),"",IF(NETWORKDAYS(L32,M32,'휴일'!$A$2:$A$13)&lt;0,"",NETWORKDAYS(L32,M32,'휴일'!$A$2:$A$13)))</f>
        <v/>
      </c>
      <c r="P32" s="127" t="str">
        <f>IFERROR(IF(K32&gt;=$K$1,IF(NETWORKDAYS(J32,$K$1,'휴일'!$A$2:$A$13)&gt;0,NETWORKDAYS(J32,$K$1,'휴일'!$A$2:$A$13),""),NETWORKDAYS(J32,K32,'휴일'!$A$2:$A$13)),"")</f>
        <v/>
      </c>
      <c r="Q32" s="128">
        <f>IF(IFERROR(IF(M32&gt;=$K$1,IF(NETWORKDAYS(L32,$K$1,'휴일'!$A$2:$A$13)&gt;0,NETWORKDAYS(L32,$K$1,'휴일'!$A$2:$A$13),""),NETWORKDAYS(L32,M32,'휴일'!$A$2:$A$13)),"")&lt;0,"",IFERROR(IF(M32&gt;=$K$1,IF(NETWORKDAYS(L32,$K$1,'휴일'!$A$2:$A$13)&gt;0,NETWORKDAYS(L32,$K$1,'휴일'!$A$2:$A$13),""),NETWORKDAYS(L32,M32,'휴일'!$A$2:$A$13)),""))</f>
        <v>0</v>
      </c>
      <c r="R32" s="138">
        <f t="shared" ref="R32:S32" si="57">IFERROR(P32/N32,0)</f>
        <v>0</v>
      </c>
      <c r="S32" s="139">
        <f t="shared" si="57"/>
        <v>0</v>
      </c>
      <c r="T32" s="140">
        <f t="shared" si="6"/>
        <v>0</v>
      </c>
      <c r="U32" s="141">
        <f t="shared" si="27"/>
        <v>0</v>
      </c>
      <c r="V32" s="135" t="str">
        <f t="shared" ref="V32:BB32" si="58">IF(ISNUMBER(SEARCH("★M", $I32)), IF(AND(IF($M32&lt;&gt;"", $M32, $K32) &gt;= V$2, IF($M32&lt;&gt;"", $M32, $K32) &lt; W$2), MID($I32, SEARCH("★M", $I32)+1, 2), ""), IF(AND($S32&gt;=1, IF($M32&lt;&gt;"", $M32, $K32) &gt;= V$2, IF($M32&lt;&gt;"", $M32, $K32) &lt; W$2), "완료", ""))</f>
        <v/>
      </c>
      <c r="W32" s="135" t="str">
        <f t="shared" si="58"/>
        <v/>
      </c>
      <c r="X32" s="135" t="str">
        <f t="shared" si="58"/>
        <v/>
      </c>
      <c r="Y32" s="135" t="str">
        <f t="shared" si="58"/>
        <v/>
      </c>
      <c r="Z32" s="135" t="str">
        <f t="shared" si="58"/>
        <v/>
      </c>
      <c r="AA32" s="135" t="str">
        <f t="shared" si="58"/>
        <v/>
      </c>
      <c r="AB32" s="135" t="str">
        <f t="shared" si="58"/>
        <v/>
      </c>
      <c r="AC32" s="135" t="str">
        <f t="shared" si="58"/>
        <v/>
      </c>
      <c r="AD32" s="135" t="str">
        <f t="shared" si="58"/>
        <v/>
      </c>
      <c r="AE32" s="135" t="str">
        <f t="shared" si="58"/>
        <v/>
      </c>
      <c r="AF32" s="135" t="str">
        <f t="shared" si="58"/>
        <v/>
      </c>
      <c r="AG32" s="135" t="str">
        <f t="shared" si="58"/>
        <v/>
      </c>
      <c r="AH32" s="135" t="str">
        <f t="shared" si="58"/>
        <v/>
      </c>
      <c r="AI32" s="135" t="str">
        <f t="shared" si="58"/>
        <v/>
      </c>
      <c r="AJ32" s="135" t="str">
        <f t="shared" si="58"/>
        <v/>
      </c>
      <c r="AK32" s="135" t="str">
        <f t="shared" si="58"/>
        <v/>
      </c>
      <c r="AL32" s="135" t="str">
        <f t="shared" si="58"/>
        <v/>
      </c>
      <c r="AM32" s="135" t="str">
        <f t="shared" si="58"/>
        <v/>
      </c>
      <c r="AN32" s="135" t="str">
        <f t="shared" si="58"/>
        <v/>
      </c>
      <c r="AO32" s="135" t="str">
        <f t="shared" si="58"/>
        <v/>
      </c>
      <c r="AP32" s="135" t="str">
        <f t="shared" si="58"/>
        <v/>
      </c>
      <c r="AQ32" s="135" t="str">
        <f t="shared" si="58"/>
        <v/>
      </c>
      <c r="AR32" s="135" t="str">
        <f t="shared" si="58"/>
        <v/>
      </c>
      <c r="AS32" s="135" t="str">
        <f t="shared" si="58"/>
        <v/>
      </c>
      <c r="AT32" s="142" t="str">
        <f t="shared" si="58"/>
        <v/>
      </c>
      <c r="AU32" s="142" t="str">
        <f t="shared" si="58"/>
        <v/>
      </c>
      <c r="AV32" s="142" t="str">
        <f t="shared" si="58"/>
        <v/>
      </c>
      <c r="AW32" s="142" t="str">
        <f t="shared" si="58"/>
        <v/>
      </c>
      <c r="AX32" s="135" t="str">
        <f t="shared" si="58"/>
        <v/>
      </c>
      <c r="AY32" s="135" t="str">
        <f t="shared" si="58"/>
        <v/>
      </c>
      <c r="AZ32" s="135" t="str">
        <f t="shared" si="58"/>
        <v/>
      </c>
      <c r="BA32" s="135" t="str">
        <f t="shared" si="58"/>
        <v/>
      </c>
      <c r="BB32" s="136" t="str">
        <f t="shared" si="58"/>
        <v/>
      </c>
      <c r="BC32" s="137"/>
    </row>
    <row r="33" ht="19.5" customHeight="1">
      <c r="A33" s="146"/>
      <c r="B33" s="144"/>
      <c r="C33" s="120"/>
      <c r="D33" s="121"/>
      <c r="E33" s="122"/>
      <c r="F33" s="123" t="s">
        <v>168</v>
      </c>
      <c r="G33" s="104"/>
      <c r="H33" s="150" t="s">
        <v>89</v>
      </c>
      <c r="I33" s="151" t="s">
        <v>169</v>
      </c>
      <c r="J33" s="126">
        <v>46496.0</v>
      </c>
      <c r="K33" s="126">
        <v>46507.0</v>
      </c>
      <c r="L33" s="126"/>
      <c r="M33" s="126"/>
      <c r="N33" s="152">
        <f>IF(OR(ISBLANK(J33),ISBLANK(K33)),"",NETWORKDAYS(J33,K33,'휴일'!$A$2:$A$13))</f>
        <v>10</v>
      </c>
      <c r="O33" s="128" t="str">
        <f>IF(OR(ISBLANK(L33),ISBLANK(M33)),"",IF(NETWORKDAYS(L33,M33,'휴일'!$A$2:$A$13)&lt;0,"",NETWORKDAYS(L33,M33,'휴일'!$A$2:$A$13)))</f>
        <v/>
      </c>
      <c r="P33" s="152" t="str">
        <f>IFERROR(IF(K33&gt;=$K$1,IF(NETWORKDAYS(J33,$K$1,'휴일'!$A$2:$A$13)&gt;0,NETWORKDAYS(J33,$K$1,'휴일'!$A$2:$A$13),""),NETWORKDAYS(J33,K33,'휴일'!$A$2:$A$13)),"")</f>
        <v/>
      </c>
      <c r="Q33" s="128">
        <f>IF(IFERROR(IF(M33&gt;=$K$1,IF(NETWORKDAYS(L33,$K$1,'휴일'!$A$2:$A$13)&gt;0,NETWORKDAYS(L33,$K$1,'휴일'!$A$2:$A$13),""),NETWORKDAYS(L33,M33,'휴일'!$A$2:$A$13)),"")&lt;0,"",IFERROR(IF(M33&gt;=$K$1,IF(NETWORKDAYS(L33,$K$1,'휴일'!$A$2:$A$13)&gt;0,NETWORKDAYS(L33,$K$1,'휴일'!$A$2:$A$13),""),NETWORKDAYS(L33,M33,'휴일'!$A$2:$A$13)),""))</f>
        <v>0</v>
      </c>
      <c r="R33" s="138">
        <f t="shared" ref="R33:S33" si="59">IFERROR(P33/N33,0)</f>
        <v>0</v>
      </c>
      <c r="S33" s="139">
        <f t="shared" si="59"/>
        <v>0</v>
      </c>
      <c r="T33" s="140">
        <f t="shared" si="6"/>
        <v>0</v>
      </c>
      <c r="U33" s="141">
        <f t="shared" si="27"/>
        <v>0</v>
      </c>
      <c r="V33" s="135" t="str">
        <f t="shared" ref="V33:BB33" si="60">IF(ISNUMBER(SEARCH("★M", $I33)), IF(AND(IF($M33&lt;&gt;"", $M33, $K33) &gt;= V$2, IF($M33&lt;&gt;"", $M33, $K33) &lt; W$2), MID($I33, SEARCH("★M", $I33)+1, 2), ""), IF(AND($S33&gt;=1, IF($M33&lt;&gt;"", $M33, $K33) &gt;= V$2, IF($M33&lt;&gt;"", $M33, $K33) &lt; W$2), "완료", ""))</f>
        <v/>
      </c>
      <c r="W33" s="147" t="str">
        <f t="shared" si="60"/>
        <v/>
      </c>
      <c r="X33" s="147" t="str">
        <f t="shared" si="60"/>
        <v/>
      </c>
      <c r="Y33" s="147" t="str">
        <f t="shared" si="60"/>
        <v/>
      </c>
      <c r="Z33" s="147" t="str">
        <f t="shared" si="60"/>
        <v/>
      </c>
      <c r="AA33" s="147" t="str">
        <f t="shared" si="60"/>
        <v/>
      </c>
      <c r="AB33" s="147" t="str">
        <f t="shared" si="60"/>
        <v/>
      </c>
      <c r="AC33" s="147" t="str">
        <f t="shared" si="60"/>
        <v/>
      </c>
      <c r="AD33" s="147" t="str">
        <f t="shared" si="60"/>
        <v/>
      </c>
      <c r="AE33" s="147" t="str">
        <f t="shared" si="60"/>
        <v/>
      </c>
      <c r="AF33" s="147" t="str">
        <f t="shared" si="60"/>
        <v/>
      </c>
      <c r="AG33" s="147" t="str">
        <f t="shared" si="60"/>
        <v/>
      </c>
      <c r="AH33" s="147" t="str">
        <f t="shared" si="60"/>
        <v/>
      </c>
      <c r="AI33" s="147" t="str">
        <f t="shared" si="60"/>
        <v/>
      </c>
      <c r="AJ33" s="147" t="str">
        <f t="shared" si="60"/>
        <v/>
      </c>
      <c r="AK33" s="147" t="str">
        <f t="shared" si="60"/>
        <v/>
      </c>
      <c r="AL33" s="147" t="str">
        <f t="shared" si="60"/>
        <v/>
      </c>
      <c r="AM33" s="147" t="str">
        <f t="shared" si="60"/>
        <v/>
      </c>
      <c r="AN33" s="147" t="str">
        <f t="shared" si="60"/>
        <v/>
      </c>
      <c r="AO33" s="147" t="str">
        <f t="shared" si="60"/>
        <v/>
      </c>
      <c r="AP33" s="147" t="str">
        <f t="shared" si="60"/>
        <v/>
      </c>
      <c r="AQ33" s="147" t="str">
        <f t="shared" si="60"/>
        <v/>
      </c>
      <c r="AR33" s="147" t="str">
        <f t="shared" si="60"/>
        <v/>
      </c>
      <c r="AS33" s="147" t="str">
        <f t="shared" si="60"/>
        <v/>
      </c>
      <c r="AT33" s="147" t="str">
        <f t="shared" si="60"/>
        <v/>
      </c>
      <c r="AU33" s="147" t="str">
        <f t="shared" si="60"/>
        <v/>
      </c>
      <c r="AV33" s="147" t="str">
        <f t="shared" si="60"/>
        <v/>
      </c>
      <c r="AW33" s="142" t="str">
        <f t="shared" si="60"/>
        <v/>
      </c>
      <c r="AX33" s="145" t="str">
        <f t="shared" si="60"/>
        <v>M5</v>
      </c>
      <c r="AY33" s="147" t="str">
        <f t="shared" si="60"/>
        <v/>
      </c>
      <c r="AZ33" s="147" t="str">
        <f t="shared" si="60"/>
        <v/>
      </c>
      <c r="BA33" s="147" t="str">
        <f t="shared" si="60"/>
        <v/>
      </c>
      <c r="BB33" s="148" t="str">
        <f t="shared" si="60"/>
        <v/>
      </c>
      <c r="BC33" s="149"/>
    </row>
    <row r="34" ht="19.5" customHeight="1">
      <c r="A34" s="118"/>
      <c r="B34" s="144">
        <v>5.0</v>
      </c>
      <c r="C34" s="120">
        <v>0.15</v>
      </c>
      <c r="D34" s="121" t="s">
        <v>170</v>
      </c>
      <c r="E34" s="122" t="s">
        <v>171</v>
      </c>
      <c r="F34" s="123" t="s">
        <v>172</v>
      </c>
      <c r="G34" s="104"/>
      <c r="H34" s="150" t="s">
        <v>173</v>
      </c>
      <c r="I34" s="151" t="s">
        <v>174</v>
      </c>
      <c r="J34" s="126">
        <v>46510.0</v>
      </c>
      <c r="K34" s="126">
        <v>46528.0</v>
      </c>
      <c r="L34" s="126"/>
      <c r="M34" s="126"/>
      <c r="N34" s="152">
        <f>IF(OR(ISBLANK(J34),ISBLANK(K34)),"",NETWORKDAYS(J34,K34,'휴일'!$A$2:$A$13))</f>
        <v>13</v>
      </c>
      <c r="O34" s="128" t="str">
        <f>IF(OR(ISBLANK(L34),ISBLANK(M34)),"",IF(NETWORKDAYS(L34,M34,'휴일'!$A$2:$A$13)&lt;0,"",NETWORKDAYS(L34,M34,'휴일'!$A$2:$A$13)))</f>
        <v/>
      </c>
      <c r="P34" s="152" t="str">
        <f>IFERROR(IF(K34&gt;=$K$1,IF(NETWORKDAYS(J34,$K$1,'휴일'!$A$2:$A$13)&gt;0,NETWORKDAYS(J34,$K$1,'휴일'!$A$2:$A$13),""),NETWORKDAYS(J34,K34,'휴일'!$A$2:$A$13)),"")</f>
        <v/>
      </c>
      <c r="Q34" s="128">
        <f>IF(IFERROR(IF(M34&gt;=$K$1,IF(NETWORKDAYS(L34,$K$1,'휴일'!$A$2:$A$13)&gt;0,NETWORKDAYS(L34,$K$1,'휴일'!$A$2:$A$13),""),NETWORKDAYS(L34,M34,'휴일'!$A$2:$A$13)),"")&lt;0,"",IFERROR(IF(M34&gt;=$K$1,IF(NETWORKDAYS(L34,$K$1,'휴일'!$A$2:$A$13)&gt;0,NETWORKDAYS(L34,$K$1,'휴일'!$A$2:$A$13),""),NETWORKDAYS(L34,M34,'휴일'!$A$2:$A$13)),""))</f>
        <v>0</v>
      </c>
      <c r="R34" s="138">
        <f t="shared" ref="R34:S34" si="61">IFERROR(P34/N34,0)</f>
        <v>0</v>
      </c>
      <c r="S34" s="139">
        <f t="shared" si="61"/>
        <v>0</v>
      </c>
      <c r="T34" s="140">
        <f t="shared" si="6"/>
        <v>0</v>
      </c>
      <c r="U34" s="141">
        <f t="shared" si="27"/>
        <v>0</v>
      </c>
      <c r="V34" s="135" t="str">
        <f t="shared" ref="V34:BB34" si="62">IF(ISNUMBER(SEARCH("★M", $I34)), IF(AND(IF($M34&lt;&gt;"", $M34, $K34) &gt;= V$2, IF($M34&lt;&gt;"", $M34, $K34) &lt; W$2), MID($I34, SEARCH("★M", $I34)+1, 2), ""), IF(AND($S34&gt;=1, IF($M34&lt;&gt;"", $M34, $K34) &gt;= V$2, IF($M34&lt;&gt;"", $M34, $K34) &lt; W$2), "완료", ""))</f>
        <v/>
      </c>
      <c r="W34" s="135" t="str">
        <f t="shared" si="62"/>
        <v/>
      </c>
      <c r="X34" s="135" t="str">
        <f t="shared" si="62"/>
        <v/>
      </c>
      <c r="Y34" s="135" t="str">
        <f t="shared" si="62"/>
        <v/>
      </c>
      <c r="Z34" s="135" t="str">
        <f t="shared" si="62"/>
        <v/>
      </c>
      <c r="AA34" s="135" t="str">
        <f t="shared" si="62"/>
        <v/>
      </c>
      <c r="AB34" s="135" t="str">
        <f t="shared" si="62"/>
        <v/>
      </c>
      <c r="AC34" s="135" t="str">
        <f t="shared" si="62"/>
        <v/>
      </c>
      <c r="AD34" s="135" t="str">
        <f t="shared" si="62"/>
        <v/>
      </c>
      <c r="AE34" s="135" t="str">
        <f t="shared" si="62"/>
        <v/>
      </c>
      <c r="AF34" s="135" t="str">
        <f t="shared" si="62"/>
        <v/>
      </c>
      <c r="AG34" s="135" t="str">
        <f t="shared" si="62"/>
        <v/>
      </c>
      <c r="AH34" s="135" t="str">
        <f t="shared" si="62"/>
        <v/>
      </c>
      <c r="AI34" s="135" t="str">
        <f t="shared" si="62"/>
        <v/>
      </c>
      <c r="AJ34" s="135" t="str">
        <f t="shared" si="62"/>
        <v/>
      </c>
      <c r="AK34" s="135" t="str">
        <f t="shared" si="62"/>
        <v/>
      </c>
      <c r="AL34" s="135" t="str">
        <f t="shared" si="62"/>
        <v/>
      </c>
      <c r="AM34" s="135" t="str">
        <f t="shared" si="62"/>
        <v/>
      </c>
      <c r="AN34" s="135" t="str">
        <f t="shared" si="62"/>
        <v/>
      </c>
      <c r="AO34" s="135" t="str">
        <f t="shared" si="62"/>
        <v/>
      </c>
      <c r="AP34" s="135" t="str">
        <f t="shared" si="62"/>
        <v/>
      </c>
      <c r="AQ34" s="135" t="str">
        <f t="shared" si="62"/>
        <v/>
      </c>
      <c r="AR34" s="135" t="str">
        <f t="shared" si="62"/>
        <v/>
      </c>
      <c r="AS34" s="135" t="str">
        <f t="shared" si="62"/>
        <v/>
      </c>
      <c r="AT34" s="135" t="str">
        <f t="shared" si="62"/>
        <v/>
      </c>
      <c r="AU34" s="135" t="str">
        <f t="shared" si="62"/>
        <v/>
      </c>
      <c r="AV34" s="135" t="str">
        <f t="shared" si="62"/>
        <v/>
      </c>
      <c r="AW34" s="135" t="str">
        <f t="shared" si="62"/>
        <v/>
      </c>
      <c r="AX34" s="135" t="str">
        <f t="shared" si="62"/>
        <v/>
      </c>
      <c r="AY34" s="142" t="str">
        <f t="shared" si="62"/>
        <v/>
      </c>
      <c r="AZ34" s="142" t="str">
        <f t="shared" si="62"/>
        <v/>
      </c>
      <c r="BA34" s="142" t="str">
        <f t="shared" si="62"/>
        <v/>
      </c>
      <c r="BB34" s="136" t="str">
        <f t="shared" si="62"/>
        <v/>
      </c>
      <c r="BC34" s="137"/>
    </row>
    <row r="35" ht="19.5" customHeight="1">
      <c r="A35" s="118"/>
      <c r="B35" s="144"/>
      <c r="C35" s="120"/>
      <c r="D35" s="121"/>
      <c r="E35" s="122"/>
      <c r="F35" s="123" t="s">
        <v>175</v>
      </c>
      <c r="G35" s="104"/>
      <c r="H35" s="124" t="s">
        <v>89</v>
      </c>
      <c r="I35" s="125" t="s">
        <v>176</v>
      </c>
      <c r="J35" s="126">
        <v>46517.0</v>
      </c>
      <c r="K35" s="126">
        <v>46535.0</v>
      </c>
      <c r="L35" s="126"/>
      <c r="M35" s="126"/>
      <c r="N35" s="127">
        <f>IF(OR(ISBLANK(J35),ISBLANK(K35)),"",NETWORKDAYS(J35,K35,'휴일'!$A$2:$A$13))</f>
        <v>14</v>
      </c>
      <c r="O35" s="128" t="str">
        <f>IF(OR(ISBLANK(L35),ISBLANK(M35)),"",IF(NETWORKDAYS(L35,M35,'휴일'!$A$2:$A$13)&lt;0,"",NETWORKDAYS(L35,M35,'휴일'!$A$2:$A$13)))</f>
        <v/>
      </c>
      <c r="P35" s="127" t="str">
        <f>IFERROR(IF(K35&gt;=$K$1,IF(NETWORKDAYS(J35,$K$1,'휴일'!$A$2:$A$13)&gt;0,NETWORKDAYS(J35,$K$1,'휴일'!$A$2:$A$13),""),NETWORKDAYS(J35,K35,'휴일'!$A$2:$A$13)),"")</f>
        <v/>
      </c>
      <c r="Q35" s="128">
        <f>IF(IFERROR(IF(M35&gt;=$K$1,IF(NETWORKDAYS(L35,$K$1,'휴일'!$A$2:$A$13)&gt;0,NETWORKDAYS(L35,$K$1,'휴일'!$A$2:$A$13),""),NETWORKDAYS(L35,M35,'휴일'!$A$2:$A$13)),"")&lt;0,"",IFERROR(IF(M35&gt;=$K$1,IF(NETWORKDAYS(L35,$K$1,'휴일'!$A$2:$A$13)&gt;0,NETWORKDAYS(L35,$K$1,'휴일'!$A$2:$A$13),""),NETWORKDAYS(L35,M35,'휴일'!$A$2:$A$13)),""))</f>
        <v>0</v>
      </c>
      <c r="R35" s="138">
        <f t="shared" ref="R35:S35" si="63">IFERROR(P35/N35,0)</f>
        <v>0</v>
      </c>
      <c r="S35" s="139">
        <f t="shared" si="63"/>
        <v>0</v>
      </c>
      <c r="T35" s="140">
        <f t="shared" si="6"/>
        <v>0</v>
      </c>
      <c r="U35" s="141">
        <f t="shared" si="27"/>
        <v>0</v>
      </c>
      <c r="V35" s="135" t="str">
        <f t="shared" ref="V35:BB35" si="64">IF(ISNUMBER(SEARCH("★M", $I35)), IF(AND(IF($M35&lt;&gt;"", $M35, $K35) &gt;= V$2, IF($M35&lt;&gt;"", $M35, $K35) &lt; W$2), MID($I35, SEARCH("★M", $I35)+1, 2), ""), IF(AND($S35&gt;=1, IF($M35&lt;&gt;"", $M35, $K35) &gt;= V$2, IF($M35&lt;&gt;"", $M35, $K35) &lt; W$2), "완료", ""))</f>
        <v/>
      </c>
      <c r="W35" s="135" t="str">
        <f t="shared" si="64"/>
        <v/>
      </c>
      <c r="X35" s="135" t="str">
        <f t="shared" si="64"/>
        <v/>
      </c>
      <c r="Y35" s="135" t="str">
        <f t="shared" si="64"/>
        <v/>
      </c>
      <c r="Z35" s="135" t="str">
        <f t="shared" si="64"/>
        <v/>
      </c>
      <c r="AA35" s="135" t="str">
        <f t="shared" si="64"/>
        <v/>
      </c>
      <c r="AB35" s="135" t="str">
        <f t="shared" si="64"/>
        <v/>
      </c>
      <c r="AC35" s="135" t="str">
        <f t="shared" si="64"/>
        <v/>
      </c>
      <c r="AD35" s="135" t="str">
        <f t="shared" si="64"/>
        <v/>
      </c>
      <c r="AE35" s="135" t="str">
        <f t="shared" si="64"/>
        <v/>
      </c>
      <c r="AF35" s="135" t="str">
        <f t="shared" si="64"/>
        <v/>
      </c>
      <c r="AG35" s="135" t="str">
        <f t="shared" si="64"/>
        <v/>
      </c>
      <c r="AH35" s="135" t="str">
        <f t="shared" si="64"/>
        <v/>
      </c>
      <c r="AI35" s="135" t="str">
        <f t="shared" si="64"/>
        <v/>
      </c>
      <c r="AJ35" s="135" t="str">
        <f t="shared" si="64"/>
        <v/>
      </c>
      <c r="AK35" s="135" t="str">
        <f t="shared" si="64"/>
        <v/>
      </c>
      <c r="AL35" s="135" t="str">
        <f t="shared" si="64"/>
        <v/>
      </c>
      <c r="AM35" s="135" t="str">
        <f t="shared" si="64"/>
        <v/>
      </c>
      <c r="AN35" s="135" t="str">
        <f t="shared" si="64"/>
        <v/>
      </c>
      <c r="AO35" s="135" t="str">
        <f t="shared" si="64"/>
        <v/>
      </c>
      <c r="AP35" s="135" t="str">
        <f t="shared" si="64"/>
        <v/>
      </c>
      <c r="AQ35" s="135" t="str">
        <f t="shared" si="64"/>
        <v/>
      </c>
      <c r="AR35" s="135" t="str">
        <f t="shared" si="64"/>
        <v/>
      </c>
      <c r="AS35" s="135" t="str">
        <f t="shared" si="64"/>
        <v/>
      </c>
      <c r="AT35" s="135" t="str">
        <f t="shared" si="64"/>
        <v/>
      </c>
      <c r="AU35" s="135" t="str">
        <f t="shared" si="64"/>
        <v/>
      </c>
      <c r="AV35" s="135" t="str">
        <f t="shared" si="64"/>
        <v/>
      </c>
      <c r="AW35" s="135" t="str">
        <f t="shared" si="64"/>
        <v/>
      </c>
      <c r="AX35" s="135" t="str">
        <f t="shared" si="64"/>
        <v/>
      </c>
      <c r="AY35" s="135" t="str">
        <f t="shared" si="64"/>
        <v/>
      </c>
      <c r="AZ35" s="142" t="str">
        <f t="shared" si="64"/>
        <v/>
      </c>
      <c r="BA35" s="142" t="str">
        <f t="shared" si="64"/>
        <v/>
      </c>
      <c r="BB35" s="153" t="str">
        <f t="shared" si="64"/>
        <v/>
      </c>
      <c r="BC35" s="154"/>
    </row>
    <row r="36" ht="19.5" customHeight="1">
      <c r="A36" s="118"/>
      <c r="B36" s="155"/>
      <c r="C36" s="156"/>
      <c r="D36" s="157"/>
      <c r="E36" s="158"/>
      <c r="F36" s="159" t="s">
        <v>177</v>
      </c>
      <c r="G36" s="160"/>
      <c r="H36" s="161" t="s">
        <v>178</v>
      </c>
      <c r="I36" s="162" t="s">
        <v>179</v>
      </c>
      <c r="J36" s="163">
        <v>46531.0</v>
      </c>
      <c r="K36" s="163">
        <v>46538.0</v>
      </c>
      <c r="L36" s="163"/>
      <c r="M36" s="163"/>
      <c r="N36" s="164">
        <f>IF(OR(ISBLANK(J36),ISBLANK(K36)),"",NETWORKDAYS(J36,K36,'휴일'!$A$2:$A$13))</f>
        <v>6</v>
      </c>
      <c r="O36" s="165" t="str">
        <f>IF(OR(ISBLANK(L36),ISBLANK(M36)),"",IF(NETWORKDAYS(L36,M36,'휴일'!$A$2:$A$13)&lt;0,"",NETWORKDAYS(L36,M36,'휴일'!$A$2:$A$13)))</f>
        <v/>
      </c>
      <c r="P36" s="164" t="str">
        <f>IFERROR(IF(K36&gt;=$K$1,IF(NETWORKDAYS(J36,$K$1,'휴일'!$A$2:$A$13)&gt;0,NETWORKDAYS(J36,$K$1,'휴일'!$A$2:$A$13),""),NETWORKDAYS(J36,K36,'휴일'!$A$2:$A$13)),"")</f>
        <v/>
      </c>
      <c r="Q36" s="165">
        <f>IF(IFERROR(IF(M36&gt;=$K$1,IF(NETWORKDAYS(L36,$K$1,'휴일'!$A$2:$A$13)&gt;0,NETWORKDAYS(L36,$K$1,'휴일'!$A$2:$A$13),""),NETWORKDAYS(L36,M36,'휴일'!$A$2:$A$13)),"")&lt;0,"",IFERROR(IF(M36&gt;=$K$1,IF(NETWORKDAYS(L36,$K$1,'휴일'!$A$2:$A$13)&gt;0,NETWORKDAYS(L36,$K$1,'휴일'!$A$2:$A$13),""),NETWORKDAYS(L36,M36,'휴일'!$A$2:$A$13)),""))</f>
        <v>0</v>
      </c>
      <c r="R36" s="166">
        <f t="shared" ref="R36:S36" si="65">IFERROR(P36/N36,0)</f>
        <v>0</v>
      </c>
      <c r="S36" s="167">
        <f t="shared" si="65"/>
        <v>0</v>
      </c>
      <c r="T36" s="168">
        <f t="shared" si="6"/>
        <v>0</v>
      </c>
      <c r="U36" s="169">
        <f t="shared" si="27"/>
        <v>0</v>
      </c>
      <c r="V36" s="170" t="str">
        <f t="shared" ref="V36:BB36" si="66">IF(ISNUMBER(SEARCH("★M", $I36)), IF(AND(IF($M36&lt;&gt;"", $M36, $K36) &gt;= V$2, IF($M36&lt;&gt;"", $M36, $K36) &lt; W$2), MID($I36, SEARCH("★M", $I36)+1, 2), ""), IF(AND($S36&gt;=1, IF($M36&lt;&gt;"", $M36, $K36) &gt;= V$2, IF($M36&lt;&gt;"", $M36, $K36) &lt; W$2), "완료", ""))</f>
        <v/>
      </c>
      <c r="W36" s="170" t="str">
        <f t="shared" si="66"/>
        <v/>
      </c>
      <c r="X36" s="170" t="str">
        <f t="shared" si="66"/>
        <v/>
      </c>
      <c r="Y36" s="170" t="str">
        <f t="shared" si="66"/>
        <v/>
      </c>
      <c r="Z36" s="170" t="str">
        <f t="shared" si="66"/>
        <v/>
      </c>
      <c r="AA36" s="170" t="str">
        <f t="shared" si="66"/>
        <v/>
      </c>
      <c r="AB36" s="170" t="str">
        <f t="shared" si="66"/>
        <v/>
      </c>
      <c r="AC36" s="170" t="str">
        <f t="shared" si="66"/>
        <v/>
      </c>
      <c r="AD36" s="170" t="str">
        <f t="shared" si="66"/>
        <v/>
      </c>
      <c r="AE36" s="170" t="str">
        <f t="shared" si="66"/>
        <v/>
      </c>
      <c r="AF36" s="170" t="str">
        <f t="shared" si="66"/>
        <v/>
      </c>
      <c r="AG36" s="170" t="str">
        <f t="shared" si="66"/>
        <v/>
      </c>
      <c r="AH36" s="170" t="str">
        <f t="shared" si="66"/>
        <v/>
      </c>
      <c r="AI36" s="170" t="str">
        <f t="shared" si="66"/>
        <v/>
      </c>
      <c r="AJ36" s="170" t="str">
        <f t="shared" si="66"/>
        <v/>
      </c>
      <c r="AK36" s="170" t="str">
        <f t="shared" si="66"/>
        <v/>
      </c>
      <c r="AL36" s="170" t="str">
        <f t="shared" si="66"/>
        <v/>
      </c>
      <c r="AM36" s="170" t="str">
        <f t="shared" si="66"/>
        <v/>
      </c>
      <c r="AN36" s="170" t="str">
        <f t="shared" si="66"/>
        <v/>
      </c>
      <c r="AO36" s="170" t="str">
        <f t="shared" si="66"/>
        <v/>
      </c>
      <c r="AP36" s="170" t="str">
        <f t="shared" si="66"/>
        <v/>
      </c>
      <c r="AQ36" s="170" t="str">
        <f t="shared" si="66"/>
        <v/>
      </c>
      <c r="AR36" s="170" t="str">
        <f t="shared" si="66"/>
        <v/>
      </c>
      <c r="AS36" s="170" t="str">
        <f t="shared" si="66"/>
        <v/>
      </c>
      <c r="AT36" s="170" t="str">
        <f t="shared" si="66"/>
        <v/>
      </c>
      <c r="AU36" s="170" t="str">
        <f t="shared" si="66"/>
        <v/>
      </c>
      <c r="AV36" s="170" t="str">
        <f t="shared" si="66"/>
        <v/>
      </c>
      <c r="AW36" s="170" t="str">
        <f t="shared" si="66"/>
        <v/>
      </c>
      <c r="AX36" s="170" t="str">
        <f t="shared" si="66"/>
        <v/>
      </c>
      <c r="AY36" s="170" t="str">
        <f t="shared" si="66"/>
        <v/>
      </c>
      <c r="AZ36" s="170" t="str">
        <f t="shared" si="66"/>
        <v/>
      </c>
      <c r="BA36" s="170" t="str">
        <f t="shared" si="66"/>
        <v/>
      </c>
      <c r="BB36" s="171" t="str">
        <f t="shared" si="66"/>
        <v>M6</v>
      </c>
      <c r="BC36" s="172"/>
    </row>
    <row r="37" ht="33.0" customHeight="1">
      <c r="A37" s="173"/>
      <c r="B37" s="174"/>
      <c r="C37" s="175"/>
      <c r="D37" s="175"/>
      <c r="E37" s="175"/>
      <c r="F37" s="175"/>
      <c r="G37" s="176"/>
      <c r="H37" s="177"/>
      <c r="I37" s="178"/>
      <c r="J37" s="177"/>
      <c r="K37" s="177"/>
      <c r="L37" s="177"/>
      <c r="M37" s="177"/>
      <c r="N37" s="179">
        <f t="shared" ref="N37:Q37" si="67">SUM(N6:N36)</f>
        <v>656</v>
      </c>
      <c r="O37" s="179">
        <f t="shared" si="67"/>
        <v>59</v>
      </c>
      <c r="P37" s="179">
        <f t="shared" si="67"/>
        <v>28</v>
      </c>
      <c r="Q37" s="179">
        <f t="shared" si="67"/>
        <v>28</v>
      </c>
      <c r="R37" s="180">
        <f t="shared" ref="R37:S37" si="68">IFERROR(P37/N37,0)</f>
        <v>0.04268292683</v>
      </c>
      <c r="S37" s="180">
        <f t="shared" si="68"/>
        <v>0.4745762712</v>
      </c>
      <c r="T37" s="180">
        <f t="shared" ref="T37:U37" si="69">T5</f>
        <v>0.1552</v>
      </c>
      <c r="U37" s="181">
        <f t="shared" si="69"/>
        <v>0.1104</v>
      </c>
      <c r="V37" s="182"/>
      <c r="W37" s="183"/>
      <c r="X37" s="183"/>
      <c r="Y37" s="183"/>
      <c r="Z37" s="184"/>
      <c r="AA37" s="182"/>
      <c r="AB37" s="183"/>
      <c r="AC37" s="183"/>
      <c r="AD37" s="183"/>
      <c r="AE37" s="184"/>
      <c r="AF37" s="182"/>
      <c r="AG37" s="183"/>
      <c r="AH37" s="183"/>
      <c r="AI37" s="183"/>
      <c r="AJ37" s="184"/>
      <c r="AK37" s="182"/>
      <c r="AL37" s="183"/>
      <c r="AM37" s="183"/>
      <c r="AN37" s="183"/>
      <c r="AO37" s="184"/>
      <c r="AP37" s="182"/>
      <c r="AQ37" s="183"/>
      <c r="AR37" s="183"/>
      <c r="AS37" s="183"/>
      <c r="AT37" s="184"/>
      <c r="AU37" s="182"/>
      <c r="AV37" s="183"/>
      <c r="AW37" s="183"/>
      <c r="AX37" s="183"/>
      <c r="AY37" s="184"/>
      <c r="AZ37" s="182"/>
      <c r="BA37" s="183"/>
      <c r="BB37" s="183"/>
      <c r="BC37" s="185"/>
    </row>
    <row r="38" ht="15.75" customHeight="1">
      <c r="B38" s="186"/>
      <c r="H38" s="187"/>
      <c r="I38" s="188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AT38" s="6"/>
      <c r="AU38" s="6"/>
    </row>
    <row r="39" ht="15.75" customHeight="1">
      <c r="B39" s="189"/>
      <c r="H39" s="187"/>
      <c r="I39" s="188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AK39" s="190"/>
    </row>
    <row r="40" ht="6.0" customHeight="1">
      <c r="B40" s="191"/>
      <c r="H40" s="187"/>
      <c r="I40" s="188"/>
      <c r="L40" s="187"/>
      <c r="M40" s="187"/>
      <c r="N40" s="187"/>
      <c r="O40" s="187"/>
      <c r="P40" s="187"/>
      <c r="Q40" s="187"/>
    </row>
    <row r="41" ht="15.75" customHeight="1">
      <c r="B41" s="192"/>
      <c r="H41" s="187"/>
      <c r="I41" s="188"/>
      <c r="L41" s="187"/>
      <c r="M41" s="187"/>
      <c r="N41" s="187"/>
      <c r="O41" s="187"/>
      <c r="P41" s="187"/>
      <c r="Q41" s="187"/>
    </row>
    <row r="42" ht="15.75" customHeight="1">
      <c r="B42" s="192"/>
      <c r="H42" s="187"/>
      <c r="I42" s="188"/>
      <c r="L42" s="187"/>
      <c r="M42" s="187"/>
      <c r="N42" s="187"/>
      <c r="O42" s="187"/>
      <c r="P42" s="187"/>
      <c r="Q42" s="187"/>
    </row>
    <row r="43" ht="15.75" customHeight="1">
      <c r="H43" s="187"/>
      <c r="I43" s="188"/>
      <c r="L43" s="187"/>
      <c r="M43" s="187"/>
      <c r="N43" s="187"/>
      <c r="O43" s="187"/>
      <c r="P43" s="187"/>
      <c r="Q43" s="187"/>
    </row>
    <row r="44" ht="15.75" customHeight="1">
      <c r="H44" s="187"/>
      <c r="I44" s="188"/>
      <c r="L44" s="187"/>
      <c r="M44" s="187"/>
      <c r="N44" s="187"/>
      <c r="O44" s="187"/>
      <c r="P44" s="187"/>
      <c r="Q44" s="187"/>
    </row>
    <row r="45" ht="15.75" customHeight="1">
      <c r="H45" s="187"/>
      <c r="I45" s="188"/>
      <c r="L45" s="187"/>
      <c r="M45" s="187"/>
      <c r="N45" s="187"/>
      <c r="O45" s="187"/>
      <c r="P45" s="187"/>
      <c r="Q45" s="187"/>
    </row>
    <row r="46" ht="15.75" customHeight="1">
      <c r="H46" s="187"/>
      <c r="I46" s="188"/>
      <c r="L46" s="187"/>
      <c r="M46" s="187"/>
      <c r="N46" s="187"/>
      <c r="O46" s="187"/>
      <c r="P46" s="187"/>
      <c r="Q46" s="187"/>
    </row>
    <row r="47" ht="15.75" customHeight="1">
      <c r="H47" s="187"/>
      <c r="I47" s="188"/>
      <c r="L47" s="187"/>
      <c r="M47" s="187"/>
      <c r="N47" s="187"/>
      <c r="O47" s="187"/>
      <c r="P47" s="187"/>
      <c r="Q47" s="187"/>
    </row>
    <row r="48" ht="15.75" customHeight="1">
      <c r="H48" s="187"/>
      <c r="I48" s="188"/>
      <c r="L48" s="187"/>
      <c r="M48" s="187"/>
      <c r="N48" s="187"/>
      <c r="O48" s="187"/>
      <c r="P48" s="187"/>
      <c r="Q48" s="187"/>
    </row>
    <row r="49" ht="15.75" customHeight="1">
      <c r="H49" s="187"/>
      <c r="I49" s="188"/>
      <c r="L49" s="187"/>
      <c r="M49" s="187"/>
      <c r="N49" s="187"/>
      <c r="O49" s="187"/>
      <c r="P49" s="187"/>
      <c r="Q49" s="187"/>
    </row>
    <row r="50" ht="15.75" customHeight="1">
      <c r="H50" s="187"/>
      <c r="I50" s="188"/>
      <c r="L50" s="187"/>
      <c r="M50" s="187"/>
      <c r="N50" s="187"/>
      <c r="O50" s="187"/>
      <c r="P50" s="187"/>
      <c r="Q50" s="187"/>
    </row>
    <row r="51" ht="15.75" customHeight="1">
      <c r="H51" s="187"/>
      <c r="I51" s="188"/>
      <c r="L51" s="187"/>
      <c r="M51" s="187"/>
      <c r="N51" s="187"/>
      <c r="O51" s="187"/>
      <c r="P51" s="187"/>
      <c r="Q51" s="187"/>
    </row>
    <row r="52" ht="15.75" customHeight="1">
      <c r="H52" s="187"/>
      <c r="I52" s="188"/>
      <c r="L52" s="187"/>
      <c r="M52" s="187"/>
      <c r="N52" s="187"/>
      <c r="O52" s="187"/>
      <c r="P52" s="187"/>
      <c r="Q52" s="187"/>
    </row>
    <row r="53" ht="15.75" customHeight="1">
      <c r="H53" s="187"/>
      <c r="I53" s="188"/>
      <c r="L53" s="187"/>
      <c r="M53" s="187"/>
      <c r="N53" s="187"/>
      <c r="O53" s="187"/>
      <c r="P53" s="187"/>
      <c r="Q53" s="187"/>
    </row>
    <row r="54" ht="15.75" customHeight="1">
      <c r="H54" s="187"/>
      <c r="I54" s="188"/>
      <c r="L54" s="187"/>
      <c r="M54" s="187"/>
      <c r="N54" s="187"/>
      <c r="O54" s="187"/>
      <c r="P54" s="187"/>
      <c r="Q54" s="187"/>
    </row>
    <row r="55" ht="15.75" customHeight="1">
      <c r="H55" s="187"/>
      <c r="I55" s="188"/>
      <c r="L55" s="187"/>
      <c r="M55" s="187"/>
      <c r="N55" s="187"/>
      <c r="O55" s="187"/>
      <c r="P55" s="187"/>
      <c r="Q55" s="187"/>
    </row>
    <row r="56" ht="15.75" customHeight="1">
      <c r="H56" s="187"/>
      <c r="I56" s="188"/>
      <c r="L56" s="187"/>
      <c r="M56" s="187"/>
      <c r="N56" s="187"/>
      <c r="O56" s="187"/>
      <c r="P56" s="187"/>
      <c r="Q56" s="187"/>
    </row>
    <row r="57" ht="15.75" customHeight="1">
      <c r="H57" s="187"/>
      <c r="I57" s="188"/>
      <c r="L57" s="187"/>
      <c r="M57" s="187"/>
      <c r="N57" s="187"/>
      <c r="O57" s="187"/>
      <c r="P57" s="187"/>
      <c r="Q57" s="187"/>
    </row>
    <row r="58" ht="15.75" customHeight="1">
      <c r="H58" s="187"/>
      <c r="I58" s="188"/>
      <c r="L58" s="187"/>
      <c r="M58" s="187"/>
      <c r="N58" s="187"/>
      <c r="O58" s="187"/>
      <c r="P58" s="187"/>
      <c r="Q58" s="187"/>
    </row>
    <row r="59" ht="15.75" customHeight="1">
      <c r="H59" s="187"/>
      <c r="I59" s="188"/>
      <c r="L59" s="187"/>
      <c r="M59" s="187"/>
      <c r="N59" s="187"/>
      <c r="O59" s="187"/>
      <c r="P59" s="187"/>
      <c r="Q59" s="187"/>
    </row>
    <row r="60" ht="15.75" customHeight="1">
      <c r="H60" s="187"/>
      <c r="I60" s="188"/>
      <c r="L60" s="187"/>
      <c r="M60" s="187"/>
      <c r="N60" s="187"/>
      <c r="O60" s="187"/>
      <c r="P60" s="187"/>
      <c r="Q60" s="187"/>
    </row>
    <row r="61" ht="15.75" customHeight="1">
      <c r="H61" s="187"/>
      <c r="I61" s="188"/>
      <c r="L61" s="187"/>
      <c r="M61" s="187"/>
      <c r="N61" s="187"/>
      <c r="O61" s="187"/>
      <c r="P61" s="187"/>
      <c r="Q61" s="187"/>
    </row>
    <row r="62" ht="15.75" customHeight="1">
      <c r="H62" s="187"/>
      <c r="I62" s="188"/>
      <c r="L62" s="187"/>
      <c r="M62" s="187"/>
      <c r="N62" s="187"/>
      <c r="O62" s="187"/>
      <c r="P62" s="187"/>
      <c r="Q62" s="187"/>
    </row>
    <row r="63" ht="15.75" customHeight="1">
      <c r="H63" s="187"/>
      <c r="I63" s="188"/>
      <c r="L63" s="187"/>
      <c r="M63" s="187"/>
      <c r="N63" s="187"/>
      <c r="O63" s="187"/>
      <c r="P63" s="187"/>
      <c r="Q63" s="187"/>
    </row>
    <row r="64" ht="15.75" customHeight="1">
      <c r="H64" s="187"/>
      <c r="I64" s="188"/>
      <c r="L64" s="187"/>
      <c r="M64" s="187"/>
      <c r="N64" s="187"/>
      <c r="O64" s="187"/>
      <c r="P64" s="187"/>
      <c r="Q64" s="187"/>
    </row>
    <row r="65" ht="15.75" customHeight="1">
      <c r="H65" s="187"/>
      <c r="I65" s="188"/>
      <c r="L65" s="187"/>
      <c r="M65" s="187"/>
      <c r="N65" s="187"/>
      <c r="O65" s="187"/>
      <c r="P65" s="187"/>
      <c r="Q65" s="187"/>
    </row>
    <row r="66" ht="15.75" customHeight="1">
      <c r="H66" s="187"/>
      <c r="I66" s="188"/>
      <c r="L66" s="187"/>
      <c r="M66" s="187"/>
      <c r="N66" s="187"/>
      <c r="O66" s="187"/>
      <c r="P66" s="187"/>
      <c r="Q66" s="187"/>
    </row>
    <row r="67" ht="15.75" customHeight="1">
      <c r="H67" s="187"/>
      <c r="I67" s="188"/>
      <c r="L67" s="187"/>
      <c r="M67" s="187"/>
      <c r="N67" s="187"/>
      <c r="O67" s="187"/>
      <c r="P67" s="187"/>
      <c r="Q67" s="187"/>
    </row>
    <row r="68" ht="15.75" customHeight="1">
      <c r="H68" s="187"/>
      <c r="I68" s="188"/>
      <c r="L68" s="187"/>
      <c r="M68" s="187"/>
      <c r="N68" s="187"/>
      <c r="O68" s="187"/>
      <c r="P68" s="187"/>
      <c r="Q68" s="187"/>
    </row>
    <row r="69" ht="15.75" customHeight="1">
      <c r="H69" s="187"/>
      <c r="I69" s="188"/>
      <c r="L69" s="187"/>
      <c r="M69" s="187"/>
      <c r="N69" s="187"/>
      <c r="O69" s="187"/>
      <c r="P69" s="187"/>
      <c r="Q69" s="187"/>
    </row>
    <row r="70" ht="15.75" customHeight="1">
      <c r="H70" s="187"/>
      <c r="I70" s="188"/>
      <c r="L70" s="187"/>
      <c r="M70" s="187"/>
      <c r="N70" s="187"/>
      <c r="O70" s="187"/>
      <c r="P70" s="187"/>
      <c r="Q70" s="187"/>
    </row>
    <row r="71" ht="15.75" customHeight="1">
      <c r="H71" s="187"/>
      <c r="I71" s="188"/>
      <c r="L71" s="187"/>
      <c r="M71" s="187"/>
      <c r="N71" s="187"/>
      <c r="O71" s="187"/>
      <c r="P71" s="187"/>
      <c r="Q71" s="187"/>
    </row>
    <row r="72" ht="15.75" customHeight="1">
      <c r="H72" s="187"/>
      <c r="I72" s="188"/>
      <c r="L72" s="187"/>
      <c r="M72" s="187"/>
      <c r="N72" s="187"/>
      <c r="O72" s="187"/>
      <c r="P72" s="187"/>
      <c r="Q72" s="187"/>
    </row>
    <row r="73" ht="15.75" customHeight="1">
      <c r="H73" s="187"/>
      <c r="I73" s="188"/>
      <c r="L73" s="187"/>
      <c r="M73" s="187"/>
      <c r="N73" s="187"/>
      <c r="O73" s="187"/>
      <c r="P73" s="187"/>
      <c r="Q73" s="187"/>
    </row>
    <row r="74" ht="15.75" customHeight="1">
      <c r="H74" s="187"/>
      <c r="I74" s="188"/>
      <c r="L74" s="187"/>
      <c r="M74" s="187"/>
      <c r="N74" s="187"/>
      <c r="O74" s="187"/>
      <c r="P74" s="187"/>
      <c r="Q74" s="187"/>
    </row>
    <row r="75" ht="15.75" customHeight="1">
      <c r="H75" s="187"/>
      <c r="I75" s="188"/>
      <c r="L75" s="187"/>
      <c r="M75" s="187"/>
      <c r="N75" s="187"/>
      <c r="O75" s="187"/>
      <c r="P75" s="187"/>
      <c r="Q75" s="187"/>
    </row>
    <row r="76" ht="15.75" customHeight="1">
      <c r="H76" s="187"/>
      <c r="I76" s="188"/>
      <c r="L76" s="187"/>
      <c r="M76" s="187"/>
      <c r="N76" s="187"/>
      <c r="O76" s="187"/>
      <c r="P76" s="187"/>
      <c r="Q76" s="187"/>
    </row>
    <row r="77" ht="15.75" customHeight="1">
      <c r="H77" s="187"/>
      <c r="I77" s="188"/>
      <c r="L77" s="187"/>
      <c r="M77" s="187"/>
      <c r="N77" s="187"/>
      <c r="O77" s="187"/>
      <c r="P77" s="187"/>
      <c r="Q77" s="187"/>
    </row>
    <row r="78" ht="15.75" customHeight="1">
      <c r="H78" s="187"/>
      <c r="I78" s="188"/>
      <c r="L78" s="187"/>
      <c r="M78" s="187"/>
      <c r="N78" s="187"/>
      <c r="O78" s="187"/>
      <c r="P78" s="187"/>
      <c r="Q78" s="187"/>
    </row>
    <row r="79" ht="15.75" customHeight="1">
      <c r="H79" s="187"/>
      <c r="I79" s="188"/>
      <c r="L79" s="187"/>
      <c r="M79" s="187"/>
      <c r="N79" s="187"/>
      <c r="O79" s="187"/>
      <c r="P79" s="187"/>
      <c r="Q79" s="187"/>
    </row>
    <row r="80" ht="15.75" customHeight="1">
      <c r="H80" s="187"/>
      <c r="I80" s="188"/>
      <c r="L80" s="187"/>
      <c r="M80" s="187"/>
      <c r="N80" s="187"/>
      <c r="O80" s="187"/>
      <c r="P80" s="187"/>
      <c r="Q80" s="187"/>
    </row>
    <row r="81" ht="15.75" customHeight="1">
      <c r="H81" s="187"/>
      <c r="I81" s="188"/>
      <c r="L81" s="187"/>
      <c r="M81" s="187"/>
      <c r="N81" s="187"/>
      <c r="O81" s="187"/>
      <c r="P81" s="187"/>
      <c r="Q81" s="187"/>
    </row>
    <row r="82" ht="15.75" customHeight="1">
      <c r="H82" s="187"/>
      <c r="I82" s="188"/>
      <c r="L82" s="187"/>
      <c r="M82" s="187"/>
      <c r="N82" s="187"/>
      <c r="O82" s="187"/>
      <c r="P82" s="187"/>
      <c r="Q82" s="187"/>
    </row>
    <row r="83" ht="15.75" customHeight="1">
      <c r="H83" s="187"/>
      <c r="I83" s="188"/>
      <c r="L83" s="187"/>
      <c r="M83" s="187"/>
      <c r="N83" s="187"/>
      <c r="O83" s="187"/>
      <c r="P83" s="187"/>
      <c r="Q83" s="187"/>
    </row>
    <row r="84" ht="15.75" customHeight="1">
      <c r="H84" s="187"/>
      <c r="I84" s="188"/>
      <c r="L84" s="187"/>
      <c r="M84" s="187"/>
      <c r="N84" s="187"/>
      <c r="O84" s="187"/>
      <c r="P84" s="187"/>
      <c r="Q84" s="187"/>
    </row>
    <row r="85" ht="15.75" customHeight="1">
      <c r="H85" s="187"/>
      <c r="I85" s="188"/>
      <c r="L85" s="187"/>
      <c r="M85" s="187"/>
      <c r="N85" s="187"/>
      <c r="O85" s="187"/>
      <c r="P85" s="187"/>
      <c r="Q85" s="187"/>
    </row>
    <row r="86" ht="15.75" customHeight="1">
      <c r="H86" s="187"/>
      <c r="I86" s="188"/>
      <c r="L86" s="187"/>
      <c r="M86" s="187"/>
      <c r="N86" s="187"/>
      <c r="O86" s="187"/>
      <c r="P86" s="187"/>
      <c r="Q86" s="187"/>
    </row>
    <row r="87" ht="15.75" customHeight="1">
      <c r="H87" s="187"/>
      <c r="I87" s="188"/>
      <c r="L87" s="187"/>
      <c r="M87" s="187"/>
      <c r="N87" s="187"/>
      <c r="O87" s="187"/>
      <c r="P87" s="187"/>
      <c r="Q87" s="187"/>
    </row>
    <row r="88" ht="15.75" customHeight="1">
      <c r="H88" s="187"/>
      <c r="I88" s="188"/>
      <c r="L88" s="187"/>
      <c r="M88" s="187"/>
      <c r="N88" s="187"/>
      <c r="O88" s="187"/>
      <c r="P88" s="187"/>
      <c r="Q88" s="187"/>
    </row>
    <row r="89" ht="15.75" customHeight="1">
      <c r="H89" s="187"/>
      <c r="I89" s="188"/>
      <c r="L89" s="187"/>
      <c r="M89" s="187"/>
      <c r="N89" s="187"/>
      <c r="O89" s="187"/>
      <c r="P89" s="187"/>
      <c r="Q89" s="187"/>
    </row>
    <row r="90" ht="15.75" customHeight="1">
      <c r="H90" s="187"/>
      <c r="I90" s="188"/>
      <c r="L90" s="187"/>
      <c r="M90" s="187"/>
      <c r="N90" s="187"/>
      <c r="O90" s="187"/>
      <c r="P90" s="187"/>
      <c r="Q90" s="187"/>
    </row>
    <row r="91" ht="15.75" customHeight="1">
      <c r="H91" s="187"/>
      <c r="I91" s="188"/>
      <c r="L91" s="187"/>
      <c r="M91" s="187"/>
      <c r="N91" s="187"/>
      <c r="O91" s="187"/>
      <c r="P91" s="187"/>
      <c r="Q91" s="187"/>
    </row>
    <row r="92" ht="15.75" customHeight="1">
      <c r="H92" s="187"/>
      <c r="I92" s="188"/>
      <c r="L92" s="187"/>
      <c r="M92" s="187"/>
      <c r="N92" s="187"/>
      <c r="O92" s="187"/>
      <c r="P92" s="187"/>
      <c r="Q92" s="187"/>
    </row>
    <row r="93" ht="15.75" customHeight="1">
      <c r="H93" s="187"/>
      <c r="I93" s="188"/>
      <c r="L93" s="187"/>
      <c r="M93" s="187"/>
      <c r="N93" s="187"/>
      <c r="O93" s="187"/>
      <c r="P93" s="187"/>
      <c r="Q93" s="187"/>
    </row>
    <row r="94" ht="15.75" customHeight="1">
      <c r="H94" s="187"/>
      <c r="I94" s="188"/>
      <c r="L94" s="187"/>
      <c r="M94" s="187"/>
      <c r="N94" s="187"/>
      <c r="O94" s="187"/>
      <c r="P94" s="187"/>
      <c r="Q94" s="187"/>
    </row>
    <row r="95" ht="15.75" customHeight="1">
      <c r="H95" s="187"/>
      <c r="I95" s="188"/>
      <c r="L95" s="187"/>
      <c r="M95" s="187"/>
      <c r="N95" s="187"/>
      <c r="O95" s="187"/>
      <c r="P95" s="187"/>
      <c r="Q95" s="187"/>
    </row>
    <row r="96" ht="15.75" customHeight="1">
      <c r="H96" s="187"/>
      <c r="I96" s="188"/>
      <c r="L96" s="187"/>
      <c r="M96" s="187"/>
      <c r="N96" s="187"/>
      <c r="O96" s="187"/>
      <c r="P96" s="187"/>
      <c r="Q96" s="187"/>
    </row>
    <row r="97" ht="15.75" customHeight="1">
      <c r="H97" s="187"/>
      <c r="I97" s="188"/>
      <c r="L97" s="187"/>
      <c r="M97" s="187"/>
      <c r="N97" s="187"/>
      <c r="O97" s="187"/>
      <c r="P97" s="187"/>
      <c r="Q97" s="187"/>
    </row>
    <row r="98" ht="15.75" customHeight="1">
      <c r="H98" s="187"/>
      <c r="I98" s="188"/>
      <c r="L98" s="187"/>
      <c r="M98" s="187"/>
      <c r="N98" s="187"/>
      <c r="O98" s="187"/>
      <c r="P98" s="187"/>
      <c r="Q98" s="187"/>
    </row>
    <row r="99" ht="15.75" customHeight="1">
      <c r="H99" s="187"/>
      <c r="I99" s="188"/>
      <c r="L99" s="187"/>
      <c r="M99" s="187"/>
      <c r="N99" s="187"/>
      <c r="O99" s="187"/>
      <c r="P99" s="187"/>
      <c r="Q99" s="187"/>
    </row>
    <row r="100" ht="15.75" customHeight="1">
      <c r="H100" s="187"/>
      <c r="I100" s="188"/>
      <c r="L100" s="187"/>
      <c r="M100" s="187"/>
      <c r="N100" s="187"/>
      <c r="O100" s="187"/>
      <c r="P100" s="187"/>
      <c r="Q100" s="187"/>
    </row>
    <row r="101" ht="15.75" customHeight="1">
      <c r="H101" s="187"/>
      <c r="I101" s="188"/>
      <c r="L101" s="187"/>
      <c r="M101" s="187"/>
      <c r="N101" s="187"/>
      <c r="O101" s="187"/>
      <c r="P101" s="187"/>
      <c r="Q101" s="187"/>
    </row>
    <row r="102" ht="15.75" customHeight="1">
      <c r="H102" s="187"/>
      <c r="I102" s="188"/>
      <c r="L102" s="187"/>
      <c r="M102" s="187"/>
      <c r="N102" s="187"/>
      <c r="O102" s="187"/>
      <c r="P102" s="187"/>
      <c r="Q102" s="187"/>
    </row>
    <row r="103" ht="15.75" customHeight="1">
      <c r="H103" s="187"/>
      <c r="I103" s="188"/>
      <c r="L103" s="187"/>
      <c r="M103" s="187"/>
      <c r="N103" s="187"/>
      <c r="O103" s="187"/>
      <c r="P103" s="187"/>
      <c r="Q103" s="187"/>
    </row>
    <row r="104" ht="15.75" customHeight="1">
      <c r="H104" s="187"/>
      <c r="I104" s="188"/>
      <c r="L104" s="187"/>
      <c r="M104" s="187"/>
      <c r="N104" s="187"/>
      <c r="O104" s="187"/>
      <c r="P104" s="187"/>
      <c r="Q104" s="187"/>
    </row>
    <row r="105" ht="15.75" customHeight="1">
      <c r="H105" s="187"/>
      <c r="I105" s="188"/>
      <c r="L105" s="187"/>
      <c r="M105" s="187"/>
      <c r="N105" s="187"/>
      <c r="O105" s="187"/>
      <c r="P105" s="187"/>
      <c r="Q105" s="187"/>
    </row>
    <row r="106" ht="15.75" customHeight="1">
      <c r="H106" s="187"/>
      <c r="I106" s="188"/>
      <c r="L106" s="187"/>
      <c r="M106" s="187"/>
      <c r="N106" s="187"/>
      <c r="O106" s="187"/>
      <c r="P106" s="187"/>
      <c r="Q106" s="187"/>
    </row>
    <row r="107" ht="15.75" customHeight="1">
      <c r="H107" s="187"/>
      <c r="I107" s="188"/>
      <c r="L107" s="187"/>
      <c r="M107" s="187"/>
      <c r="N107" s="187"/>
      <c r="O107" s="187"/>
      <c r="P107" s="187"/>
      <c r="Q107" s="187"/>
    </row>
    <row r="108" ht="15.75" customHeight="1">
      <c r="H108" s="187"/>
      <c r="I108" s="188"/>
      <c r="L108" s="187"/>
      <c r="M108" s="187"/>
      <c r="N108" s="187"/>
      <c r="O108" s="187"/>
      <c r="P108" s="187"/>
      <c r="Q108" s="187"/>
    </row>
    <row r="109" ht="15.75" customHeight="1">
      <c r="H109" s="187"/>
      <c r="I109" s="188"/>
      <c r="L109" s="187"/>
      <c r="M109" s="187"/>
      <c r="N109" s="187"/>
      <c r="O109" s="187"/>
      <c r="P109" s="187"/>
      <c r="Q109" s="187"/>
    </row>
    <row r="110" ht="15.75" customHeight="1">
      <c r="H110" s="187"/>
      <c r="I110" s="188"/>
      <c r="L110" s="187"/>
      <c r="M110" s="187"/>
      <c r="N110" s="187"/>
      <c r="O110" s="187"/>
      <c r="P110" s="187"/>
      <c r="Q110" s="187"/>
    </row>
    <row r="111" ht="15.75" customHeight="1">
      <c r="H111" s="187"/>
      <c r="I111" s="188"/>
      <c r="L111" s="187"/>
      <c r="M111" s="187"/>
      <c r="N111" s="187"/>
      <c r="O111" s="187"/>
      <c r="P111" s="187"/>
      <c r="Q111" s="187"/>
    </row>
    <row r="112" ht="15.75" customHeight="1">
      <c r="H112" s="187"/>
      <c r="I112" s="188"/>
      <c r="L112" s="187"/>
      <c r="M112" s="187"/>
      <c r="N112" s="187"/>
      <c r="O112" s="187"/>
      <c r="P112" s="187"/>
      <c r="Q112" s="187"/>
    </row>
    <row r="113" ht="15.75" customHeight="1">
      <c r="H113" s="187"/>
      <c r="I113" s="188"/>
      <c r="L113" s="187"/>
      <c r="M113" s="187"/>
      <c r="N113" s="187"/>
      <c r="O113" s="187"/>
      <c r="P113" s="187"/>
      <c r="Q113" s="187"/>
    </row>
    <row r="114" ht="15.75" customHeight="1">
      <c r="H114" s="187"/>
      <c r="I114" s="188"/>
      <c r="L114" s="187"/>
      <c r="M114" s="187"/>
      <c r="N114" s="187"/>
      <c r="O114" s="187"/>
      <c r="P114" s="187"/>
      <c r="Q114" s="187"/>
    </row>
    <row r="115" ht="15.75" customHeight="1">
      <c r="H115" s="187"/>
      <c r="I115" s="188"/>
      <c r="L115" s="187"/>
      <c r="M115" s="187"/>
      <c r="N115" s="187"/>
      <c r="O115" s="187"/>
      <c r="P115" s="187"/>
      <c r="Q115" s="187"/>
    </row>
    <row r="116" ht="15.75" customHeight="1">
      <c r="H116" s="187"/>
      <c r="I116" s="188"/>
      <c r="L116" s="187"/>
      <c r="M116" s="187"/>
      <c r="N116" s="187"/>
      <c r="O116" s="187"/>
      <c r="P116" s="187"/>
      <c r="Q116" s="187"/>
    </row>
    <row r="117" ht="15.75" customHeight="1">
      <c r="H117" s="187"/>
      <c r="I117" s="188"/>
      <c r="L117" s="187"/>
      <c r="M117" s="187"/>
      <c r="N117" s="187"/>
      <c r="O117" s="187"/>
      <c r="P117" s="187"/>
      <c r="Q117" s="187"/>
    </row>
    <row r="118" ht="15.75" customHeight="1">
      <c r="H118" s="187"/>
      <c r="I118" s="188"/>
      <c r="L118" s="187"/>
      <c r="M118" s="187"/>
      <c r="N118" s="187"/>
      <c r="O118" s="187"/>
      <c r="P118" s="187"/>
      <c r="Q118" s="187"/>
    </row>
    <row r="119" ht="15.75" customHeight="1">
      <c r="H119" s="187"/>
      <c r="I119" s="188"/>
      <c r="L119" s="187"/>
      <c r="M119" s="187"/>
      <c r="N119" s="187"/>
      <c r="O119" s="187"/>
      <c r="P119" s="187"/>
      <c r="Q119" s="187"/>
    </row>
    <row r="120" ht="15.75" customHeight="1">
      <c r="H120" s="187"/>
      <c r="I120" s="188"/>
      <c r="L120" s="187"/>
      <c r="M120" s="187"/>
      <c r="N120" s="187"/>
      <c r="O120" s="187"/>
      <c r="P120" s="187"/>
      <c r="Q120" s="187"/>
    </row>
    <row r="121" ht="15.75" customHeight="1">
      <c r="H121" s="187"/>
      <c r="I121" s="188"/>
      <c r="L121" s="187"/>
      <c r="M121" s="187"/>
      <c r="N121" s="187"/>
      <c r="O121" s="187"/>
      <c r="P121" s="187"/>
      <c r="Q121" s="187"/>
    </row>
    <row r="122" ht="15.75" customHeight="1">
      <c r="H122" s="187"/>
      <c r="I122" s="188"/>
      <c r="L122" s="187"/>
      <c r="M122" s="187"/>
      <c r="N122" s="187"/>
      <c r="O122" s="187"/>
      <c r="P122" s="187"/>
      <c r="Q122" s="187"/>
    </row>
    <row r="123" ht="15.75" customHeight="1">
      <c r="H123" s="187"/>
      <c r="I123" s="188"/>
      <c r="L123" s="187"/>
      <c r="M123" s="187"/>
      <c r="N123" s="187"/>
      <c r="O123" s="187"/>
      <c r="P123" s="187"/>
      <c r="Q123" s="187"/>
    </row>
    <row r="124" ht="15.75" customHeight="1">
      <c r="H124" s="187"/>
      <c r="I124" s="188"/>
      <c r="L124" s="187"/>
      <c r="M124" s="187"/>
      <c r="N124" s="187"/>
      <c r="O124" s="187"/>
      <c r="P124" s="187"/>
      <c r="Q124" s="187"/>
    </row>
    <row r="125" ht="15.75" customHeight="1">
      <c r="H125" s="187"/>
      <c r="I125" s="188"/>
      <c r="L125" s="187"/>
      <c r="M125" s="187"/>
      <c r="N125" s="187"/>
      <c r="O125" s="187"/>
      <c r="P125" s="187"/>
      <c r="Q125" s="187"/>
    </row>
    <row r="126" ht="15.75" customHeight="1">
      <c r="H126" s="187"/>
      <c r="I126" s="188"/>
      <c r="L126" s="187"/>
      <c r="M126" s="187"/>
      <c r="N126" s="187"/>
      <c r="O126" s="187"/>
      <c r="P126" s="187"/>
      <c r="Q126" s="187"/>
    </row>
    <row r="127" ht="15.75" customHeight="1">
      <c r="H127" s="187"/>
      <c r="I127" s="188"/>
      <c r="L127" s="187"/>
      <c r="M127" s="187"/>
      <c r="N127" s="187"/>
      <c r="O127" s="187"/>
      <c r="P127" s="187"/>
      <c r="Q127" s="187"/>
    </row>
    <row r="128" ht="15.75" customHeight="1">
      <c r="H128" s="187"/>
      <c r="I128" s="188"/>
      <c r="L128" s="187"/>
      <c r="M128" s="187"/>
      <c r="N128" s="187"/>
      <c r="O128" s="187"/>
      <c r="P128" s="187"/>
      <c r="Q128" s="187"/>
    </row>
    <row r="129" ht="15.75" customHeight="1">
      <c r="H129" s="187"/>
      <c r="I129" s="188"/>
      <c r="L129" s="187"/>
      <c r="M129" s="187"/>
      <c r="N129" s="187"/>
      <c r="O129" s="187"/>
      <c r="P129" s="187"/>
      <c r="Q129" s="187"/>
    </row>
    <row r="130" ht="15.75" customHeight="1">
      <c r="H130" s="187"/>
      <c r="I130" s="188"/>
      <c r="L130" s="187"/>
      <c r="M130" s="187"/>
      <c r="N130" s="187"/>
      <c r="O130" s="187"/>
      <c r="P130" s="187"/>
      <c r="Q130" s="187"/>
    </row>
    <row r="131" ht="15.75" customHeight="1">
      <c r="H131" s="187"/>
      <c r="I131" s="188"/>
      <c r="L131" s="187"/>
      <c r="M131" s="187"/>
      <c r="N131" s="187"/>
      <c r="O131" s="187"/>
      <c r="P131" s="187"/>
      <c r="Q131" s="187"/>
    </row>
    <row r="132" ht="15.75" customHeight="1">
      <c r="H132" s="187"/>
      <c r="I132" s="188"/>
      <c r="L132" s="187"/>
      <c r="M132" s="187"/>
      <c r="N132" s="187"/>
      <c r="O132" s="187"/>
      <c r="P132" s="187"/>
      <c r="Q132" s="187"/>
    </row>
    <row r="133" ht="15.75" customHeight="1">
      <c r="H133" s="187"/>
      <c r="I133" s="188"/>
      <c r="L133" s="187"/>
      <c r="M133" s="187"/>
      <c r="N133" s="187"/>
      <c r="O133" s="187"/>
      <c r="P133" s="187"/>
      <c r="Q133" s="187"/>
    </row>
    <row r="134" ht="15.75" customHeight="1">
      <c r="H134" s="187"/>
      <c r="I134" s="188"/>
      <c r="L134" s="187"/>
      <c r="M134" s="187"/>
      <c r="N134" s="187"/>
      <c r="O134" s="187"/>
      <c r="P134" s="187"/>
      <c r="Q134" s="187"/>
    </row>
    <row r="135" ht="15.75" customHeight="1">
      <c r="H135" s="187"/>
      <c r="I135" s="188"/>
      <c r="L135" s="187"/>
      <c r="M135" s="187"/>
      <c r="N135" s="187"/>
      <c r="O135" s="187"/>
      <c r="P135" s="187"/>
      <c r="Q135" s="187"/>
    </row>
    <row r="136" ht="15.75" customHeight="1">
      <c r="H136" s="187"/>
      <c r="I136" s="188"/>
      <c r="L136" s="187"/>
      <c r="M136" s="187"/>
      <c r="N136" s="187"/>
      <c r="O136" s="187"/>
      <c r="P136" s="187"/>
      <c r="Q136" s="187"/>
    </row>
    <row r="137" ht="15.75" customHeight="1">
      <c r="H137" s="187"/>
      <c r="I137" s="188"/>
      <c r="L137" s="187"/>
      <c r="M137" s="187"/>
      <c r="N137" s="187"/>
      <c r="O137" s="187"/>
      <c r="P137" s="187"/>
      <c r="Q137" s="187"/>
    </row>
    <row r="138" ht="15.75" customHeight="1">
      <c r="H138" s="187"/>
      <c r="I138" s="188"/>
      <c r="L138" s="187"/>
      <c r="M138" s="187"/>
      <c r="N138" s="187"/>
      <c r="O138" s="187"/>
      <c r="P138" s="187"/>
      <c r="Q138" s="187"/>
    </row>
    <row r="139" ht="15.75" customHeight="1">
      <c r="H139" s="187"/>
      <c r="I139" s="188"/>
      <c r="L139" s="187"/>
      <c r="M139" s="187"/>
      <c r="N139" s="187"/>
      <c r="O139" s="187"/>
      <c r="P139" s="187"/>
      <c r="Q139" s="187"/>
    </row>
    <row r="140" ht="15.75" customHeight="1">
      <c r="H140" s="187"/>
      <c r="I140" s="188"/>
      <c r="L140" s="187"/>
      <c r="M140" s="187"/>
      <c r="N140" s="187"/>
      <c r="O140" s="187"/>
      <c r="P140" s="187"/>
      <c r="Q140" s="187"/>
    </row>
    <row r="141" ht="15.75" customHeight="1">
      <c r="H141" s="187"/>
      <c r="I141" s="188"/>
      <c r="L141" s="187"/>
      <c r="M141" s="187"/>
      <c r="N141" s="187"/>
      <c r="O141" s="187"/>
      <c r="P141" s="187"/>
      <c r="Q141" s="187"/>
    </row>
    <row r="142" ht="15.75" customHeight="1">
      <c r="H142" s="187"/>
      <c r="I142" s="188"/>
      <c r="L142" s="187"/>
      <c r="M142" s="187"/>
      <c r="N142" s="187"/>
      <c r="O142" s="187"/>
      <c r="P142" s="187"/>
      <c r="Q142" s="187"/>
    </row>
    <row r="143" ht="15.75" customHeight="1">
      <c r="H143" s="187"/>
      <c r="I143" s="188"/>
      <c r="L143" s="187"/>
      <c r="M143" s="187"/>
      <c r="N143" s="187"/>
      <c r="O143" s="187"/>
      <c r="P143" s="187"/>
      <c r="Q143" s="187"/>
    </row>
    <row r="144" ht="15.75" customHeight="1">
      <c r="H144" s="187"/>
      <c r="I144" s="188"/>
      <c r="L144" s="187"/>
      <c r="M144" s="187"/>
      <c r="N144" s="187"/>
      <c r="O144" s="187"/>
      <c r="P144" s="187"/>
      <c r="Q144" s="187"/>
    </row>
    <row r="145" ht="15.75" customHeight="1">
      <c r="H145" s="187"/>
      <c r="I145" s="188"/>
      <c r="L145" s="187"/>
      <c r="M145" s="187"/>
      <c r="N145" s="187"/>
      <c r="O145" s="187"/>
      <c r="P145" s="187"/>
      <c r="Q145" s="187"/>
    </row>
    <row r="146" ht="15.75" customHeight="1">
      <c r="H146" s="187"/>
      <c r="I146" s="188"/>
      <c r="L146" s="187"/>
      <c r="M146" s="187"/>
      <c r="N146" s="187"/>
      <c r="O146" s="187"/>
      <c r="P146" s="187"/>
      <c r="Q146" s="187"/>
    </row>
    <row r="147" ht="15.75" customHeight="1">
      <c r="H147" s="187"/>
      <c r="I147" s="188"/>
      <c r="L147" s="187"/>
      <c r="M147" s="187"/>
      <c r="N147" s="187"/>
      <c r="O147" s="187"/>
      <c r="P147" s="187"/>
      <c r="Q147" s="187"/>
    </row>
    <row r="148" ht="15.75" customHeight="1">
      <c r="H148" s="187"/>
      <c r="I148" s="188"/>
      <c r="L148" s="187"/>
      <c r="M148" s="187"/>
      <c r="N148" s="187"/>
      <c r="O148" s="187"/>
      <c r="P148" s="187"/>
      <c r="Q148" s="187"/>
    </row>
    <row r="149" ht="15.75" customHeight="1">
      <c r="H149" s="187"/>
      <c r="I149" s="188"/>
      <c r="L149" s="187"/>
      <c r="M149" s="187"/>
      <c r="N149" s="187"/>
      <c r="O149" s="187"/>
      <c r="P149" s="187"/>
      <c r="Q149" s="187"/>
    </row>
    <row r="150" ht="15.75" customHeight="1">
      <c r="H150" s="187"/>
      <c r="I150" s="188"/>
      <c r="L150" s="187"/>
      <c r="M150" s="187"/>
      <c r="N150" s="187"/>
      <c r="O150" s="187"/>
      <c r="P150" s="187"/>
      <c r="Q150" s="187"/>
    </row>
    <row r="151" ht="15.75" customHeight="1">
      <c r="H151" s="187"/>
      <c r="I151" s="188"/>
      <c r="L151" s="187"/>
      <c r="M151" s="187"/>
      <c r="N151" s="187"/>
      <c r="O151" s="187"/>
      <c r="P151" s="187"/>
      <c r="Q151" s="187"/>
    </row>
    <row r="152" ht="15.75" customHeight="1">
      <c r="H152" s="187"/>
      <c r="I152" s="188"/>
      <c r="L152" s="187"/>
      <c r="M152" s="187"/>
      <c r="N152" s="187"/>
      <c r="O152" s="187"/>
      <c r="P152" s="187"/>
      <c r="Q152" s="187"/>
    </row>
    <row r="153" ht="15.75" customHeight="1">
      <c r="H153" s="187"/>
      <c r="I153" s="188"/>
      <c r="L153" s="187"/>
      <c r="M153" s="187"/>
      <c r="N153" s="187"/>
      <c r="O153" s="187"/>
      <c r="P153" s="187"/>
      <c r="Q153" s="187"/>
    </row>
    <row r="154" ht="15.75" customHeight="1">
      <c r="H154" s="187"/>
      <c r="I154" s="188"/>
      <c r="L154" s="187"/>
      <c r="M154" s="187"/>
      <c r="N154" s="187"/>
      <c r="O154" s="187"/>
      <c r="P154" s="187"/>
      <c r="Q154" s="187"/>
    </row>
    <row r="155" ht="15.75" customHeight="1">
      <c r="H155" s="187"/>
      <c r="I155" s="188"/>
      <c r="L155" s="187"/>
      <c r="M155" s="187"/>
      <c r="N155" s="187"/>
      <c r="O155" s="187"/>
      <c r="P155" s="187"/>
      <c r="Q155" s="187"/>
    </row>
    <row r="156" ht="15.75" customHeight="1">
      <c r="H156" s="187"/>
      <c r="I156" s="188"/>
      <c r="L156" s="187"/>
      <c r="M156" s="187"/>
      <c r="N156" s="187"/>
      <c r="O156" s="187"/>
      <c r="P156" s="187"/>
      <c r="Q156" s="187"/>
    </row>
    <row r="157" ht="15.75" customHeight="1">
      <c r="H157" s="187"/>
      <c r="I157" s="188"/>
      <c r="L157" s="187"/>
      <c r="M157" s="187"/>
      <c r="N157" s="187"/>
      <c r="O157" s="187"/>
      <c r="P157" s="187"/>
      <c r="Q157" s="187"/>
    </row>
    <row r="158" ht="15.75" customHeight="1">
      <c r="H158" s="187"/>
      <c r="I158" s="188"/>
      <c r="L158" s="187"/>
      <c r="M158" s="187"/>
      <c r="N158" s="187"/>
      <c r="O158" s="187"/>
      <c r="P158" s="187"/>
      <c r="Q158" s="187"/>
    </row>
    <row r="159" ht="15.75" customHeight="1">
      <c r="H159" s="187"/>
      <c r="I159" s="188"/>
      <c r="L159" s="187"/>
      <c r="M159" s="187"/>
      <c r="N159" s="187"/>
      <c r="O159" s="187"/>
      <c r="P159" s="187"/>
      <c r="Q159" s="187"/>
    </row>
    <row r="160" ht="15.75" customHeight="1">
      <c r="H160" s="187"/>
      <c r="I160" s="188"/>
      <c r="L160" s="187"/>
      <c r="M160" s="187"/>
      <c r="N160" s="187"/>
      <c r="O160" s="187"/>
      <c r="P160" s="187"/>
      <c r="Q160" s="187"/>
    </row>
    <row r="161" ht="15.75" customHeight="1">
      <c r="H161" s="187"/>
      <c r="I161" s="188"/>
      <c r="L161" s="187"/>
      <c r="M161" s="187"/>
      <c r="N161" s="187"/>
      <c r="O161" s="187"/>
      <c r="P161" s="187"/>
      <c r="Q161" s="187"/>
    </row>
    <row r="162" ht="15.75" customHeight="1">
      <c r="H162" s="187"/>
      <c r="I162" s="188"/>
      <c r="L162" s="187"/>
      <c r="M162" s="187"/>
      <c r="N162" s="187"/>
      <c r="O162" s="187"/>
      <c r="P162" s="187"/>
      <c r="Q162" s="187"/>
    </row>
    <row r="163" ht="15.75" customHeight="1">
      <c r="H163" s="187"/>
      <c r="I163" s="188"/>
      <c r="L163" s="187"/>
      <c r="M163" s="187"/>
      <c r="N163" s="187"/>
      <c r="O163" s="187"/>
      <c r="P163" s="187"/>
      <c r="Q163" s="187"/>
    </row>
    <row r="164" ht="15.75" customHeight="1">
      <c r="H164" s="187"/>
      <c r="I164" s="188"/>
      <c r="L164" s="187"/>
      <c r="M164" s="187"/>
      <c r="N164" s="187"/>
      <c r="O164" s="187"/>
      <c r="P164" s="187"/>
      <c r="Q164" s="187"/>
    </row>
    <row r="165" ht="15.75" customHeight="1">
      <c r="H165" s="187"/>
      <c r="I165" s="188"/>
      <c r="L165" s="187"/>
      <c r="M165" s="187"/>
      <c r="N165" s="187"/>
      <c r="O165" s="187"/>
      <c r="P165" s="187"/>
      <c r="Q165" s="187"/>
    </row>
    <row r="166" ht="15.75" customHeight="1">
      <c r="H166" s="187"/>
      <c r="I166" s="188"/>
      <c r="L166" s="187"/>
      <c r="M166" s="187"/>
      <c r="N166" s="187"/>
      <c r="O166" s="187"/>
      <c r="P166" s="187"/>
      <c r="Q166" s="187"/>
    </row>
    <row r="167" ht="15.75" customHeight="1">
      <c r="H167" s="187"/>
      <c r="I167" s="188"/>
      <c r="L167" s="187"/>
      <c r="M167" s="187"/>
      <c r="N167" s="187"/>
      <c r="O167" s="187"/>
      <c r="P167" s="187"/>
      <c r="Q167" s="187"/>
    </row>
    <row r="168" ht="15.75" customHeight="1">
      <c r="H168" s="187"/>
      <c r="I168" s="188"/>
      <c r="L168" s="187"/>
      <c r="M168" s="187"/>
      <c r="N168" s="187"/>
      <c r="O168" s="187"/>
      <c r="P168" s="187"/>
      <c r="Q168" s="187"/>
    </row>
    <row r="169" ht="15.75" customHeight="1">
      <c r="H169" s="187"/>
      <c r="I169" s="188"/>
      <c r="L169" s="187"/>
      <c r="M169" s="187"/>
      <c r="N169" s="187"/>
      <c r="O169" s="187"/>
      <c r="P169" s="187"/>
      <c r="Q169" s="187"/>
    </row>
    <row r="170" ht="15.75" customHeight="1">
      <c r="H170" s="187"/>
      <c r="I170" s="188"/>
      <c r="L170" s="187"/>
      <c r="M170" s="187"/>
      <c r="N170" s="187"/>
      <c r="O170" s="187"/>
      <c r="P170" s="187"/>
      <c r="Q170" s="187"/>
    </row>
    <row r="171" ht="15.75" customHeight="1">
      <c r="H171" s="187"/>
      <c r="I171" s="188"/>
      <c r="L171" s="187"/>
      <c r="M171" s="187"/>
      <c r="N171" s="187"/>
      <c r="O171" s="187"/>
      <c r="P171" s="187"/>
      <c r="Q171" s="187"/>
    </row>
    <row r="172" ht="15.75" customHeight="1">
      <c r="H172" s="187"/>
      <c r="I172" s="188"/>
      <c r="L172" s="187"/>
      <c r="M172" s="187"/>
      <c r="N172" s="187"/>
      <c r="O172" s="187"/>
      <c r="P172" s="187"/>
      <c r="Q172" s="187"/>
    </row>
    <row r="173" ht="15.75" customHeight="1">
      <c r="H173" s="187"/>
      <c r="I173" s="188"/>
      <c r="L173" s="187"/>
      <c r="M173" s="187"/>
      <c r="N173" s="187"/>
      <c r="O173" s="187"/>
      <c r="P173" s="187"/>
      <c r="Q173" s="187"/>
    </row>
    <row r="174" ht="15.75" customHeight="1">
      <c r="H174" s="187"/>
      <c r="I174" s="188"/>
      <c r="L174" s="187"/>
      <c r="M174" s="187"/>
      <c r="N174" s="187"/>
      <c r="O174" s="187"/>
      <c r="P174" s="187"/>
      <c r="Q174" s="187"/>
    </row>
    <row r="175" ht="15.75" customHeight="1">
      <c r="H175" s="187"/>
      <c r="I175" s="188"/>
      <c r="L175" s="187"/>
      <c r="M175" s="187"/>
      <c r="N175" s="187"/>
      <c r="O175" s="187"/>
      <c r="P175" s="187"/>
      <c r="Q175" s="187"/>
    </row>
    <row r="176" ht="15.75" customHeight="1">
      <c r="H176" s="187"/>
      <c r="I176" s="188"/>
      <c r="L176" s="187"/>
      <c r="M176" s="187"/>
      <c r="N176" s="187"/>
      <c r="O176" s="187"/>
      <c r="P176" s="187"/>
      <c r="Q176" s="187"/>
    </row>
    <row r="177" ht="15.75" customHeight="1">
      <c r="H177" s="187"/>
      <c r="I177" s="188"/>
      <c r="L177" s="187"/>
      <c r="M177" s="187"/>
      <c r="N177" s="187"/>
      <c r="O177" s="187"/>
      <c r="P177" s="187"/>
      <c r="Q177" s="187"/>
    </row>
    <row r="178" ht="15.75" customHeight="1">
      <c r="H178" s="187"/>
      <c r="I178" s="188"/>
      <c r="L178" s="187"/>
      <c r="M178" s="187"/>
      <c r="N178" s="187"/>
      <c r="O178" s="187"/>
      <c r="P178" s="187"/>
      <c r="Q178" s="187"/>
    </row>
    <row r="179" ht="15.75" customHeight="1">
      <c r="H179" s="187"/>
      <c r="I179" s="188"/>
      <c r="L179" s="187"/>
      <c r="M179" s="187"/>
      <c r="N179" s="187"/>
      <c r="O179" s="187"/>
      <c r="P179" s="187"/>
      <c r="Q179" s="187"/>
    </row>
    <row r="180" ht="15.75" customHeight="1">
      <c r="H180" s="187"/>
      <c r="I180" s="188"/>
      <c r="L180" s="187"/>
      <c r="M180" s="187"/>
      <c r="N180" s="187"/>
      <c r="O180" s="187"/>
      <c r="P180" s="187"/>
      <c r="Q180" s="187"/>
    </row>
    <row r="181" ht="15.75" customHeight="1">
      <c r="H181" s="187"/>
      <c r="I181" s="188"/>
      <c r="L181" s="187"/>
      <c r="M181" s="187"/>
      <c r="N181" s="187"/>
      <c r="O181" s="187"/>
      <c r="P181" s="187"/>
      <c r="Q181" s="187"/>
    </row>
    <row r="182" ht="15.75" customHeight="1">
      <c r="H182" s="187"/>
      <c r="I182" s="188"/>
      <c r="L182" s="187"/>
      <c r="M182" s="187"/>
      <c r="N182" s="187"/>
      <c r="O182" s="187"/>
      <c r="P182" s="187"/>
      <c r="Q182" s="187"/>
    </row>
    <row r="183" ht="15.75" customHeight="1">
      <c r="H183" s="187"/>
      <c r="I183" s="188"/>
      <c r="L183" s="187"/>
      <c r="M183" s="187"/>
      <c r="N183" s="187"/>
      <c r="O183" s="187"/>
      <c r="P183" s="187"/>
      <c r="Q183" s="187"/>
    </row>
    <row r="184" ht="15.75" customHeight="1">
      <c r="H184" s="187"/>
      <c r="I184" s="188"/>
      <c r="L184" s="187"/>
      <c r="M184" s="187"/>
      <c r="N184" s="187"/>
      <c r="O184" s="187"/>
      <c r="P184" s="187"/>
      <c r="Q184" s="187"/>
    </row>
    <row r="185" ht="15.75" customHeight="1">
      <c r="H185" s="187"/>
      <c r="I185" s="188"/>
      <c r="L185" s="187"/>
      <c r="M185" s="187"/>
      <c r="N185" s="187"/>
      <c r="O185" s="187"/>
      <c r="P185" s="187"/>
      <c r="Q185" s="187"/>
    </row>
    <row r="186" ht="15.75" customHeight="1">
      <c r="H186" s="187"/>
      <c r="I186" s="188"/>
      <c r="L186" s="187"/>
      <c r="M186" s="187"/>
      <c r="N186" s="187"/>
      <c r="O186" s="187"/>
      <c r="P186" s="187"/>
      <c r="Q186" s="187"/>
    </row>
    <row r="187" ht="15.75" customHeight="1">
      <c r="H187" s="187"/>
      <c r="I187" s="188"/>
      <c r="L187" s="187"/>
      <c r="M187" s="187"/>
      <c r="N187" s="187"/>
      <c r="O187" s="187"/>
      <c r="P187" s="187"/>
      <c r="Q187" s="187"/>
    </row>
    <row r="188" ht="15.75" customHeight="1">
      <c r="H188" s="187"/>
      <c r="I188" s="188"/>
      <c r="L188" s="187"/>
      <c r="M188" s="187"/>
      <c r="N188" s="187"/>
      <c r="O188" s="187"/>
      <c r="P188" s="187"/>
      <c r="Q188" s="187"/>
    </row>
    <row r="189" ht="15.75" customHeight="1">
      <c r="H189" s="187"/>
      <c r="I189" s="188"/>
      <c r="L189" s="187"/>
      <c r="M189" s="187"/>
      <c r="N189" s="187"/>
      <c r="O189" s="187"/>
      <c r="P189" s="187"/>
      <c r="Q189" s="187"/>
    </row>
    <row r="190" ht="15.75" customHeight="1">
      <c r="H190" s="187"/>
      <c r="I190" s="188"/>
      <c r="L190" s="187"/>
      <c r="M190" s="187"/>
      <c r="N190" s="187"/>
      <c r="O190" s="187"/>
      <c r="P190" s="187"/>
      <c r="Q190" s="187"/>
    </row>
    <row r="191" ht="15.75" customHeight="1">
      <c r="H191" s="187"/>
      <c r="I191" s="188"/>
      <c r="L191" s="187"/>
      <c r="M191" s="187"/>
      <c r="N191" s="187"/>
      <c r="O191" s="187"/>
      <c r="P191" s="187"/>
      <c r="Q191" s="187"/>
    </row>
    <row r="192" ht="15.75" customHeight="1">
      <c r="H192" s="187"/>
      <c r="I192" s="188"/>
      <c r="L192" s="187"/>
      <c r="M192" s="187"/>
      <c r="N192" s="187"/>
      <c r="O192" s="187"/>
      <c r="P192" s="187"/>
      <c r="Q192" s="187"/>
    </row>
    <row r="193" ht="15.75" customHeight="1">
      <c r="H193" s="187"/>
      <c r="I193" s="188"/>
      <c r="L193" s="187"/>
      <c r="M193" s="187"/>
      <c r="N193" s="187"/>
      <c r="O193" s="187"/>
      <c r="P193" s="187"/>
      <c r="Q193" s="187"/>
    </row>
    <row r="194" ht="15.75" customHeight="1">
      <c r="H194" s="187"/>
      <c r="I194" s="188"/>
      <c r="L194" s="187"/>
      <c r="M194" s="187"/>
      <c r="N194" s="187"/>
      <c r="O194" s="187"/>
      <c r="P194" s="187"/>
      <c r="Q194" s="187"/>
    </row>
    <row r="195" ht="15.75" customHeight="1">
      <c r="H195" s="187"/>
      <c r="I195" s="188"/>
      <c r="L195" s="187"/>
      <c r="M195" s="187"/>
      <c r="N195" s="187"/>
      <c r="O195" s="187"/>
      <c r="P195" s="187"/>
      <c r="Q195" s="187"/>
    </row>
    <row r="196" ht="15.75" customHeight="1">
      <c r="H196" s="187"/>
      <c r="I196" s="188"/>
      <c r="L196" s="187"/>
      <c r="M196" s="187"/>
      <c r="N196" s="187"/>
      <c r="O196" s="187"/>
      <c r="P196" s="187"/>
      <c r="Q196" s="187"/>
    </row>
    <row r="197" ht="15.75" customHeight="1">
      <c r="H197" s="187"/>
      <c r="I197" s="188"/>
      <c r="L197" s="187"/>
      <c r="M197" s="187"/>
      <c r="N197" s="187"/>
      <c r="O197" s="187"/>
      <c r="P197" s="187"/>
      <c r="Q197" s="187"/>
    </row>
    <row r="198" ht="15.75" customHeight="1">
      <c r="H198" s="187"/>
      <c r="I198" s="188"/>
      <c r="L198" s="187"/>
      <c r="M198" s="187"/>
      <c r="N198" s="187"/>
      <c r="O198" s="187"/>
      <c r="P198" s="187"/>
      <c r="Q198" s="187"/>
    </row>
    <row r="199" ht="15.75" customHeight="1">
      <c r="H199" s="187"/>
      <c r="I199" s="188"/>
      <c r="L199" s="187"/>
      <c r="M199" s="187"/>
      <c r="N199" s="187"/>
      <c r="O199" s="187"/>
      <c r="P199" s="187"/>
      <c r="Q199" s="187"/>
    </row>
    <row r="200" ht="15.75" customHeight="1">
      <c r="H200" s="187"/>
      <c r="I200" s="188"/>
      <c r="L200" s="187"/>
      <c r="M200" s="187"/>
      <c r="N200" s="187"/>
      <c r="O200" s="187"/>
      <c r="P200" s="187"/>
      <c r="Q200" s="187"/>
    </row>
    <row r="201" ht="15.75" customHeight="1">
      <c r="H201" s="187"/>
      <c r="I201" s="188"/>
      <c r="L201" s="187"/>
      <c r="M201" s="187"/>
      <c r="N201" s="187"/>
      <c r="O201" s="187"/>
      <c r="P201" s="187"/>
      <c r="Q201" s="187"/>
    </row>
    <row r="202" ht="15.75" customHeight="1">
      <c r="H202" s="187"/>
      <c r="I202" s="188"/>
      <c r="L202" s="187"/>
      <c r="M202" s="187"/>
      <c r="N202" s="187"/>
      <c r="O202" s="187"/>
      <c r="P202" s="187"/>
      <c r="Q202" s="187"/>
    </row>
    <row r="203" ht="15.75" customHeight="1">
      <c r="H203" s="187"/>
      <c r="I203" s="188"/>
      <c r="L203" s="187"/>
      <c r="M203" s="187"/>
      <c r="N203" s="187"/>
      <c r="O203" s="187"/>
      <c r="P203" s="187"/>
      <c r="Q203" s="187"/>
    </row>
    <row r="204" ht="15.75" customHeight="1">
      <c r="H204" s="187"/>
      <c r="I204" s="188"/>
      <c r="L204" s="187"/>
      <c r="M204" s="187"/>
      <c r="N204" s="187"/>
      <c r="O204" s="187"/>
      <c r="P204" s="187"/>
      <c r="Q204" s="187"/>
    </row>
    <row r="205" ht="15.75" customHeight="1">
      <c r="H205" s="187"/>
      <c r="I205" s="188"/>
      <c r="L205" s="187"/>
      <c r="M205" s="187"/>
      <c r="N205" s="187"/>
      <c r="O205" s="187"/>
      <c r="P205" s="187"/>
      <c r="Q205" s="187"/>
    </row>
    <row r="206" ht="15.75" customHeight="1">
      <c r="H206" s="187"/>
      <c r="I206" s="188"/>
      <c r="L206" s="187"/>
      <c r="M206" s="187"/>
      <c r="N206" s="187"/>
      <c r="O206" s="187"/>
      <c r="P206" s="187"/>
      <c r="Q206" s="187"/>
    </row>
    <row r="207" ht="15.75" customHeight="1">
      <c r="H207" s="187"/>
      <c r="I207" s="188"/>
      <c r="L207" s="187"/>
      <c r="M207" s="187"/>
      <c r="N207" s="187"/>
      <c r="O207" s="187"/>
      <c r="P207" s="187"/>
      <c r="Q207" s="187"/>
    </row>
    <row r="208" ht="15.75" customHeight="1">
      <c r="H208" s="187"/>
      <c r="I208" s="188"/>
      <c r="L208" s="187"/>
      <c r="M208" s="187"/>
      <c r="N208" s="187"/>
      <c r="O208" s="187"/>
      <c r="P208" s="187"/>
      <c r="Q208" s="187"/>
    </row>
    <row r="209" ht="15.75" customHeight="1">
      <c r="H209" s="187"/>
      <c r="I209" s="188"/>
      <c r="L209" s="187"/>
      <c r="M209" s="187"/>
      <c r="N209" s="187"/>
      <c r="O209" s="187"/>
      <c r="P209" s="187"/>
      <c r="Q209" s="187"/>
    </row>
    <row r="210" ht="15.75" customHeight="1">
      <c r="H210" s="187"/>
      <c r="I210" s="188"/>
      <c r="L210" s="187"/>
      <c r="M210" s="187"/>
      <c r="N210" s="187"/>
      <c r="O210" s="187"/>
      <c r="P210" s="187"/>
      <c r="Q210" s="187"/>
    </row>
    <row r="211" ht="15.75" customHeight="1">
      <c r="H211" s="187"/>
      <c r="I211" s="188"/>
      <c r="L211" s="187"/>
      <c r="M211" s="187"/>
      <c r="N211" s="187"/>
      <c r="O211" s="187"/>
      <c r="P211" s="187"/>
      <c r="Q211" s="187"/>
    </row>
    <row r="212" ht="15.75" customHeight="1">
      <c r="H212" s="187"/>
      <c r="I212" s="188"/>
      <c r="L212" s="187"/>
      <c r="M212" s="187"/>
      <c r="N212" s="187"/>
      <c r="O212" s="187"/>
      <c r="P212" s="187"/>
      <c r="Q212" s="187"/>
    </row>
    <row r="213" ht="15.75" customHeight="1">
      <c r="H213" s="187"/>
      <c r="I213" s="188"/>
      <c r="L213" s="187"/>
      <c r="M213" s="187"/>
      <c r="N213" s="187"/>
      <c r="O213" s="187"/>
      <c r="P213" s="187"/>
      <c r="Q213" s="187"/>
    </row>
    <row r="214" ht="15.75" customHeight="1">
      <c r="H214" s="187"/>
      <c r="I214" s="188"/>
      <c r="L214" s="187"/>
      <c r="M214" s="187"/>
      <c r="N214" s="187"/>
      <c r="O214" s="187"/>
      <c r="P214" s="187"/>
      <c r="Q214" s="187"/>
    </row>
    <row r="215" ht="15.75" customHeight="1">
      <c r="H215" s="187"/>
      <c r="I215" s="188"/>
      <c r="L215" s="187"/>
      <c r="M215" s="187"/>
      <c r="N215" s="187"/>
      <c r="O215" s="187"/>
      <c r="P215" s="187"/>
      <c r="Q215" s="187"/>
    </row>
    <row r="216" ht="15.75" customHeight="1">
      <c r="H216" s="187"/>
      <c r="I216" s="188"/>
      <c r="L216" s="187"/>
      <c r="M216" s="187"/>
      <c r="N216" s="187"/>
      <c r="O216" s="187"/>
      <c r="P216" s="187"/>
      <c r="Q216" s="187"/>
    </row>
    <row r="217" ht="15.75" customHeight="1">
      <c r="H217" s="187"/>
      <c r="I217" s="188"/>
      <c r="L217" s="187"/>
      <c r="M217" s="187"/>
      <c r="N217" s="187"/>
      <c r="O217" s="187"/>
      <c r="P217" s="187"/>
      <c r="Q217" s="187"/>
    </row>
    <row r="218" ht="15.75" customHeight="1">
      <c r="H218" s="187"/>
      <c r="I218" s="188"/>
      <c r="L218" s="187"/>
      <c r="M218" s="187"/>
      <c r="N218" s="187"/>
      <c r="O218" s="187"/>
      <c r="P218" s="187"/>
      <c r="Q218" s="187"/>
    </row>
    <row r="219" ht="15.75" customHeight="1">
      <c r="H219" s="187"/>
      <c r="I219" s="188"/>
      <c r="L219" s="187"/>
      <c r="M219" s="187"/>
      <c r="N219" s="187"/>
      <c r="O219" s="187"/>
      <c r="P219" s="187"/>
      <c r="Q219" s="187"/>
    </row>
    <row r="220" ht="15.75" customHeight="1">
      <c r="H220" s="187"/>
      <c r="I220" s="188"/>
      <c r="L220" s="187"/>
      <c r="M220" s="187"/>
      <c r="N220" s="187"/>
      <c r="O220" s="187"/>
      <c r="P220" s="187"/>
      <c r="Q220" s="187"/>
    </row>
    <row r="221" ht="15.75" customHeight="1">
      <c r="H221" s="187"/>
      <c r="I221" s="188"/>
      <c r="L221" s="187"/>
      <c r="M221" s="187"/>
      <c r="N221" s="187"/>
      <c r="O221" s="187"/>
      <c r="P221" s="187"/>
      <c r="Q221" s="187"/>
    </row>
    <row r="222" ht="15.75" customHeight="1">
      <c r="H222" s="187"/>
      <c r="I222" s="188"/>
      <c r="L222" s="187"/>
      <c r="M222" s="187"/>
      <c r="N222" s="187"/>
      <c r="O222" s="187"/>
      <c r="P222" s="187"/>
      <c r="Q222" s="187"/>
    </row>
    <row r="223" ht="15.75" customHeight="1">
      <c r="H223" s="187"/>
      <c r="I223" s="188"/>
      <c r="L223" s="187"/>
      <c r="M223" s="187"/>
      <c r="N223" s="187"/>
      <c r="O223" s="187"/>
      <c r="P223" s="187"/>
      <c r="Q223" s="187"/>
    </row>
    <row r="224" ht="15.75" customHeight="1">
      <c r="H224" s="187"/>
      <c r="I224" s="188"/>
      <c r="L224" s="187"/>
      <c r="M224" s="187"/>
      <c r="N224" s="187"/>
      <c r="O224" s="187"/>
      <c r="P224" s="187"/>
      <c r="Q224" s="187"/>
    </row>
    <row r="225" ht="15.75" customHeight="1">
      <c r="H225" s="187"/>
      <c r="I225" s="188"/>
      <c r="L225" s="187"/>
      <c r="M225" s="187"/>
      <c r="N225" s="187"/>
      <c r="O225" s="187"/>
      <c r="P225" s="187"/>
      <c r="Q225" s="187"/>
    </row>
    <row r="226" ht="15.75" customHeight="1">
      <c r="H226" s="187"/>
      <c r="I226" s="188"/>
      <c r="L226" s="187"/>
      <c r="M226" s="187"/>
      <c r="N226" s="187"/>
      <c r="O226" s="187"/>
      <c r="P226" s="187"/>
      <c r="Q226" s="187"/>
    </row>
    <row r="227" ht="15.75" customHeight="1">
      <c r="H227" s="187"/>
      <c r="I227" s="188"/>
      <c r="L227" s="187"/>
      <c r="M227" s="187"/>
      <c r="N227" s="187"/>
      <c r="O227" s="187"/>
      <c r="P227" s="187"/>
      <c r="Q227" s="187"/>
    </row>
    <row r="228" ht="15.75" customHeight="1">
      <c r="H228" s="187"/>
      <c r="I228" s="188"/>
      <c r="L228" s="187"/>
      <c r="M228" s="187"/>
      <c r="N228" s="187"/>
      <c r="O228" s="187"/>
      <c r="P228" s="187"/>
      <c r="Q228" s="187"/>
    </row>
    <row r="229" ht="15.75" customHeight="1">
      <c r="H229" s="187"/>
      <c r="I229" s="188"/>
      <c r="L229" s="187"/>
      <c r="M229" s="187"/>
      <c r="N229" s="187"/>
      <c r="O229" s="187"/>
      <c r="P229" s="187"/>
      <c r="Q229" s="187"/>
    </row>
    <row r="230" ht="15.75" customHeight="1">
      <c r="H230" s="187"/>
      <c r="I230" s="188"/>
      <c r="L230" s="187"/>
      <c r="M230" s="187"/>
      <c r="N230" s="187"/>
      <c r="O230" s="187"/>
      <c r="P230" s="187"/>
      <c r="Q230" s="187"/>
    </row>
    <row r="231" ht="15.75" customHeight="1">
      <c r="H231" s="187"/>
      <c r="I231" s="188"/>
      <c r="L231" s="187"/>
      <c r="M231" s="187"/>
      <c r="N231" s="187"/>
      <c r="O231" s="187"/>
      <c r="P231" s="187"/>
      <c r="Q231" s="187"/>
    </row>
    <row r="232" ht="15.75" customHeight="1">
      <c r="H232" s="187"/>
      <c r="I232" s="188"/>
      <c r="L232" s="187"/>
      <c r="M232" s="187"/>
      <c r="N232" s="187"/>
      <c r="O232" s="187"/>
      <c r="P232" s="187"/>
      <c r="Q232" s="187"/>
    </row>
    <row r="233" ht="15.75" customHeight="1">
      <c r="H233" s="187"/>
      <c r="I233" s="188"/>
      <c r="L233" s="187"/>
      <c r="M233" s="187"/>
      <c r="N233" s="187"/>
      <c r="O233" s="187"/>
      <c r="P233" s="187"/>
      <c r="Q233" s="187"/>
    </row>
    <row r="234" ht="15.75" customHeight="1">
      <c r="H234" s="187"/>
      <c r="I234" s="188"/>
      <c r="L234" s="187"/>
      <c r="M234" s="187"/>
      <c r="N234" s="187"/>
      <c r="O234" s="187"/>
      <c r="P234" s="187"/>
      <c r="Q234" s="187"/>
    </row>
    <row r="235" ht="15.75" customHeight="1">
      <c r="I235" s="193"/>
    </row>
    <row r="236" ht="15.75" customHeight="1">
      <c r="I236" s="193"/>
    </row>
    <row r="237" ht="15.75" customHeight="1">
      <c r="I237" s="193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9">
    <mergeCell ref="H4:H5"/>
    <mergeCell ref="I4:I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32:G32"/>
    <mergeCell ref="F33:G33"/>
    <mergeCell ref="F34:G34"/>
    <mergeCell ref="F35:G35"/>
    <mergeCell ref="F36:G36"/>
    <mergeCell ref="B37:G37"/>
    <mergeCell ref="F25:G25"/>
    <mergeCell ref="F26:G26"/>
    <mergeCell ref="F27:G27"/>
    <mergeCell ref="F28:G28"/>
    <mergeCell ref="F29:G29"/>
    <mergeCell ref="F30:G30"/>
    <mergeCell ref="F31:G31"/>
    <mergeCell ref="M3:M4"/>
    <mergeCell ref="N3:N4"/>
    <mergeCell ref="N1:P1"/>
    <mergeCell ref="B3:E4"/>
    <mergeCell ref="F3:G5"/>
    <mergeCell ref="H3:I3"/>
    <mergeCell ref="J3:J4"/>
    <mergeCell ref="K3:K4"/>
    <mergeCell ref="L3:L4"/>
    <mergeCell ref="D5:E5"/>
    <mergeCell ref="V4:X4"/>
    <mergeCell ref="Y4:AB4"/>
    <mergeCell ref="AC4:AG4"/>
    <mergeCell ref="AH4:AK4"/>
    <mergeCell ref="AL4:AO4"/>
    <mergeCell ref="AP4:AT4"/>
    <mergeCell ref="AU4:AX4"/>
    <mergeCell ref="AY4:BB4"/>
    <mergeCell ref="O3:O4"/>
    <mergeCell ref="P3:P4"/>
    <mergeCell ref="Q3:Q4"/>
    <mergeCell ref="R3:R4"/>
    <mergeCell ref="S3:S4"/>
    <mergeCell ref="T3:U3"/>
    <mergeCell ref="V3:BB3"/>
  </mergeCells>
  <conditionalFormatting sqref="N6:N36">
    <cfRule type="cellIs" dxfId="0" priority="1" operator="equal">
      <formula>0</formula>
    </cfRule>
  </conditionalFormatting>
  <conditionalFormatting sqref="O6:Q36">
    <cfRule type="cellIs" dxfId="1" priority="2" operator="equal">
      <formula>0</formula>
    </cfRule>
  </conditionalFormatting>
  <conditionalFormatting sqref="R6:U36">
    <cfRule type="colorScale" priority="3">
      <colorScale>
        <cfvo type="percent" val="0"/>
        <cfvo type="max"/>
        <color rgb="FFFFFFFF"/>
        <color rgb="FF44F300"/>
      </colorScale>
    </cfRule>
  </conditionalFormatting>
  <conditionalFormatting sqref="U6:U36">
    <cfRule type="colorScale" priority="4">
      <colorScale>
        <cfvo type="formula" val="-100%"/>
        <cfvo type="formula" val="0"/>
        <cfvo type="formula" val="100%"/>
        <color rgb="FFE06666"/>
        <color rgb="FFFFFFFF"/>
        <color rgb="FF00FF00"/>
      </colorScale>
    </cfRule>
  </conditionalFormatting>
  <conditionalFormatting sqref="V6:BB36">
    <cfRule type="expression" dxfId="2" priority="5" stopIfTrue="1">
      <formula>OR(V6="M1", V6="M2", V6="M3", V6="M4", V6="M5", V6="M6")</formula>
    </cfRule>
  </conditionalFormatting>
  <conditionalFormatting sqref="V6:BB36">
    <cfRule type="expression" dxfId="3" priority="6" stopIfTrue="1">
      <formula>OR(V6="완료", AND($L6&lt;&gt;"", $L6&lt;W$2, IF($S6&gt;=1, $M6, MIN(IF($M6&lt;&gt;"", $M6, DATE(2099,1,1)), IF(ISBLANK($K$1), TODAY(), $K$1)))&gt;=V$2))</formula>
    </cfRule>
  </conditionalFormatting>
  <conditionalFormatting sqref="V6:BB36">
    <cfRule type="expression" dxfId="4" priority="7" stopIfTrue="1">
      <formula>AND($S6&lt;1, $J6&lt;&gt;"", $J6&lt;W$2, $K6&gt;=V$2)</formula>
    </cfRule>
  </conditionalFormatting>
  <dataValidations>
    <dataValidation type="custom" allowBlank="1" showDropDown="1" showErrorMessage="1" sqref="J6:M36">
      <formula1>OR(NOT(ISERROR(DATEVALUE(J6))), AND(ISNUMBER(J6), LEFT(CELL("format", J6))="D"))</formula1>
    </dataValidation>
  </dataValidation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4.75"/>
    <col customWidth="1" min="2" max="26" width="11.0"/>
  </cols>
  <sheetData>
    <row r="1">
      <c r="A1" s="2" t="s">
        <v>1</v>
      </c>
    </row>
    <row r="2">
      <c r="A2" s="5">
        <v>46289.0</v>
      </c>
      <c r="B2" s="6" t="s">
        <v>2</v>
      </c>
    </row>
    <row r="3">
      <c r="A3" s="5">
        <v>46290.0</v>
      </c>
      <c r="B3" s="6" t="s">
        <v>3</v>
      </c>
    </row>
    <row r="4">
      <c r="A4" s="5">
        <v>46291.0</v>
      </c>
      <c r="B4" s="6" t="s">
        <v>2</v>
      </c>
    </row>
    <row r="5">
      <c r="A5" s="5">
        <v>46300.0</v>
      </c>
      <c r="B5" s="6" t="s">
        <v>5</v>
      </c>
    </row>
    <row r="6">
      <c r="A6" s="5">
        <v>46304.0</v>
      </c>
      <c r="B6" s="6" t="s">
        <v>6</v>
      </c>
    </row>
    <row r="7">
      <c r="A7" s="9">
        <v>46381.0</v>
      </c>
      <c r="B7" s="10" t="s">
        <v>8</v>
      </c>
    </row>
    <row r="8">
      <c r="A8" s="5">
        <v>46388.0</v>
      </c>
      <c r="B8" s="6" t="s">
        <v>9</v>
      </c>
    </row>
    <row r="9">
      <c r="A9" s="5">
        <v>46426.0</v>
      </c>
      <c r="B9" s="6" t="s">
        <v>10</v>
      </c>
    </row>
    <row r="10">
      <c r="A10" s="5">
        <v>46427.0</v>
      </c>
      <c r="B10" s="6" t="s">
        <v>11</v>
      </c>
    </row>
    <row r="11">
      <c r="A11" s="5">
        <v>46447.0</v>
      </c>
      <c r="B11" s="6" t="s">
        <v>12</v>
      </c>
    </row>
    <row r="12">
      <c r="A12" s="5">
        <v>46512.0</v>
      </c>
      <c r="B12" s="6" t="s">
        <v>13</v>
      </c>
    </row>
    <row r="13" ht="15.75" customHeight="1">
      <c r="A13" s="5">
        <v>46520.0</v>
      </c>
      <c r="B13" s="6" t="s">
        <v>15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