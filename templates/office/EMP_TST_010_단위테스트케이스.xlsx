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1020" windowWidth="29040" windowHeight="15720" tabRatio="600" firstSheet="0" activeTab="0" autoFilterDateGrouping="1"/>
  </bookViews>
  <sheets>
    <sheet xmlns:r="http://schemas.openxmlformats.org/officeDocument/2006/relationships" name="표지" sheetId="1" state="visible" r:id="rId1"/>
    <sheet xmlns:r="http://schemas.openxmlformats.org/officeDocument/2006/relationships" name="문서이력" sheetId="2" state="visible" r:id="rId2"/>
    <sheet xmlns:r="http://schemas.openxmlformats.org/officeDocument/2006/relationships" name="현황" sheetId="3" state="visible" r:id="rId3"/>
    <sheet xmlns:r="http://schemas.openxmlformats.org/officeDocument/2006/relationships" name="01.시안처리및OCR" sheetId="4" state="visible" r:id="rId4"/>
    <sheet xmlns:r="http://schemas.openxmlformats.org/officeDocument/2006/relationships" name="02.3단계AI판정" sheetId="5" state="visible" r:id="rId5"/>
    <sheet xmlns:r="http://schemas.openxmlformats.org/officeDocument/2006/relationships" name="03.문안대조및대체" sheetId="6" state="visible" r:id="rId6"/>
    <sheet xmlns:r="http://schemas.openxmlformats.org/officeDocument/2006/relationships" name="04.RA전문심의" sheetId="7" state="visible" r:id="rId7"/>
    <sheet xmlns:r="http://schemas.openxmlformats.org/officeDocument/2006/relationships" name="05.시스템및연계" sheetId="8" state="visible" r:id="rId8"/>
  </sheets>
  <definedNames>
    <definedName name="_xlnm.Print_Area" localSheetId="0">'표지'!$A$1:$H$30</definedName>
    <definedName name="_xlnm.Print_Area" localSheetId="1">'문서이력'!$A$1:$F$20</definedName>
    <definedName name="_xlnm.Print_Area" localSheetId="2">'현황'!$A$1:$V$10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_-* #,##0_-;\-* #,##0_-;_-* &quot;-&quot;_-;_-@_-"/>
    <numFmt numFmtId="166" formatCode="_-* #,##0_-;\-* #,##0_-;_-* &quot;-&quot;_-;_-@"/>
    <numFmt numFmtId="167" formatCode="#,##0.0&quot;%&quot;"/>
    <numFmt numFmtId="168" formatCode="&quot;기준일자 : &quot;yyyy/mm/dd"/>
  </numFmts>
  <fonts count="31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color theme="1"/>
      <sz val="9"/>
      <scheme val="minor"/>
    </font>
    <font>
      <name val="굴림"/>
      <charset val="129"/>
      <family val="3"/>
      <sz val="10"/>
    </font>
    <font>
      <name val="맑은 고딕"/>
      <charset val="129"/>
      <family val="3"/>
      <b val="1"/>
      <sz val="26"/>
      <scheme val="minor"/>
    </font>
    <font>
      <name val="돋움"/>
      <charset val="129"/>
      <family val="3"/>
      <sz val="8"/>
    </font>
    <font>
      <name val="맑은 고딕"/>
      <charset val="129"/>
      <family val="3"/>
      <sz val="11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b val="1"/>
      <sz val="16"/>
      <scheme val="minor"/>
    </font>
    <font>
      <name val="돋움"/>
      <charset val="129"/>
      <family val="3"/>
      <sz val="11"/>
    </font>
    <font>
      <name val="맑은 고딕"/>
      <charset val="129"/>
      <family val="3"/>
      <b val="1"/>
      <sz val="14"/>
      <scheme val="minor"/>
    </font>
    <font>
      <name val="맑은 고딕"/>
      <charset val="129"/>
      <family val="3"/>
      <sz val="14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b val="1"/>
      <color theme="1"/>
      <sz val="9"/>
      <scheme val="minor"/>
    </font>
    <font>
      <name val="맑은 고딕"/>
      <charset val="129"/>
      <family val="3"/>
      <b val="1"/>
      <color theme="1"/>
      <sz val="14"/>
      <scheme val="minor"/>
    </font>
    <font>
      <name val="맑은 고딕"/>
      <charset val="129"/>
      <family val="3"/>
      <sz val="8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3"/>
      <b val="1"/>
      <color theme="1"/>
      <sz val="11"/>
    </font>
    <font>
      <name val="맑은 고딕"/>
      <charset val="129"/>
      <family val="3"/>
      <color theme="1"/>
      <sz val="11"/>
    </font>
    <font>
      <name val="맑은 고딕"/>
      <charset val="129"/>
      <family val="3"/>
      <color theme="1"/>
      <sz val="10"/>
    </font>
    <font>
      <name val="맑은 고딕"/>
      <charset val="129"/>
      <family val="3"/>
      <b val="1"/>
      <color theme="1"/>
      <sz val="10"/>
    </font>
    <font>
      <name val="맑은 고딕"/>
      <charset val="129"/>
      <family val="2"/>
      <color theme="1"/>
      <sz val="9"/>
      <scheme val="minor"/>
    </font>
    <font>
      <name val="맑은 고딕"/>
      <charset val="129"/>
      <family val="3"/>
      <b val="1"/>
      <sz val="11"/>
    </font>
    <font>
      <name val="맑은 고딕"/>
      <charset val="129"/>
      <family val="3"/>
      <b val="1"/>
      <color rgb="FF0070C0"/>
      <sz val="11"/>
    </font>
    <font>
      <name val="맑은 고딕"/>
      <charset val="129"/>
      <family val="3"/>
      <b val="1"/>
      <color rgb="FFC55A11"/>
      <sz val="11"/>
    </font>
    <font>
      <name val="맑은 고딕"/>
      <charset val="129"/>
      <family val="3"/>
      <b val="1"/>
      <color rgb="FFFF0000"/>
      <sz val="11"/>
    </font>
    <font>
      <name val="맑은 고딕"/>
      <charset val="129"/>
      <family val="3"/>
      <b val="1"/>
      <color rgb="FFC00000"/>
      <sz val="11"/>
    </font>
    <font>
      <name val="맑은 고딕"/>
      <family val="2"/>
      <b val="1"/>
      <sz val="10"/>
      <scheme val="minor"/>
    </font>
    <font>
      <name val="맑은 고딕"/>
      <family val="2"/>
      <sz val="10"/>
      <scheme val="minor"/>
    </font>
    <font>
      <name val="맑은 고딕"/>
      <b val="1"/>
      <sz val="14"/>
    </font>
    <font>
      <name val="맑은 고딕"/>
      <sz val="9"/>
    </font>
  </fonts>
  <fills count="16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DB69"/>
        <bgColor indexed="64"/>
      </patternFill>
    </fill>
    <fill>
      <patternFill patternType="solid">
        <fgColor rgb="FFFFFFCC"/>
        <bgColor rgb="FFE2EFD9"/>
      </patternFill>
    </fill>
    <fill>
      <patternFill patternType="solid">
        <fgColor theme="8" tint="0.7999816888943144"/>
        <bgColor rgb="FFDEEAF6"/>
      </patternFill>
    </fill>
    <fill>
      <patternFill patternType="solid">
        <fgColor theme="8" tint="0.7999816888943144"/>
        <bgColor indexed="64"/>
      </patternFill>
    </fill>
    <fill>
      <patternFill patternType="solid">
        <fgColor rgb="FFFFFFCC"/>
        <bgColor rgb="FFFBE4D5"/>
      </patternFill>
    </fill>
    <fill>
      <patternFill patternType="solid">
        <fgColor rgb="FFFEDAE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8" tint="0.7999816888943144"/>
        <bgColor rgb="FFE2EFD9"/>
      </patternFill>
    </fill>
    <fill>
      <patternFill patternType="solid">
        <fgColor rgb="FFEAEAEA"/>
        <bgColor indexed="64"/>
      </patternFill>
    </fill>
  </fills>
  <borders count="119">
    <border>
      <left/>
      <right/>
      <top/>
      <bottom/>
      <diagonal/>
    </border>
    <border>
      <left style="medium">
        <color indexed="64"/>
      </left>
      <right style="thin">
        <color auto="1"/>
      </right>
      <top style="thin">
        <color theme="0" tint="-0.1499679555650502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theme="0" tint="-0.1499679555650502"/>
      </top>
      <bottom style="medium">
        <color indexed="64"/>
      </bottom>
      <diagonal/>
    </border>
    <border>
      <left/>
      <right/>
      <top style="thin">
        <color theme="0" tint="-0.1499679555650502"/>
      </top>
      <bottom style="thin">
        <color theme="0" tint="-0.1499679555650502"/>
      </bottom>
      <diagonal/>
    </border>
    <border>
      <left/>
      <right/>
      <top style="thin">
        <color theme="0" tint="-0.1499679555650502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indexed="64"/>
      </bottom>
      <diagonal/>
    </border>
    <border>
      <left/>
      <right/>
      <top style="medium">
        <color auto="1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theme="0" tint="-0.1499679555650502"/>
      </top>
      <bottom style="thin">
        <color theme="0" tint="-0.1499679555650502"/>
      </bottom>
      <diagonal/>
    </border>
    <border>
      <left style="thin">
        <color auto="1"/>
      </left>
      <right style="thin">
        <color auto="1"/>
      </right>
      <top style="thin">
        <color theme="0" tint="-0.1499679555650502"/>
      </top>
      <bottom style="thin">
        <color theme="0" tint="-0.1499679555650502"/>
      </bottom>
      <diagonal/>
    </border>
    <border>
      <left style="thin">
        <color auto="1"/>
      </left>
      <right style="medium">
        <color auto="1"/>
      </right>
      <top style="thin">
        <color theme="0" tint="-0.1499679555650502"/>
      </top>
      <bottom style="thin">
        <color theme="0" tint="-0.1499679555650502"/>
      </bottom>
      <diagonal/>
    </border>
    <border>
      <left style="thin">
        <color auto="1"/>
      </left>
      <right style="thin">
        <color auto="1"/>
      </right>
      <top style="thin">
        <color theme="0" tint="-0.1499679555650502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theme="0" tint="-0.1499679555650502"/>
      </bottom>
      <diagonal/>
    </border>
    <border>
      <left style="thin">
        <color auto="1"/>
      </left>
      <right style="thin">
        <color auto="1"/>
      </right>
      <top/>
      <bottom style="thin">
        <color theme="0" tint="-0.1499679555650502"/>
      </bottom>
      <diagonal/>
    </border>
    <border>
      <left style="thin">
        <color auto="1"/>
      </left>
      <right style="medium">
        <color auto="1"/>
      </right>
      <top/>
      <bottom style="thin">
        <color theme="0" tint="-0.1499679555650502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theme="0" tint="-0.1499679555650502"/>
      </top>
      <bottom style="thin">
        <color theme="0" tint="-0.1499679555650502"/>
      </bottom>
      <diagonal/>
    </border>
    <border>
      <left/>
      <right style="thin">
        <color auto="1"/>
      </right>
      <top style="thin">
        <color theme="0" tint="-0.1499679555650502"/>
      </top>
      <bottom style="thin">
        <color theme="0" tint="-0.1499679555650502"/>
      </bottom>
      <diagonal/>
    </border>
    <border>
      <left style="thin">
        <color auto="1"/>
      </left>
      <right/>
      <top style="thin">
        <color theme="0" tint="-0.1499679555650502"/>
      </top>
      <bottom style="medium">
        <color auto="1"/>
      </bottom>
      <diagonal/>
    </border>
    <border>
      <left/>
      <right style="thin">
        <color auto="1"/>
      </right>
      <top style="thin">
        <color theme="0" tint="-0.1499679555650502"/>
      </top>
      <bottom style="medium">
        <color auto="1"/>
      </bottom>
      <diagonal/>
    </border>
    <border>
      <left style="thin">
        <color auto="1"/>
      </left>
      <right/>
      <top/>
      <bottom style="thin">
        <color theme="0" tint="-0.1499679555650502"/>
      </bottom>
      <diagonal/>
    </border>
    <border>
      <left/>
      <right style="thin">
        <color auto="1"/>
      </right>
      <top/>
      <bottom style="thin">
        <color theme="0" tint="-0.1499679555650502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indexed="64"/>
      </bottom>
      <diagonal/>
    </border>
    <border>
      <left/>
      <right/>
      <top style="medium">
        <color auto="1"/>
      </top>
      <bottom style="thin">
        <color theme="0" tint="-0.1499679555650502"/>
      </bottom>
      <diagonal/>
    </border>
    <border>
      <left style="thin">
        <color auto="1"/>
      </left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theme="0" tint="-0.1499679555650502"/>
      </bottom>
      <diagonal/>
    </border>
    <border>
      <left/>
      <right style="medium">
        <color indexed="64"/>
      </right>
      <top/>
      <bottom style="thin">
        <color theme="0" tint="-0.1499679555650502"/>
      </bottom>
      <diagonal/>
    </border>
    <border>
      <left style="medium">
        <color indexed="64"/>
      </left>
      <right/>
      <top style="thin">
        <color theme="0" tint="-0.1499679555650502"/>
      </top>
      <bottom style="thin">
        <color theme="0" tint="-0.1499679555650502"/>
      </bottom>
      <diagonal/>
    </border>
    <border>
      <left/>
      <right style="medium">
        <color indexed="64"/>
      </right>
      <top style="thin">
        <color theme="0" tint="-0.1499679555650502"/>
      </top>
      <bottom style="thin">
        <color theme="0" tint="-0.1499679555650502"/>
      </bottom>
      <diagonal/>
    </border>
    <border>
      <left style="medium">
        <color indexed="64"/>
      </left>
      <right/>
      <top style="thin">
        <color theme="0" tint="-0.1499679555650502"/>
      </top>
      <bottom style="thin">
        <color indexed="64"/>
      </bottom>
      <diagonal/>
    </border>
    <border>
      <left/>
      <right style="medium">
        <color indexed="64"/>
      </right>
      <top style="thin">
        <color theme="0" tint="-0.1499679555650502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theme="0" tint="-0.1499679555650502"/>
      </bottom>
      <diagonal/>
    </border>
    <border>
      <left/>
      <right style="medium">
        <color indexed="64"/>
      </right>
      <top style="thin">
        <color indexed="64"/>
      </top>
      <bottom style="thin">
        <color theme="0" tint="-0.1499679555650502"/>
      </bottom>
      <diagonal/>
    </border>
    <border>
      <left style="medium">
        <color indexed="64"/>
      </left>
      <right/>
      <top style="thin">
        <color theme="0" tint="-0.1499679555650502"/>
      </top>
      <bottom style="medium">
        <color indexed="64"/>
      </bottom>
      <diagonal/>
    </border>
    <border>
      <left/>
      <right style="medium">
        <color indexed="64"/>
      </right>
      <top style="thin">
        <color theme="0" tint="-0.1499679555650502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/>
      <diagonal/>
    </border>
    <border>
      <left style="thin">
        <color auto="1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medium">
        <color indexed="64"/>
      </left>
      <right style="thin">
        <color theme="1" tint="0.3499862666707358"/>
      </right>
      <top style="medium">
        <color indexed="64"/>
      </top>
      <bottom style="thin">
        <color theme="0" tint="-0.1499679555650502"/>
      </bottom>
      <diagonal/>
    </border>
    <border>
      <left style="medium">
        <color indexed="64"/>
      </left>
      <right style="thin">
        <color theme="1" tint="0.3499862666707358"/>
      </right>
      <top style="thin">
        <color theme="0" tint="-0.1499679555650502"/>
      </top>
      <bottom style="thin">
        <color theme="0" tint="-0.1499679555650502"/>
      </bottom>
      <diagonal/>
    </border>
    <border>
      <left style="thin">
        <color theme="1" tint="0.3499862666707358"/>
      </left>
      <right style="thin">
        <color theme="1" tint="0.3499862666707358"/>
      </right>
      <top style="thin">
        <color theme="0" tint="-0.1499679555650502"/>
      </top>
      <bottom style="thin">
        <color theme="0" tint="-0.1499679555650502"/>
      </bottom>
      <diagonal/>
    </border>
    <border>
      <left style="thin">
        <color theme="1" tint="0.3499862666707358"/>
      </left>
      <right style="medium">
        <color indexed="64"/>
      </right>
      <top style="thin">
        <color theme="0" tint="-0.1499679555650502"/>
      </top>
      <bottom style="thin">
        <color theme="0" tint="-0.1499679555650502"/>
      </bottom>
      <diagonal/>
    </border>
    <border>
      <left style="thin">
        <color theme="1" tint="0.3499862666707358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theme="1" tint="0.3499862666707358"/>
      </left>
      <right style="thin">
        <color theme="1" tint="0.3499862666707358"/>
      </right>
      <top/>
      <bottom style="medium">
        <color indexed="64"/>
      </bottom>
      <diagonal/>
    </border>
    <border>
      <left style="thin">
        <color theme="1" tint="0.3499862666707358"/>
      </left>
      <right style="medium">
        <color indexed="64"/>
      </right>
      <top/>
      <bottom style="medium">
        <color indexed="64"/>
      </bottom>
      <diagonal/>
    </border>
    <border>
      <left style="thin">
        <color theme="1" tint="0.3499862666707358"/>
      </left>
      <right style="thin">
        <color theme="1" tint="0.3499862666707358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 tint="0.3499862666707358"/>
      </right>
      <top style="medium">
        <color indexed="64"/>
      </top>
      <bottom/>
      <diagonal/>
    </border>
    <border>
      <left style="medium">
        <color indexed="64"/>
      </left>
      <right style="thin">
        <color theme="1" tint="0.3499862666707358"/>
      </right>
      <top/>
      <bottom style="medium">
        <color indexed="64"/>
      </bottom>
      <diagonal/>
    </border>
    <border>
      <left style="thin">
        <color auto="1"/>
      </left>
      <right style="medium">
        <color auto="1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1" tint="0.3499862666707358"/>
      </right>
      <top style="thin">
        <color theme="0" tint="-0.1499679555650502"/>
      </top>
      <bottom style="thin">
        <color indexed="64"/>
      </bottom>
      <diagonal/>
    </border>
    <border>
      <left style="thin">
        <color theme="1" tint="0.3499862666707358"/>
      </left>
      <right style="thin">
        <color theme="1" tint="0.3499862666707358"/>
      </right>
      <top style="thin">
        <color theme="0" tint="-0.1499679555650502"/>
      </top>
      <bottom style="thin">
        <color indexed="64"/>
      </bottom>
      <diagonal/>
    </border>
    <border>
      <left style="thin">
        <color theme="1" tint="0.3499862666707358"/>
      </left>
      <right style="medium">
        <color indexed="64"/>
      </right>
      <top style="thin">
        <color theme="0" tint="-0.1499679555650502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theme="0" tint="-0.1499679555650502"/>
      </bottom>
      <diagonal/>
    </border>
    <border>
      <left style="thin">
        <color theme="1" tint="0.3499862666707358"/>
      </left>
      <right/>
      <top style="medium">
        <color indexed="64"/>
      </top>
      <bottom style="thin">
        <color indexed="64"/>
      </bottom>
      <diagonal/>
    </border>
    <border>
      <left style="thin">
        <color theme="1" tint="0.3499862666707358"/>
      </left>
      <right/>
      <top/>
      <bottom style="medium">
        <color indexed="64"/>
      </bottom>
      <diagonal/>
    </border>
    <border>
      <left style="thin">
        <color theme="1" tint="0.3499862666707358"/>
      </left>
      <right/>
      <top style="thin">
        <color theme="0" tint="-0.1499679555650502"/>
      </top>
      <bottom style="thin">
        <color theme="0" tint="-0.1499679555650502"/>
      </bottom>
      <diagonal/>
    </border>
    <border>
      <left style="thin">
        <color theme="1" tint="0.3499862666707358"/>
      </left>
      <right/>
      <top style="thin">
        <color theme="0" tint="-0.1499679555650502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auto="1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theme="1" tint="0.3499862666707358"/>
      </left>
      <right style="thin">
        <color theme="1" tint="0.3499862666707358"/>
      </right>
      <top style="medium">
        <color indexed="64"/>
      </top>
      <bottom style="thin">
        <color indexed="64"/>
      </bottom>
      <diagonal/>
    </border>
    <border>
      <left style="medium">
        <color theme="1" tint="0.3499862666707358"/>
      </left>
      <right style="thin">
        <color theme="1" tint="0.3499862666707358"/>
      </right>
      <top/>
      <bottom style="medium">
        <color indexed="64"/>
      </bottom>
      <diagonal/>
    </border>
    <border>
      <left style="medium">
        <color theme="1" tint="0.3499862666707358"/>
      </left>
      <right style="thin">
        <color theme="1" tint="0.3499862666707358"/>
      </right>
      <top style="thin">
        <color theme="0" tint="-0.1499679555650502"/>
      </top>
      <bottom style="thin">
        <color theme="0" tint="-0.1499679555650502"/>
      </bottom>
      <diagonal/>
    </border>
    <border>
      <left style="medium">
        <color theme="1" tint="0.3499862666707358"/>
      </left>
      <right style="thin">
        <color theme="1" tint="0.3499862666707358"/>
      </right>
      <top style="thin">
        <color theme="0" tint="-0.1499679555650502"/>
      </top>
      <bottom style="thin">
        <color indexed="64"/>
      </bottom>
      <diagonal/>
    </border>
    <border>
      <left/>
      <right style="thin">
        <color theme="0" tint="-0.249946592608417"/>
      </right>
      <top style="medium">
        <color auto="1"/>
      </top>
      <bottom style="thin">
        <color indexed="64"/>
      </bottom>
      <diagonal/>
    </border>
    <border>
      <left style="thin">
        <color theme="0" tint="-0.249946592608417"/>
      </left>
      <right/>
      <top style="medium">
        <color auto="1"/>
      </top>
      <bottom style="thin">
        <color indexed="64"/>
      </bottom>
      <diagonal/>
    </border>
    <border>
      <left style="medium">
        <color auto="1"/>
      </left>
      <right style="thin">
        <color theme="0" tint="-0.249946592608417"/>
      </right>
      <top/>
      <bottom style="thin">
        <color indexed="64"/>
      </bottom>
      <diagonal/>
    </border>
    <border>
      <left style="thin">
        <color theme="0" tint="-0.249946592608417"/>
      </left>
      <right style="thin">
        <color theme="0" tint="-0.249946592608417"/>
      </right>
      <top/>
      <bottom style="thin">
        <color indexed="64"/>
      </bottom>
      <diagonal/>
    </border>
    <border>
      <left style="thin">
        <color theme="0" tint="-0.249946592608417"/>
      </left>
      <right style="medium">
        <color auto="1"/>
      </right>
      <top/>
      <bottom style="thin">
        <color indexed="64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thin">
        <color theme="0" tint="-0.249946592608417"/>
      </right>
      <top/>
      <bottom style="medium">
        <color auto="1"/>
      </bottom>
      <diagonal/>
    </border>
    <border>
      <left style="thin">
        <color theme="0" tint="-0.249946592608417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theme="0" tint="-0.249946592608417"/>
      </right>
      <top/>
      <bottom style="medium">
        <color auto="1"/>
      </bottom>
      <diagonal/>
    </border>
    <border>
      <left/>
      <right style="thin">
        <color theme="0" tint="-0.249946592608417"/>
      </right>
      <top/>
      <bottom/>
      <diagonal/>
    </border>
    <border>
      <left style="thin">
        <color theme="0" tint="-0.249946592608417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/>
      <top style="medium">
        <color auto="1"/>
      </top>
      <bottom/>
      <diagonal/>
    </border>
    <border>
      <left/>
      <right/>
      <top style="thin">
        <color theme="0" tint="-0.1499679555650502"/>
      </top>
      <bottom/>
      <diagonal/>
    </border>
    <border>
      <left style="medium">
        <color auto="1"/>
      </left>
      <right style="thin">
        <color theme="0" tint="-0.249946592608417"/>
      </right>
      <top style="medium">
        <color auto="1"/>
      </top>
      <bottom style="thin">
        <color indexed="64"/>
      </bottom>
      <diagonal/>
    </border>
    <border>
      <left/>
      <right style="thin">
        <color theme="0" tint="-0.249946592608417"/>
      </right>
      <top style="medium">
        <color auto="1"/>
      </top>
      <bottom/>
      <diagonal/>
    </border>
    <border>
      <left style="thin">
        <color theme="0" tint="-0.249946592608417"/>
      </left>
      <right style="medium">
        <color indexed="64"/>
      </right>
      <top style="medium">
        <color auto="1"/>
      </top>
      <bottom style="thin">
        <color indexed="64"/>
      </bottom>
      <diagonal/>
    </border>
    <border>
      <left/>
      <right style="medium">
        <color indexed="64"/>
      </right>
      <top style="medium">
        <color auto="1"/>
      </top>
      <bottom/>
      <diagonal/>
    </border>
    <border>
      <left/>
      <right style="medium">
        <color indexed="64"/>
      </right>
      <top style="medium">
        <color auto="1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theme="1" tint="0.3499862666707358"/>
      </right>
      <top style="medium">
        <color indexed="64"/>
      </top>
      <bottom/>
      <diagonal/>
    </border>
    <border>
      <left/>
      <right style="thin">
        <color theme="1" tint="0.3499862666707358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 tint="0.3499862666707358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theme="1" tint="0.3499862666707358"/>
      </right>
      <top/>
      <bottom/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auto="1"/>
      </left>
      <right style="medium">
        <color indexed="64"/>
      </right>
      <top style="medium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indexed="64"/>
      </right>
      <top/>
      <bottom/>
      <diagonal/>
    </border>
    <border>
      <left style="thin">
        <color auto="1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/>
      <diagonal/>
    </border>
    <border>
      <left/>
      <right style="thin">
        <color auto="1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0" tint="-0.1499679555650502"/>
      </top>
      <bottom style="thin">
        <color theme="0" tint="-0.1499679555650502"/>
      </bottom>
      <diagonal/>
    </border>
    <border>
      <left/>
      <right style="medium">
        <color indexed="64"/>
      </right>
      <top style="thin">
        <color theme="0" tint="-0.1499679555650502"/>
      </top>
      <bottom/>
      <diagonal/>
    </border>
    <border>
      <left style="medium">
        <color indexed="64"/>
      </left>
      <right style="medium">
        <color indexed="64"/>
      </right>
      <top style="thin">
        <color theme="0" tint="-0.1499679555650502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theme="0" tint="-0.1499679555650502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theme="0" tint="-0.1499679555650502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theme="0" tint="-0.1499679555650502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4">
    <xf numFmtId="0" fontId="16" fillId="0" borderId="0" applyAlignment="1">
      <alignment vertical="center"/>
    </xf>
    <xf numFmtId="0" fontId="3" fillId="0" borderId="0" applyAlignment="1">
      <alignment vertical="center"/>
    </xf>
    <xf numFmtId="0" fontId="9" fillId="0" borderId="0" applyAlignment="1">
      <alignment vertical="center"/>
    </xf>
    <xf numFmtId="41" fontId="16" fillId="0" borderId="0" applyAlignment="1">
      <alignment vertical="center"/>
    </xf>
  </cellStyleXfs>
  <cellXfs count="270">
    <xf numFmtId="0" fontId="0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2" fillId="2" borderId="16" applyAlignment="1" pivotButton="0" quotePrefix="0" xfId="0">
      <alignment vertical="center"/>
    </xf>
    <xf numFmtId="0" fontId="2" fillId="2" borderId="20" applyAlignment="1" pivotButton="0" quotePrefix="0" xfId="0">
      <alignment vertical="center" wrapText="1"/>
    </xf>
    <xf numFmtId="0" fontId="2" fillId="2" borderId="18" applyAlignment="1" pivotButton="0" quotePrefix="0" xfId="0">
      <alignment vertical="center"/>
    </xf>
    <xf numFmtId="0" fontId="4" fillId="2" borderId="0" applyAlignment="1" pivotButton="0" quotePrefix="0" xfId="1">
      <alignment horizontal="centerContinuous" vertical="center"/>
    </xf>
    <xf numFmtId="0" fontId="6" fillId="2" borderId="0" applyAlignment="1" pivotButton="0" quotePrefix="0" xfId="1">
      <alignment horizontal="centerContinuous" vertical="center"/>
    </xf>
    <xf numFmtId="0" fontId="6" fillId="2" borderId="0" applyAlignment="1" pivotButton="0" quotePrefix="0" xfId="1">
      <alignment vertical="center"/>
    </xf>
    <xf numFmtId="0" fontId="10" fillId="2" borderId="0" applyAlignment="1" pivotButton="0" quotePrefix="0" xfId="2">
      <alignment vertical="center"/>
    </xf>
    <xf numFmtId="0" fontId="7" fillId="2" borderId="0" applyAlignment="1" pivotButton="0" quotePrefix="0" xfId="2">
      <alignment vertical="center"/>
    </xf>
    <xf numFmtId="0" fontId="11" fillId="2" borderId="0" applyAlignment="1" pivotButton="0" quotePrefix="0" xfId="2">
      <alignment vertical="center"/>
    </xf>
    <xf numFmtId="0" fontId="0" fillId="2" borderId="0" applyAlignment="1" pivotButton="0" quotePrefix="0" xfId="0">
      <alignment horizontal="center" vertical="center"/>
    </xf>
    <xf numFmtId="0" fontId="14" fillId="2" borderId="0" applyAlignment="1" pivotButton="0" quotePrefix="0" xfId="0">
      <alignment vertical="center"/>
    </xf>
    <xf numFmtId="0" fontId="2" fillId="2" borderId="8" applyAlignment="1" pivotButton="0" quotePrefix="0" xfId="0">
      <alignment horizontal="center" vertical="center"/>
    </xf>
    <xf numFmtId="0" fontId="2" fillId="2" borderId="8" applyAlignment="1" pivotButton="0" quotePrefix="0" xfId="0">
      <alignment vertical="center"/>
    </xf>
    <xf numFmtId="0" fontId="2" fillId="2" borderId="10" applyAlignment="1" pivotButton="0" quotePrefix="0" xfId="0">
      <alignment horizontal="center" vertical="center"/>
    </xf>
    <xf numFmtId="0" fontId="2" fillId="2" borderId="10" applyAlignment="1" pivotButton="0" quotePrefix="0" xfId="0">
      <alignment vertical="center"/>
    </xf>
    <xf numFmtId="0" fontId="2" fillId="3" borderId="17" applyAlignment="1" pivotButton="0" quotePrefix="0" xfId="0">
      <alignment horizontal="center" vertical="center"/>
    </xf>
    <xf numFmtId="0" fontId="2" fillId="3" borderId="19" applyAlignment="1" pivotButton="0" quotePrefix="0" xfId="0">
      <alignment horizontal="center" vertical="center"/>
    </xf>
    <xf numFmtId="0" fontId="2" fillId="2" borderId="16" applyAlignment="1" pivotButton="0" quotePrefix="0" xfId="0">
      <alignment horizontal="center" vertical="center"/>
    </xf>
    <xf numFmtId="0" fontId="2" fillId="2" borderId="18" applyAlignment="1" pivotButton="0" quotePrefix="0" xfId="0">
      <alignment horizontal="center" vertical="center"/>
    </xf>
    <xf numFmtId="0" fontId="2" fillId="3" borderId="21" applyAlignment="1" pivotButton="0" quotePrefix="0" xfId="0">
      <alignment horizontal="center" vertical="center"/>
    </xf>
    <xf numFmtId="0" fontId="2" fillId="2" borderId="12" applyAlignment="1" pivotButton="0" quotePrefix="0" xfId="0">
      <alignment horizontal="center" vertical="center"/>
    </xf>
    <xf numFmtId="0" fontId="2" fillId="2" borderId="12" applyAlignment="1" pivotButton="0" quotePrefix="0" xfId="0">
      <alignment vertical="center"/>
    </xf>
    <xf numFmtId="0" fontId="2" fillId="2" borderId="20" applyAlignment="1" pivotButton="0" quotePrefix="0" xfId="0">
      <alignment horizontal="center" vertical="center"/>
    </xf>
    <xf numFmtId="164" fontId="2" fillId="2" borderId="12" applyAlignment="1" pivotButton="0" quotePrefix="0" xfId="0">
      <alignment horizontal="center" vertical="center"/>
    </xf>
    <xf numFmtId="164" fontId="2" fillId="2" borderId="8" applyAlignment="1" pivotButton="0" quotePrefix="0" xfId="0">
      <alignment horizontal="center" vertical="center"/>
    </xf>
    <xf numFmtId="164" fontId="2" fillId="2" borderId="10" applyAlignment="1" pivotButton="0" quotePrefix="0" xfId="0">
      <alignment horizontal="center" vertical="center"/>
    </xf>
    <xf numFmtId="0" fontId="12" fillId="2" borderId="23" applyAlignment="1" pivotButton="0" quotePrefix="0" xfId="1">
      <alignment vertical="center"/>
    </xf>
    <xf numFmtId="0" fontId="12" fillId="2" borderId="3" applyAlignment="1" pivotButton="0" quotePrefix="0" xfId="1">
      <alignment vertical="center"/>
    </xf>
    <xf numFmtId="0" fontId="12" fillId="2" borderId="4" applyAlignment="1" pivotButton="0" quotePrefix="0" xfId="1">
      <alignment vertical="center"/>
    </xf>
    <xf numFmtId="14" fontId="7" fillId="2" borderId="11" applyAlignment="1" pivotButton="0" quotePrefix="0" xfId="1">
      <alignment horizontal="center" vertical="center"/>
    </xf>
    <xf numFmtId="14" fontId="7" fillId="2" borderId="12" applyAlignment="1" pivotButton="0" quotePrefix="1" xfId="1">
      <alignment horizontal="center" vertical="center"/>
    </xf>
    <xf numFmtId="0" fontId="7" fillId="2" borderId="12" applyAlignment="1" pivotButton="0" quotePrefix="0" xfId="1">
      <alignment horizontal="left" vertical="center" indent="1"/>
    </xf>
    <xf numFmtId="0" fontId="7" fillId="2" borderId="12" applyAlignment="1" pivotButton="0" quotePrefix="0" xfId="1">
      <alignment horizontal="center" vertical="center"/>
    </xf>
    <xf numFmtId="0" fontId="7" fillId="2" borderId="13" applyAlignment="1" pivotButton="0" quotePrefix="0" xfId="1">
      <alignment horizontal="center" vertical="center"/>
    </xf>
    <xf numFmtId="0" fontId="7" fillId="2" borderId="7" applyAlignment="1" pivotButton="0" quotePrefix="0" xfId="1">
      <alignment horizontal="center" vertical="center"/>
    </xf>
    <xf numFmtId="14" fontId="7" fillId="2" borderId="8" applyAlignment="1" pivotButton="0" quotePrefix="0" xfId="1">
      <alignment vertical="center"/>
    </xf>
    <xf numFmtId="0" fontId="7" fillId="2" borderId="8" applyAlignment="1" pivotButton="0" quotePrefix="0" xfId="1">
      <alignment horizontal="left" vertical="center" indent="1"/>
    </xf>
    <xf numFmtId="0" fontId="7" fillId="2" borderId="8" applyAlignment="1" pivotButton="0" quotePrefix="0" xfId="1">
      <alignment horizontal="center" vertical="center"/>
    </xf>
    <xf numFmtId="0" fontId="7" fillId="2" borderId="9" applyAlignment="1" pivotButton="0" quotePrefix="0" xfId="1">
      <alignment horizontal="center" vertical="center"/>
    </xf>
    <xf numFmtId="0" fontId="7" fillId="2" borderId="1" applyAlignment="1" pivotButton="0" quotePrefix="0" xfId="1">
      <alignment horizontal="center" vertical="center"/>
    </xf>
    <xf numFmtId="14" fontId="7" fillId="2" borderId="10" applyAlignment="1" pivotButton="0" quotePrefix="0" xfId="1">
      <alignment vertical="center"/>
    </xf>
    <xf numFmtId="0" fontId="7" fillId="2" borderId="10" applyAlignment="1" pivotButton="0" quotePrefix="0" xfId="1">
      <alignment horizontal="left" vertical="center" indent="1"/>
    </xf>
    <xf numFmtId="0" fontId="7" fillId="2" borderId="10" applyAlignment="1" pivotButton="0" quotePrefix="0" xfId="1">
      <alignment horizontal="center" vertical="center"/>
    </xf>
    <xf numFmtId="0" fontId="7" fillId="2" borderId="2" applyAlignment="1" pivotButton="0" quotePrefix="0" xfId="1">
      <alignment horizontal="center" vertical="center"/>
    </xf>
    <xf numFmtId="0" fontId="7" fillId="2" borderId="0" applyAlignment="1" pivotButton="0" quotePrefix="0" xfId="1">
      <alignment vertical="center"/>
    </xf>
    <xf numFmtId="0" fontId="12" fillId="4" borderId="14" applyAlignment="1" pivotButton="0" quotePrefix="0" xfId="1">
      <alignment horizontal="center" vertical="center"/>
    </xf>
    <xf numFmtId="0" fontId="12" fillId="4" borderId="15" applyAlignment="1" pivotButton="0" quotePrefix="0" xfId="1">
      <alignment horizontal="center" vertical="center"/>
    </xf>
    <xf numFmtId="0" fontId="12" fillId="4" borderId="22" applyAlignment="1" pivotButton="0" quotePrefix="0" xfId="1">
      <alignment horizontal="center" vertical="center"/>
    </xf>
    <xf numFmtId="0" fontId="7" fillId="2" borderId="22" applyAlignment="1" pivotButton="0" quotePrefix="0" xfId="2">
      <alignment horizontal="left" vertical="center" indent="1"/>
    </xf>
    <xf numFmtId="0" fontId="12" fillId="4" borderId="5" applyAlignment="1" pivotButton="0" quotePrefix="0" xfId="2">
      <alignment horizontal="center" vertical="center"/>
    </xf>
    <xf numFmtId="164" fontId="2" fillId="2" borderId="11" applyAlignment="1" pivotButton="0" quotePrefix="0" xfId="0">
      <alignment horizontal="center" vertical="center"/>
    </xf>
    <xf numFmtId="164" fontId="2" fillId="2" borderId="7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0" fontId="13" fillId="5" borderId="42" applyAlignment="1" pivotButton="0" quotePrefix="0" xfId="0">
      <alignment horizontal="center" vertical="center"/>
    </xf>
    <xf numFmtId="0" fontId="13" fillId="5" borderId="25" applyAlignment="1" pivotButton="0" quotePrefix="0" xfId="0">
      <alignment horizontal="center" vertical="center"/>
    </xf>
    <xf numFmtId="0" fontId="2" fillId="2" borderId="16" applyAlignment="1" pivotButton="0" quotePrefix="0" xfId="0">
      <alignment vertical="center" wrapText="1"/>
    </xf>
    <xf numFmtId="0" fontId="17" fillId="2" borderId="0" applyAlignment="1" pivotButton="0" quotePrefix="0" xfId="0">
      <alignment vertical="center"/>
    </xf>
    <xf numFmtId="0" fontId="18" fillId="2" borderId="0" applyAlignment="1" pivotButton="0" quotePrefix="0" xfId="0">
      <alignment vertical="center"/>
    </xf>
    <xf numFmtId="0" fontId="19" fillId="2" borderId="0" applyAlignment="1" pivotButton="0" quotePrefix="0" xfId="0">
      <alignment horizontal="center" vertical="center"/>
    </xf>
    <xf numFmtId="0" fontId="19" fillId="2" borderId="0" applyAlignment="1" pivotButton="0" quotePrefix="0" xfId="0">
      <alignment vertical="center"/>
    </xf>
    <xf numFmtId="0" fontId="20" fillId="7" borderId="48" applyAlignment="1" pivotButton="0" quotePrefix="0" xfId="0">
      <alignment horizontal="center" vertical="center"/>
    </xf>
    <xf numFmtId="0" fontId="20" fillId="8" borderId="48" applyAlignment="1" pivotButton="0" quotePrefix="0" xfId="0">
      <alignment horizontal="center" vertical="center"/>
    </xf>
    <xf numFmtId="0" fontId="20" fillId="4" borderId="48" applyAlignment="1" pivotButton="0" quotePrefix="0" xfId="0">
      <alignment horizontal="center" vertical="center"/>
    </xf>
    <xf numFmtId="0" fontId="13" fillId="6" borderId="25" applyAlignment="1" pivotButton="0" quotePrefix="0" xfId="0">
      <alignment horizontal="center" vertical="center"/>
    </xf>
    <xf numFmtId="0" fontId="2" fillId="2" borderId="17" applyAlignment="1" pivotButton="0" quotePrefix="0" xfId="0">
      <alignment horizontal="center" vertical="center"/>
    </xf>
    <xf numFmtId="0" fontId="2" fillId="2" borderId="19" applyAlignment="1" pivotButton="0" quotePrefix="0" xfId="0">
      <alignment horizontal="center" vertical="center"/>
    </xf>
    <xf numFmtId="0" fontId="2" fillId="2" borderId="13" applyAlignment="1" pivotButton="0" quotePrefix="0" xfId="0">
      <alignment vertical="center"/>
    </xf>
    <xf numFmtId="0" fontId="2" fillId="2" borderId="9" applyAlignment="1" pivotButton="0" quotePrefix="0" xfId="0">
      <alignment vertical="center"/>
    </xf>
    <xf numFmtId="0" fontId="2" fillId="2" borderId="9" applyAlignment="1" pivotButton="0" quotePrefix="0" xfId="0">
      <alignment vertical="center" wrapText="1"/>
    </xf>
    <xf numFmtId="0" fontId="2" fillId="2" borderId="2" applyAlignment="1" pivotButton="0" quotePrefix="0" xfId="0">
      <alignment vertical="center"/>
    </xf>
    <xf numFmtId="14" fontId="2" fillId="2" borderId="58" applyAlignment="1" pivotButton="0" quotePrefix="0" xfId="0">
      <alignment horizontal="center" vertical="center"/>
    </xf>
    <xf numFmtId="14" fontId="2" fillId="2" borderId="3" applyAlignment="1" pivotButton="0" quotePrefix="0" xfId="0">
      <alignment horizontal="center" vertical="center"/>
    </xf>
    <xf numFmtId="14" fontId="2" fillId="2" borderId="4" applyAlignment="1" pivotButton="0" quotePrefix="0" xfId="0">
      <alignment horizontal="center" vertical="center"/>
    </xf>
    <xf numFmtId="0" fontId="2" fillId="2" borderId="17" applyAlignment="1" pivotButton="0" quotePrefix="1" xfId="0">
      <alignment horizontal="center" vertical="center"/>
    </xf>
    <xf numFmtId="0" fontId="2" fillId="2" borderId="21" applyAlignment="1" pivotButton="0" quotePrefix="1" xfId="0">
      <alignment horizontal="center" vertical="center"/>
    </xf>
    <xf numFmtId="0" fontId="2" fillId="2" borderId="18" applyAlignment="1" pivotButton="0" quotePrefix="0" xfId="0">
      <alignment vertical="center" wrapText="1"/>
    </xf>
    <xf numFmtId="0" fontId="20" fillId="12" borderId="49" applyAlignment="1" pivotButton="0" quotePrefix="0" xfId="0">
      <alignment horizontal="center" vertical="center"/>
    </xf>
    <xf numFmtId="0" fontId="20" fillId="11" borderId="60" applyAlignment="1" pivotButton="0" quotePrefix="0" xfId="0">
      <alignment horizontal="center" vertical="center"/>
    </xf>
    <xf numFmtId="0" fontId="20" fillId="4" borderId="67" applyAlignment="1" pivotButton="0" quotePrefix="0" xfId="0">
      <alignment horizontal="center" vertical="center"/>
    </xf>
    <xf numFmtId="0" fontId="20" fillId="10" borderId="48" applyAlignment="1" pivotButton="0" quotePrefix="0" xfId="0">
      <alignment horizontal="center" vertical="center"/>
    </xf>
    <xf numFmtId="0" fontId="6" fillId="2" borderId="0" applyAlignment="1" pivotButton="0" quotePrefix="1" xfId="1">
      <alignment vertical="center"/>
    </xf>
    <xf numFmtId="0" fontId="0" fillId="2" borderId="0" applyAlignment="1" pivotButton="0" quotePrefix="1" xfId="0">
      <alignment vertical="center"/>
    </xf>
    <xf numFmtId="0" fontId="13" fillId="6" borderId="40" applyAlignment="1" pivotButton="0" quotePrefix="0" xfId="0">
      <alignment horizontal="center" vertical="center"/>
    </xf>
    <xf numFmtId="0" fontId="13" fillId="6" borderId="53" applyAlignment="1" pivotButton="0" quotePrefix="0" xfId="0">
      <alignment horizontal="center" vertical="center"/>
    </xf>
    <xf numFmtId="0" fontId="13" fillId="2" borderId="41" applyAlignment="1" pivotButton="0" quotePrefix="0" xfId="0">
      <alignment horizontal="center" vertical="center"/>
    </xf>
    <xf numFmtId="0" fontId="13" fillId="2" borderId="57" applyAlignment="1" pivotButton="0" quotePrefix="0" xfId="0">
      <alignment horizontal="center" vertical="center"/>
    </xf>
    <xf numFmtId="0" fontId="13" fillId="2" borderId="26" applyAlignment="1" pivotButton="0" quotePrefix="0" xfId="0">
      <alignment horizontal="center" vertical="center"/>
    </xf>
    <xf numFmtId="0" fontId="18" fillId="2" borderId="0" applyAlignment="1" pivotButton="0" quotePrefix="1" xfId="0">
      <alignment vertical="center"/>
    </xf>
    <xf numFmtId="0" fontId="20" fillId="14" borderId="48" applyAlignment="1" pivotButton="0" quotePrefix="0" xfId="0">
      <alignment horizontal="center" vertical="center"/>
    </xf>
    <xf numFmtId="0" fontId="20" fillId="9" borderId="48" applyAlignment="1" pivotButton="0" quotePrefix="0" xfId="0">
      <alignment horizontal="center" vertical="center"/>
    </xf>
    <xf numFmtId="165" fontId="19" fillId="2" borderId="45" applyAlignment="1" pivotButton="0" quotePrefix="0" xfId="3">
      <alignment horizontal="right" vertical="center"/>
    </xf>
    <xf numFmtId="166" fontId="19" fillId="2" borderId="68" applyAlignment="1" pivotButton="0" quotePrefix="0" xfId="0">
      <alignment horizontal="right" vertical="center"/>
    </xf>
    <xf numFmtId="166" fontId="19" fillId="2" borderId="45" applyAlignment="1" pivotButton="0" quotePrefix="0" xfId="0">
      <alignment horizontal="right" vertical="center"/>
    </xf>
    <xf numFmtId="166" fontId="19" fillId="14" borderId="45" applyAlignment="1" pivotButton="0" quotePrefix="0" xfId="0">
      <alignment horizontal="right" vertical="center"/>
    </xf>
    <xf numFmtId="166" fontId="19" fillId="0" borderId="45" applyAlignment="1" pivotButton="0" quotePrefix="0" xfId="0">
      <alignment horizontal="right" vertical="center"/>
    </xf>
    <xf numFmtId="165" fontId="19" fillId="0" borderId="45" applyAlignment="1" pivotButton="0" quotePrefix="0" xfId="3">
      <alignment horizontal="right" vertical="center"/>
    </xf>
    <xf numFmtId="165" fontId="19" fillId="9" borderId="45" applyAlignment="1" pivotButton="0" quotePrefix="0" xfId="3">
      <alignment horizontal="right" vertical="center"/>
    </xf>
    <xf numFmtId="165" fontId="19" fillId="2" borderId="55" applyAlignment="1" pivotButton="0" quotePrefix="0" xfId="3">
      <alignment horizontal="right" vertical="center"/>
    </xf>
    <xf numFmtId="166" fontId="19" fillId="2" borderId="69" applyAlignment="1" pivotButton="0" quotePrefix="0" xfId="0">
      <alignment horizontal="right" vertical="center"/>
    </xf>
    <xf numFmtId="166" fontId="19" fillId="2" borderId="55" applyAlignment="1" pivotButton="0" quotePrefix="0" xfId="0">
      <alignment horizontal="right" vertical="center"/>
    </xf>
    <xf numFmtId="166" fontId="19" fillId="14" borderId="55" applyAlignment="1" pivotButton="0" quotePrefix="0" xfId="0">
      <alignment horizontal="right" vertical="center"/>
    </xf>
    <xf numFmtId="166" fontId="19" fillId="0" borderId="55" applyAlignment="1" pivotButton="0" quotePrefix="0" xfId="0">
      <alignment horizontal="right" vertical="center"/>
    </xf>
    <xf numFmtId="165" fontId="19" fillId="0" borderId="55" applyAlignment="1" pivotButton="0" quotePrefix="0" xfId="3">
      <alignment horizontal="right" vertical="center"/>
    </xf>
    <xf numFmtId="165" fontId="19" fillId="9" borderId="55" applyAlignment="1" pivotButton="0" quotePrefix="0" xfId="3">
      <alignment horizontal="right" vertical="center"/>
    </xf>
    <xf numFmtId="165" fontId="18" fillId="2" borderId="48" applyAlignment="1" pivotButton="0" quotePrefix="0" xfId="3">
      <alignment horizontal="right" vertical="center"/>
    </xf>
    <xf numFmtId="166" fontId="18" fillId="2" borderId="67" applyAlignment="1" pivotButton="0" quotePrefix="0" xfId="0">
      <alignment horizontal="right" vertical="center"/>
    </xf>
    <xf numFmtId="166" fontId="18" fillId="2" borderId="48" applyAlignment="1" pivotButton="0" quotePrefix="0" xfId="0">
      <alignment horizontal="right" vertical="center"/>
    </xf>
    <xf numFmtId="166" fontId="18" fillId="14" borderId="48" applyAlignment="1" pivotButton="0" quotePrefix="0" xfId="0">
      <alignment horizontal="right" vertical="center"/>
    </xf>
    <xf numFmtId="166" fontId="18" fillId="0" borderId="48" applyAlignment="1" pivotButton="0" quotePrefix="0" xfId="0">
      <alignment horizontal="right" vertical="center"/>
    </xf>
    <xf numFmtId="165" fontId="18" fillId="0" borderId="48" applyAlignment="1" pivotButton="0" quotePrefix="0" xfId="3">
      <alignment horizontal="right" vertical="center"/>
    </xf>
    <xf numFmtId="165" fontId="18" fillId="9" borderId="48" applyAlignment="1" pivotButton="0" quotePrefix="0" xfId="3">
      <alignment horizontal="right" vertical="center"/>
    </xf>
    <xf numFmtId="167" fontId="19" fillId="11" borderId="61" applyAlignment="1" pivotButton="0" quotePrefix="0" xfId="3">
      <alignment horizontal="right" vertical="center"/>
    </xf>
    <xf numFmtId="167" fontId="19" fillId="11" borderId="62" applyAlignment="1" pivotButton="0" quotePrefix="0" xfId="3">
      <alignment horizontal="right" vertical="center"/>
    </xf>
    <xf numFmtId="167" fontId="18" fillId="11" borderId="60" applyAlignment="1" pivotButton="0" quotePrefix="0" xfId="3">
      <alignment horizontal="right" vertical="center"/>
    </xf>
    <xf numFmtId="167" fontId="19" fillId="7" borderId="45" applyAlignment="1" pivotButton="0" quotePrefix="0" xfId="0">
      <alignment horizontal="right" vertical="center"/>
    </xf>
    <xf numFmtId="167" fontId="19" fillId="7" borderId="55" applyAlignment="1" pivotButton="0" quotePrefix="0" xfId="0">
      <alignment horizontal="right" vertical="center"/>
    </xf>
    <xf numFmtId="167" fontId="23" fillId="7" borderId="48" applyAlignment="1" pivotButton="0" quotePrefix="0" xfId="0">
      <alignment horizontal="right" vertical="center"/>
    </xf>
    <xf numFmtId="167" fontId="19" fillId="8" borderId="45" applyAlignment="1" pivotButton="0" quotePrefix="0" xfId="0">
      <alignment horizontal="right" vertical="center"/>
    </xf>
    <xf numFmtId="167" fontId="19" fillId="8" borderId="55" applyAlignment="1" pivotButton="0" quotePrefix="0" xfId="0">
      <alignment horizontal="right" vertical="center"/>
    </xf>
    <xf numFmtId="167" fontId="24" fillId="8" borderId="48" applyAlignment="1" pivotButton="0" quotePrefix="0" xfId="0">
      <alignment horizontal="right" vertical="center"/>
    </xf>
    <xf numFmtId="167" fontId="19" fillId="10" borderId="45" applyAlignment="1" pivotButton="0" quotePrefix="0" xfId="0">
      <alignment horizontal="right" vertical="center"/>
    </xf>
    <xf numFmtId="167" fontId="19" fillId="10" borderId="55" applyAlignment="1" pivotButton="0" quotePrefix="0" xfId="0">
      <alignment horizontal="right" vertical="center"/>
    </xf>
    <xf numFmtId="167" fontId="25" fillId="10" borderId="48" applyAlignment="1" pivotButton="0" quotePrefix="0" xfId="0">
      <alignment horizontal="right" vertical="center"/>
    </xf>
    <xf numFmtId="167" fontId="19" fillId="12" borderId="46" applyAlignment="1" pivotButton="0" quotePrefix="0" xfId="3">
      <alignment horizontal="right" vertical="center"/>
    </xf>
    <xf numFmtId="167" fontId="19" fillId="12" borderId="56" applyAlignment="1" pivotButton="0" quotePrefix="0" xfId="3">
      <alignment horizontal="right" vertical="center"/>
    </xf>
    <xf numFmtId="167" fontId="26" fillId="12" borderId="49" applyAlignment="1" pivotButton="0" quotePrefix="0" xfId="3">
      <alignment horizontal="right" vertical="center"/>
    </xf>
    <xf numFmtId="0" fontId="28" fillId="2" borderId="72" applyAlignment="1" pivotButton="0" quotePrefix="0" xfId="1">
      <alignment horizontal="center" vertical="center"/>
    </xf>
    <xf numFmtId="0" fontId="28" fillId="2" borderId="73" applyAlignment="1" pivotButton="0" quotePrefix="0" xfId="1">
      <alignment horizontal="center" vertical="center"/>
    </xf>
    <xf numFmtId="0" fontId="28" fillId="2" borderId="74" applyAlignment="1" pivotButton="0" quotePrefix="0" xfId="1">
      <alignment horizontal="center" vertical="center"/>
    </xf>
    <xf numFmtId="0" fontId="20" fillId="0" borderId="43" applyAlignment="1" pivotButton="0" quotePrefix="0" xfId="0">
      <alignment horizontal="left" vertical="center" indent="1"/>
    </xf>
    <xf numFmtId="0" fontId="20" fillId="0" borderId="44" applyAlignment="1" pivotButton="0" quotePrefix="0" xfId="0">
      <alignment horizontal="left" vertical="center" indent="1"/>
    </xf>
    <xf numFmtId="0" fontId="20" fillId="0" borderId="54" applyAlignment="1" pivotButton="0" quotePrefix="0" xfId="0">
      <alignment horizontal="left" vertical="center" indent="1"/>
    </xf>
    <xf numFmtId="0" fontId="20" fillId="0" borderId="52" applyAlignment="1" pivotButton="0" quotePrefix="0" xfId="0">
      <alignment horizontal="center" vertical="center"/>
    </xf>
    <xf numFmtId="0" fontId="6" fillId="2" borderId="75" applyAlignment="1" pivotButton="0" quotePrefix="0" xfId="1">
      <alignment horizontal="right" vertical="center" indent="1"/>
    </xf>
    <xf numFmtId="0" fontId="6" fillId="2" borderId="76" applyAlignment="1" pivotButton="0" quotePrefix="0" xfId="1">
      <alignment horizontal="right" vertical="center" indent="1"/>
    </xf>
    <xf numFmtId="0" fontId="6" fillId="2" borderId="77" applyAlignment="1" pivotButton="0" quotePrefix="0" xfId="1">
      <alignment horizontal="right" vertical="center" indent="1"/>
    </xf>
    <xf numFmtId="0" fontId="6" fillId="2" borderId="78" applyAlignment="1" pivotButton="0" quotePrefix="0" xfId="1">
      <alignment horizontal="right" vertical="center" indent="1"/>
    </xf>
    <xf numFmtId="0" fontId="7" fillId="2" borderId="23" applyAlignment="1" pivotButton="0" quotePrefix="0" xfId="1">
      <alignment vertical="center"/>
    </xf>
    <xf numFmtId="0" fontId="7" fillId="2" borderId="3" applyAlignment="1" pivotButton="0" quotePrefix="0" xfId="1">
      <alignment vertical="center"/>
    </xf>
    <xf numFmtId="0" fontId="7" fillId="2" borderId="4" applyAlignment="1" pivotButton="0" quotePrefix="0" xfId="1">
      <alignment vertical="center"/>
    </xf>
    <xf numFmtId="0" fontId="12" fillId="15" borderId="5" applyAlignment="1" pivotButton="0" quotePrefix="0" xfId="1">
      <alignment horizontal="center" vertical="center"/>
    </xf>
    <xf numFmtId="0" fontId="27" fillId="15" borderId="70" applyAlignment="1" pivotButton="0" quotePrefix="0" xfId="1">
      <alignment horizontal="center" vertical="center"/>
    </xf>
    <xf numFmtId="0" fontId="27" fillId="15" borderId="71" applyAlignment="1" pivotButton="0" quotePrefix="0" xfId="1">
      <alignment horizontal="center" vertical="center"/>
    </xf>
    <xf numFmtId="0" fontId="27" fillId="15" borderId="65" applyAlignment="1" pivotButton="0" quotePrefix="0" xfId="1">
      <alignment horizontal="center" vertical="center"/>
    </xf>
    <xf numFmtId="0" fontId="8" fillId="2" borderId="0" applyAlignment="1" pivotButton="0" quotePrefix="0" xfId="1">
      <alignment horizontal="left" vertical="center"/>
    </xf>
    <xf numFmtId="0" fontId="8" fillId="2" borderId="0" applyAlignment="1" pivotButton="0" quotePrefix="0" xfId="1">
      <alignment vertical="center"/>
    </xf>
    <xf numFmtId="168" fontId="21" fillId="2" borderId="0" applyAlignment="1" pivotButton="0" quotePrefix="0" xfId="0">
      <alignment horizontal="right" vertical="center"/>
    </xf>
    <xf numFmtId="0" fontId="20" fillId="13" borderId="59" applyAlignment="1" pivotButton="0" quotePrefix="0" xfId="0">
      <alignment horizontal="center" vertical="center"/>
    </xf>
    <xf numFmtId="0" fontId="20" fillId="13" borderId="6" applyAlignment="1" pivotButton="0" quotePrefix="0" xfId="0">
      <alignment horizontal="center" vertical="center"/>
    </xf>
    <xf numFmtId="0" fontId="20" fillId="9" borderId="66" applyAlignment="1" pivotButton="0" quotePrefix="0" xfId="0">
      <alignment horizontal="center" vertical="center"/>
    </xf>
    <xf numFmtId="0" fontId="22" fillId="9" borderId="50" applyAlignment="1" pivotButton="0" quotePrefix="0" xfId="0">
      <alignment vertical="center"/>
    </xf>
    <xf numFmtId="0" fontId="20" fillId="9" borderId="50" applyAlignment="1" pivotButton="0" quotePrefix="0" xfId="0">
      <alignment horizontal="center" vertical="center"/>
    </xf>
    <xf numFmtId="0" fontId="20" fillId="9" borderId="47" applyAlignment="1" pivotButton="0" quotePrefix="0" xfId="0">
      <alignment horizontal="center" vertical="center"/>
    </xf>
    <xf numFmtId="0" fontId="20" fillId="4" borderId="51" applyAlignment="1" pivotButton="0" quotePrefix="0" xfId="0">
      <alignment horizontal="center" vertical="center"/>
    </xf>
    <xf numFmtId="0" fontId="20" fillId="4" borderId="52" applyAlignment="1" pivotButton="0" quotePrefix="0" xfId="0">
      <alignment horizontal="center" vertical="center"/>
    </xf>
    <xf numFmtId="0" fontId="13" fillId="4" borderId="6" applyAlignment="1" pivotButton="0" quotePrefix="0" xfId="0">
      <alignment horizontal="center" vertical="center"/>
    </xf>
    <xf numFmtId="0" fontId="13" fillId="4" borderId="39" applyAlignment="1" pivotButton="0" quotePrefix="0" xfId="0">
      <alignment horizontal="center" vertical="center"/>
    </xf>
    <xf numFmtId="0" fontId="13" fillId="4" borderId="40" applyAlignment="1" pivotButton="0" quotePrefix="0" xfId="0">
      <alignment horizontal="center" vertical="center"/>
    </xf>
    <xf numFmtId="0" fontId="13" fillId="4" borderId="63" applyAlignment="1" pivotButton="0" quotePrefix="0" xfId="0">
      <alignment horizontal="center" vertical="center"/>
    </xf>
    <xf numFmtId="0" fontId="13" fillId="4" borderId="64" applyAlignment="1" pivotButton="0" quotePrefix="0" xfId="0">
      <alignment horizontal="center" vertical="center"/>
    </xf>
    <xf numFmtId="0" fontId="13" fillId="5" borderId="5" applyAlignment="1" pivotButton="0" quotePrefix="0" xfId="0">
      <alignment horizontal="center" vertical="center"/>
    </xf>
    <xf numFmtId="0" fontId="13" fillId="5" borderId="6" applyAlignment="1" pivotButton="0" quotePrefix="0" xfId="0">
      <alignment horizontal="center" vertical="center"/>
    </xf>
    <xf numFmtId="0" fontId="13" fillId="5" borderId="65" applyAlignment="1" pivotButton="0" quotePrefix="0" xfId="0">
      <alignment horizontal="center" vertical="center"/>
    </xf>
    <xf numFmtId="0" fontId="13" fillId="4" borderId="24" applyAlignment="1" pivotButton="0" quotePrefix="0" xfId="0">
      <alignment horizontal="center" vertical="center"/>
    </xf>
    <xf numFmtId="0" fontId="13" fillId="4" borderId="25" applyAlignment="1" pivotButton="0" quotePrefix="0" xfId="0">
      <alignment horizontal="center" vertical="center"/>
    </xf>
    <xf numFmtId="0" fontId="13" fillId="5" borderId="14" applyAlignment="1" pivotButton="0" quotePrefix="0" xfId="0">
      <alignment horizontal="center" vertical="center"/>
    </xf>
    <xf numFmtId="0" fontId="13" fillId="5" borderId="15" applyAlignment="1" pivotButton="0" quotePrefix="0" xfId="0">
      <alignment horizontal="center" vertical="center"/>
    </xf>
    <xf numFmtId="0" fontId="13" fillId="5" borderId="22" applyAlignment="1" pivotButton="0" quotePrefix="0" xfId="0">
      <alignment horizontal="center" vertical="center"/>
    </xf>
    <xf numFmtId="0" fontId="7" fillId="2" borderId="31" applyAlignment="1" pivotButton="0" quotePrefix="0" xfId="2">
      <alignment horizontal="left" vertical="center" indent="1"/>
    </xf>
    <xf numFmtId="0" fontId="7" fillId="2" borderId="32" applyAlignment="1" pivotButton="0" quotePrefix="0" xfId="2">
      <alignment horizontal="left" vertical="center" indent="1"/>
    </xf>
    <xf numFmtId="0" fontId="7" fillId="2" borderId="31" applyAlignment="1" pivotButton="0" quotePrefix="1" xfId="2">
      <alignment horizontal="left" vertical="center" indent="1"/>
    </xf>
    <xf numFmtId="0" fontId="7" fillId="2" borderId="33" applyAlignment="1" pivotButton="0" quotePrefix="1" xfId="2">
      <alignment horizontal="left" vertical="center" indent="3"/>
    </xf>
    <xf numFmtId="0" fontId="7" fillId="2" borderId="34" applyAlignment="1" pivotButton="0" quotePrefix="0" xfId="2">
      <alignment horizontal="left" vertical="center" indent="3"/>
    </xf>
    <xf numFmtId="0" fontId="12" fillId="3" borderId="27" applyAlignment="1" pivotButton="0" quotePrefix="0" xfId="2">
      <alignment horizontal="center" vertical="center"/>
    </xf>
    <xf numFmtId="0" fontId="12" fillId="3" borderId="28" applyAlignment="1" pivotButton="0" quotePrefix="0" xfId="2">
      <alignment horizontal="center" vertical="center"/>
    </xf>
    <xf numFmtId="0" fontId="7" fillId="2" borderId="35" applyAlignment="1" pivotButton="0" quotePrefix="0" xfId="2">
      <alignment horizontal="left" vertical="center" indent="1"/>
    </xf>
    <xf numFmtId="0" fontId="7" fillId="2" borderId="36" applyAlignment="1" pivotButton="0" quotePrefix="0" xfId="2">
      <alignment horizontal="left" vertical="center" indent="1"/>
    </xf>
    <xf numFmtId="0" fontId="7" fillId="2" borderId="29" applyAlignment="1" pivotButton="0" quotePrefix="1" xfId="2">
      <alignment horizontal="left" vertical="center" indent="3"/>
    </xf>
    <xf numFmtId="0" fontId="7" fillId="2" borderId="30" applyAlignment="1" pivotButton="0" quotePrefix="0" xfId="2">
      <alignment horizontal="left" vertical="center" indent="3"/>
    </xf>
    <xf numFmtId="0" fontId="7" fillId="2" borderId="31" applyAlignment="1" pivotButton="0" quotePrefix="1" xfId="2">
      <alignment horizontal="left" vertical="center" indent="3"/>
    </xf>
    <xf numFmtId="0" fontId="7" fillId="2" borderId="32" applyAlignment="1" pivotButton="0" quotePrefix="0" xfId="2">
      <alignment horizontal="left" vertical="center" indent="3"/>
    </xf>
    <xf numFmtId="0" fontId="7" fillId="2" borderId="37" applyAlignment="1" pivotButton="0" quotePrefix="0" xfId="2">
      <alignment horizontal="left" vertical="center" indent="1"/>
    </xf>
    <xf numFmtId="0" fontId="7" fillId="2" borderId="38" applyAlignment="1" pivotButton="0" quotePrefix="0" xfId="2">
      <alignment horizontal="left" vertical="center" indent="1"/>
    </xf>
    <xf numFmtId="0" fontId="0" fillId="0" borderId="0" pivotButton="0" quotePrefix="0" xfId="0"/>
    <xf numFmtId="0" fontId="0" fillId="0" borderId="23" pivotButton="0" quotePrefix="0" xfId="0"/>
    <xf numFmtId="0" fontId="0" fillId="0" borderId="3" pivotButton="0" quotePrefix="0" xfId="0"/>
    <xf numFmtId="0" fontId="0" fillId="0" borderId="4" pivotButton="0" quotePrefix="0" xfId="0"/>
    <xf numFmtId="0" fontId="12" fillId="15" borderId="85" applyAlignment="1" pivotButton="0" quotePrefix="0" xfId="1">
      <alignment horizontal="center" vertical="center"/>
    </xf>
    <xf numFmtId="0" fontId="0" fillId="0" borderId="70" pivotButton="0" quotePrefix="0" xfId="0"/>
    <xf numFmtId="0" fontId="27" fillId="15" borderId="87" applyAlignment="1" pivotButton="0" quotePrefix="0" xfId="1">
      <alignment horizontal="center" vertical="center"/>
    </xf>
    <xf numFmtId="0" fontId="0" fillId="0" borderId="89" pivotButton="0" quotePrefix="0" xfId="0"/>
    <xf numFmtId="0" fontId="6" fillId="2" borderId="79" applyAlignment="1" pivotButton="0" quotePrefix="0" xfId="1">
      <alignment horizontal="right" vertical="center" indent="1"/>
    </xf>
    <xf numFmtId="0" fontId="0" fillId="0" borderId="76" pivotButton="0" quotePrefix="0" xfId="0"/>
    <xf numFmtId="0" fontId="6" fillId="2" borderId="81" applyAlignment="1" pivotButton="0" quotePrefix="0" xfId="1">
      <alignment horizontal="right" vertical="center" indent="1"/>
    </xf>
    <xf numFmtId="0" fontId="0" fillId="0" borderId="78" pivotButton="0" quotePrefix="0" xfId="0"/>
    <xf numFmtId="168" fontId="21" fillId="2" borderId="0" applyAlignment="1" pivotButton="0" quotePrefix="0" xfId="0">
      <alignment horizontal="right" vertical="center"/>
    </xf>
    <xf numFmtId="0" fontId="20" fillId="4" borderId="94" applyAlignment="1" pivotButton="0" quotePrefix="0" xfId="0">
      <alignment horizontal="center" vertical="center"/>
    </xf>
    <xf numFmtId="0" fontId="0" fillId="0" borderId="91" pivotButton="0" quotePrefix="0" xfId="0"/>
    <xf numFmtId="0" fontId="0" fillId="0" borderId="93" pivotButton="0" quotePrefix="0" xfId="0"/>
    <xf numFmtId="0" fontId="0" fillId="0" borderId="52" pivotButton="0" quotePrefix="0" xfId="0"/>
    <xf numFmtId="165" fontId="19" fillId="2" borderId="45" applyAlignment="1" pivotButton="0" quotePrefix="0" xfId="3">
      <alignment horizontal="right" vertical="center"/>
    </xf>
    <xf numFmtId="167" fontId="19" fillId="11" borderId="61" applyAlignment="1" pivotButton="0" quotePrefix="0" xfId="3">
      <alignment horizontal="right" vertical="center"/>
    </xf>
    <xf numFmtId="166" fontId="19" fillId="2" borderId="68" applyAlignment="1" pivotButton="0" quotePrefix="0" xfId="0">
      <alignment horizontal="right" vertical="center"/>
    </xf>
    <xf numFmtId="166" fontId="19" fillId="2" borderId="45" applyAlignment="1" pivotButton="0" quotePrefix="0" xfId="0">
      <alignment horizontal="right" vertical="center"/>
    </xf>
    <xf numFmtId="166" fontId="19" fillId="14" borderId="45" applyAlignment="1" pivotButton="0" quotePrefix="0" xfId="0">
      <alignment horizontal="right" vertical="center"/>
    </xf>
    <xf numFmtId="167" fontId="19" fillId="7" borderId="45" applyAlignment="1" pivotButton="0" quotePrefix="0" xfId="0">
      <alignment horizontal="right" vertical="center"/>
    </xf>
    <xf numFmtId="166" fontId="19" fillId="0" borderId="45" applyAlignment="1" pivotButton="0" quotePrefix="0" xfId="0">
      <alignment horizontal="right" vertical="center"/>
    </xf>
    <xf numFmtId="167" fontId="19" fillId="8" borderId="45" applyAlignment="1" pivotButton="0" quotePrefix="0" xfId="0">
      <alignment horizontal="right" vertical="center"/>
    </xf>
    <xf numFmtId="167" fontId="19" fillId="10" borderId="45" applyAlignment="1" pivotButton="0" quotePrefix="0" xfId="0">
      <alignment horizontal="right" vertical="center"/>
    </xf>
    <xf numFmtId="165" fontId="19" fillId="0" borderId="45" applyAlignment="1" pivotButton="0" quotePrefix="0" xfId="3">
      <alignment horizontal="right" vertical="center"/>
    </xf>
    <xf numFmtId="165" fontId="19" fillId="9" borderId="45" applyAlignment="1" pivotButton="0" quotePrefix="0" xfId="3">
      <alignment horizontal="right" vertical="center"/>
    </xf>
    <xf numFmtId="167" fontId="19" fillId="12" borderId="46" applyAlignment="1" pivotButton="0" quotePrefix="0" xfId="3">
      <alignment horizontal="right" vertical="center"/>
    </xf>
    <xf numFmtId="165" fontId="19" fillId="2" borderId="55" applyAlignment="1" pivotButton="0" quotePrefix="0" xfId="3">
      <alignment horizontal="right" vertical="center"/>
    </xf>
    <xf numFmtId="167" fontId="19" fillId="11" borderId="62" applyAlignment="1" pivotButton="0" quotePrefix="0" xfId="3">
      <alignment horizontal="right" vertical="center"/>
    </xf>
    <xf numFmtId="166" fontId="19" fillId="2" borderId="69" applyAlignment="1" pivotButton="0" quotePrefix="0" xfId="0">
      <alignment horizontal="right" vertical="center"/>
    </xf>
    <xf numFmtId="166" fontId="19" fillId="2" borderId="55" applyAlignment="1" pivotButton="0" quotePrefix="0" xfId="0">
      <alignment horizontal="right" vertical="center"/>
    </xf>
    <xf numFmtId="166" fontId="19" fillId="14" borderId="55" applyAlignment="1" pivotButton="0" quotePrefix="0" xfId="0">
      <alignment horizontal="right" vertical="center"/>
    </xf>
    <xf numFmtId="167" fontId="19" fillId="7" borderId="55" applyAlignment="1" pivotButton="0" quotePrefix="0" xfId="0">
      <alignment horizontal="right" vertical="center"/>
    </xf>
    <xf numFmtId="166" fontId="19" fillId="0" borderId="55" applyAlignment="1" pivotButton="0" quotePrefix="0" xfId="0">
      <alignment horizontal="right" vertical="center"/>
    </xf>
    <xf numFmtId="167" fontId="19" fillId="8" borderId="55" applyAlignment="1" pivotButton="0" quotePrefix="0" xfId="0">
      <alignment horizontal="right" vertical="center"/>
    </xf>
    <xf numFmtId="167" fontId="19" fillId="10" borderId="55" applyAlignment="1" pivotButton="0" quotePrefix="0" xfId="0">
      <alignment horizontal="right" vertical="center"/>
    </xf>
    <xf numFmtId="165" fontId="19" fillId="0" borderId="55" applyAlignment="1" pivotButton="0" quotePrefix="0" xfId="3">
      <alignment horizontal="right" vertical="center"/>
    </xf>
    <xf numFmtId="165" fontId="19" fillId="9" borderId="55" applyAlignment="1" pivotButton="0" quotePrefix="0" xfId="3">
      <alignment horizontal="right" vertical="center"/>
    </xf>
    <xf numFmtId="167" fontId="19" fillId="12" borderId="56" applyAlignment="1" pivotButton="0" quotePrefix="0" xfId="3">
      <alignment horizontal="right" vertical="center"/>
    </xf>
    <xf numFmtId="165" fontId="18" fillId="2" borderId="48" applyAlignment="1" pivotButton="0" quotePrefix="0" xfId="3">
      <alignment horizontal="right" vertical="center"/>
    </xf>
    <xf numFmtId="167" fontId="18" fillId="11" borderId="60" applyAlignment="1" pivotButton="0" quotePrefix="0" xfId="3">
      <alignment horizontal="right" vertical="center"/>
    </xf>
    <xf numFmtId="166" fontId="18" fillId="2" borderId="67" applyAlignment="1" pivotButton="0" quotePrefix="0" xfId="0">
      <alignment horizontal="right" vertical="center"/>
    </xf>
    <xf numFmtId="166" fontId="18" fillId="2" borderId="48" applyAlignment="1" pivotButton="0" quotePrefix="0" xfId="0">
      <alignment horizontal="right" vertical="center"/>
    </xf>
    <xf numFmtId="166" fontId="18" fillId="14" borderId="48" applyAlignment="1" pivotButton="0" quotePrefix="0" xfId="0">
      <alignment horizontal="right" vertical="center"/>
    </xf>
    <xf numFmtId="167" fontId="23" fillId="7" borderId="48" applyAlignment="1" pivotButton="0" quotePrefix="0" xfId="0">
      <alignment horizontal="right" vertical="center"/>
    </xf>
    <xf numFmtId="166" fontId="18" fillId="0" borderId="48" applyAlignment="1" pivotButton="0" quotePrefix="0" xfId="0">
      <alignment horizontal="right" vertical="center"/>
    </xf>
    <xf numFmtId="167" fontId="24" fillId="8" borderId="48" applyAlignment="1" pivotButton="0" quotePrefix="0" xfId="0">
      <alignment horizontal="right" vertical="center"/>
    </xf>
    <xf numFmtId="167" fontId="25" fillId="10" borderId="48" applyAlignment="1" pivotButton="0" quotePrefix="0" xfId="0">
      <alignment horizontal="right" vertical="center"/>
    </xf>
    <xf numFmtId="165" fontId="18" fillId="0" borderId="48" applyAlignment="1" pivotButton="0" quotePrefix="0" xfId="3">
      <alignment horizontal="right" vertical="center"/>
    </xf>
    <xf numFmtId="165" fontId="18" fillId="9" borderId="48" applyAlignment="1" pivotButton="0" quotePrefix="0" xfId="3">
      <alignment horizontal="right" vertical="center"/>
    </xf>
    <xf numFmtId="167" fontId="26" fillId="12" borderId="49" applyAlignment="1" pivotButton="0" quotePrefix="0" xfId="3">
      <alignment horizontal="right" vertical="center"/>
    </xf>
    <xf numFmtId="0" fontId="29" fillId="2" borderId="0" applyAlignment="1" pivotButton="0" quotePrefix="0" xfId="0">
      <alignment vertical="center"/>
    </xf>
    <xf numFmtId="0" fontId="13" fillId="4" borderId="99" applyAlignment="1" pivotButton="0" quotePrefix="0" xfId="0">
      <alignment horizontal="center" vertical="center"/>
    </xf>
    <xf numFmtId="0" fontId="13" fillId="4" borderId="103" applyAlignment="1" pivotButton="0" quotePrefix="0" xfId="0">
      <alignment horizontal="center" vertical="center"/>
    </xf>
    <xf numFmtId="0" fontId="13" fillId="4" borderId="97" applyAlignment="1" pivotButton="0" quotePrefix="0" xfId="0">
      <alignment horizontal="center" vertical="center"/>
    </xf>
    <xf numFmtId="0" fontId="13" fillId="5" borderId="102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101" pivotButton="0" quotePrefix="0" xfId="0"/>
    <xf numFmtId="0" fontId="0" fillId="0" borderId="105" pivotButton="0" quotePrefix="0" xfId="0"/>
    <xf numFmtId="0" fontId="0" fillId="0" borderId="40" pivotButton="0" quotePrefix="0" xfId="0"/>
    <xf numFmtId="0" fontId="30" fillId="3" borderId="118" applyAlignment="1" pivotButton="0" quotePrefix="0" xfId="0">
      <alignment horizontal="center" vertical="center" wrapText="1"/>
    </xf>
    <xf numFmtId="0" fontId="30" fillId="2" borderId="118" applyAlignment="1" pivotButton="0" quotePrefix="0" xfId="0">
      <alignment horizontal="left" vertical="center" wrapText="1"/>
    </xf>
    <xf numFmtId="164" fontId="30" fillId="2" borderId="118" applyAlignment="1" pivotButton="0" quotePrefix="0" xfId="0">
      <alignment horizontal="center" vertical="center" wrapText="1"/>
    </xf>
    <xf numFmtId="0" fontId="30" fillId="2" borderId="118" applyAlignment="1" pivotButton="0" quotePrefix="0" xfId="0">
      <alignment horizontal="center" vertical="center" wrapText="1"/>
    </xf>
    <xf numFmtId="164" fontId="2" fillId="2" borderId="7" applyAlignment="1" pivotButton="0" quotePrefix="0" xfId="0">
      <alignment horizontal="center" vertical="center"/>
    </xf>
    <xf numFmtId="164" fontId="2" fillId="2" borderId="8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164" fontId="2" fillId="2" borderId="10" applyAlignment="1" pivotButton="0" quotePrefix="0" xfId="0">
      <alignment horizontal="center" vertical="center"/>
    </xf>
    <xf numFmtId="0" fontId="0" fillId="0" borderId="107" pivotButton="0" quotePrefix="0" xfId="0"/>
    <xf numFmtId="0" fontId="12" fillId="3" borderId="111" applyAlignment="1" pivotButton="0" quotePrefix="0" xfId="2">
      <alignment horizontal="center" vertical="center"/>
    </xf>
    <xf numFmtId="0" fontId="0" fillId="0" borderId="28" pivotButton="0" quotePrefix="0" xfId="0"/>
    <xf numFmtId="0" fontId="7" fillId="2" borderId="114" applyAlignment="1" pivotButton="0" quotePrefix="1" xfId="2">
      <alignment horizontal="left" vertical="center" indent="3"/>
    </xf>
    <xf numFmtId="0" fontId="0" fillId="0" borderId="30" pivotButton="0" quotePrefix="0" xfId="0"/>
    <xf numFmtId="0" fontId="7" fillId="2" borderId="108" applyAlignment="1" pivotButton="0" quotePrefix="1" xfId="2">
      <alignment horizontal="left" vertical="center" indent="3"/>
    </xf>
    <xf numFmtId="0" fontId="0" fillId="0" borderId="32" pivotButton="0" quotePrefix="0" xfId="0"/>
    <xf numFmtId="0" fontId="7" fillId="2" borderId="116" applyAlignment="1" pivotButton="0" quotePrefix="1" xfId="2">
      <alignment horizontal="left" vertical="center" indent="3"/>
    </xf>
    <xf numFmtId="0" fontId="0" fillId="0" borderId="34" pivotButton="0" quotePrefix="0" xfId="0"/>
    <xf numFmtId="0" fontId="7" fillId="2" borderId="117" applyAlignment="1" pivotButton="0" quotePrefix="0" xfId="2">
      <alignment horizontal="left" vertical="center" indent="1"/>
    </xf>
    <xf numFmtId="0" fontId="0" fillId="0" borderId="36" pivotButton="0" quotePrefix="0" xfId="0"/>
    <xf numFmtId="0" fontId="7" fillId="2" borderId="108" applyAlignment="1" pivotButton="0" quotePrefix="1" xfId="2">
      <alignment horizontal="left" vertical="center" indent="1"/>
    </xf>
    <xf numFmtId="0" fontId="7" fillId="2" borderId="108" applyAlignment="1" pivotButton="0" quotePrefix="0" xfId="2">
      <alignment horizontal="left" vertical="center" indent="1"/>
    </xf>
    <xf numFmtId="0" fontId="7" fillId="2" borderId="110" applyAlignment="1" pivotButton="0" quotePrefix="0" xfId="2">
      <alignment horizontal="left" vertical="center" indent="1"/>
    </xf>
    <xf numFmtId="0" fontId="0" fillId="0" borderId="38" pivotButton="0" quotePrefix="0" xfId="0"/>
  </cellXfs>
  <cellStyles count="4">
    <cellStyle name="표준" xfId="0" builtinId="0"/>
    <cellStyle name="표준_문서번호_문서명_YYYYMMDD" xfId="1"/>
    <cellStyle name="표준_Task관계 코어업무 WBSv0.46_설계단계" xfId="2"/>
    <cellStyle name="쉼표 [0]" xfId="3" builtinId="6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3</col>
      <colOff>314325</colOff>
      <row>28</row>
      <rowOff>95250</rowOff>
    </from>
    <to>
      <col>4</col>
      <colOff>668465</colOff>
      <row>30</row>
      <rowOff>9955</rowOff>
    </to>
    <pic>
      <nvPicPr>
        <cNvPr id="6" name="그림 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390775" y="7886700"/>
          <a:ext cx="1335215" cy="33380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tabSelected="1" zoomScaleNormal="100" workbookViewId="0">
      <selection activeCell="C15" sqref="C15"/>
    </sheetView>
  </sheetViews>
  <sheetFormatPr baseColWidth="8" defaultColWidth="8" defaultRowHeight="16.5"/>
  <cols>
    <col width="7" customWidth="1" style="7" min="1" max="1"/>
    <col width="11" customWidth="1" style="7" min="2" max="2"/>
    <col width="9.25" customWidth="1" style="7" min="3" max="3"/>
    <col width="12.875" customWidth="1" style="7" min="4" max="4"/>
    <col width="9.25" customWidth="1" style="7" min="5" max="5"/>
    <col width="12.875" customWidth="1" style="7" min="6" max="6"/>
    <col width="11" customWidth="1" style="7" min="7" max="7"/>
    <col width="7" customWidth="1" style="7" min="8" max="8"/>
    <col width="8" customWidth="1" style="7" min="9" max="16384"/>
  </cols>
  <sheetData>
    <row r="1"/>
    <row r="2"/>
    <row r="3"/>
    <row r="4"/>
    <row r="5"/>
    <row r="6" ht="39.75" customHeight="1" s="185">
      <c r="A6" s="5" t="inlineStr">
        <is>
          <t>단위테스트 케이스</t>
        </is>
      </c>
      <c r="B6" s="6" t="n"/>
      <c r="C6" s="6" t="n"/>
      <c r="D6" s="6" t="n"/>
      <c r="E6" s="6" t="n"/>
      <c r="F6" s="6" t="n"/>
      <c r="G6" s="6" t="n"/>
      <c r="H6" s="6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</row>
    <row r="8"/>
    <row r="9"/>
    <row r="10"/>
    <row r="11" ht="17.25" customHeight="1" s="185" thickBot="1"/>
    <row r="12" ht="21" customHeight="1" s="185">
      <c r="B12" s="28" t="inlineStr">
        <is>
          <t>프로젝트명</t>
        </is>
      </c>
      <c r="C12" s="139" t="inlineStr">
        <is>
          <t>한빛글로벌 SyncGuard AI 시스템 구축</t>
        </is>
      </c>
      <c r="D12" s="186" t="n"/>
      <c r="E12" s="186" t="n"/>
      <c r="F12" s="186" t="n"/>
      <c r="G12" s="186" t="n"/>
    </row>
    <row r="13" ht="21" customHeight="1" s="185">
      <c r="B13" s="29" t="inlineStr">
        <is>
          <t>최종작성일</t>
        </is>
      </c>
      <c r="C13" s="140" t="inlineStr">
        <is>
          <t>2026. 10. 16.</t>
        </is>
      </c>
      <c r="D13" s="187" t="n"/>
      <c r="E13" s="187" t="n"/>
      <c r="F13" s="187" t="n"/>
      <c r="G13" s="187" t="n"/>
    </row>
    <row r="14" ht="21" customHeight="1" s="185" thickBot="1">
      <c r="B14" s="30" t="inlineStr">
        <is>
          <t>산출물 ID</t>
        </is>
      </c>
      <c r="C14" s="141" t="inlineStr">
        <is>
          <t>EMP_TST_010</t>
        </is>
      </c>
      <c r="D14" s="188" t="n"/>
      <c r="E14" s="30" t="inlineStr">
        <is>
          <t>버전</t>
        </is>
      </c>
      <c r="F14" s="141" t="inlineStr">
        <is>
          <t>v.0.1</t>
        </is>
      </c>
      <c r="G14" s="188" t="n"/>
    </row>
    <row r="15"/>
    <row r="16"/>
    <row r="17" ht="21.75" customHeight="1" s="185"/>
    <row r="18" ht="21.75" customHeight="1" s="185"/>
    <row r="19" ht="21.75" customHeight="1" s="185"/>
    <row r="20"/>
    <row r="21" ht="17.25" customHeight="1" s="185" thickBot="1"/>
    <row r="22" ht="22.5" customHeight="1" s="185">
      <c r="C22" s="189" t="inlineStr">
        <is>
          <t>엠파시</t>
        </is>
      </c>
      <c r="D22" s="190" t="n"/>
      <c r="E22" s="191" t="inlineStr">
        <is>
          <t>고객사명</t>
        </is>
      </c>
      <c r="F22" s="192" t="n"/>
    </row>
    <row r="23" ht="22.5" customHeight="1" s="185">
      <c r="C23" s="128" t="inlineStr">
        <is>
          <t>담당자</t>
        </is>
      </c>
      <c r="D23" s="129" t="n"/>
      <c r="E23" s="129" t="inlineStr">
        <is>
          <t>승인자</t>
        </is>
      </c>
      <c r="F23" s="130" t="n"/>
    </row>
    <row r="24" ht="90.75" customHeight="1" s="185" thickBot="1">
      <c r="C24" s="193" t="inlineStr">
        <is>
          <t>(인)</t>
        </is>
      </c>
      <c r="D24" s="194" t="n"/>
      <c r="E24" s="195" t="inlineStr">
        <is>
          <t>(인)</t>
        </is>
      </c>
      <c r="F24" s="196" t="n"/>
    </row>
    <row r="27" ht="21" customHeight="1" s="185"/>
    <row r="28" ht="21" customHeight="1" s="185"/>
  </sheetData>
  <mergeCells count="8">
    <mergeCell ref="C24:D24"/>
    <mergeCell ref="C12:G12"/>
    <mergeCell ref="E24:F24"/>
    <mergeCell ref="C14:D14"/>
    <mergeCell ref="E22:F22"/>
    <mergeCell ref="F14:G14"/>
    <mergeCell ref="C22:D22"/>
    <mergeCell ref="C13:G13"/>
  </mergeCells>
  <printOptions horizontalCentered="1" verticalCentered="1"/>
  <pageMargins left="0" right="0" top="0" bottom="0" header="0" footer="0"/>
  <pageSetup orientation="portrait" paperSize="9" scale="10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D20" sqref="D20"/>
    </sheetView>
  </sheetViews>
  <sheetFormatPr baseColWidth="8" defaultColWidth="8" defaultRowHeight="16.5"/>
  <cols>
    <col width="10" customWidth="1" style="7" min="1" max="1"/>
    <col width="16.875" customWidth="1" style="7" min="2" max="2"/>
    <col width="18" customWidth="1" style="7" min="3" max="3"/>
    <col width="52" customWidth="1" style="7" min="4" max="4"/>
    <col width="11.375" customWidth="1" style="7" min="5" max="6"/>
    <col width="8" customWidth="1" style="7" min="7" max="16384"/>
  </cols>
  <sheetData>
    <row r="1" ht="26.25" customHeight="1" s="185">
      <c r="A1" s="146" t="inlineStr">
        <is>
          <t>제·개정 이력</t>
        </is>
      </c>
    </row>
    <row r="2" ht="17.25" customHeight="1" s="185" thickBot="1"/>
    <row r="3" ht="21.75" customHeight="1" s="185">
      <c r="A3" s="47" t="inlineStr">
        <is>
          <t>버전</t>
        </is>
      </c>
      <c r="B3" s="48" t="inlineStr">
        <is>
          <t>개정일</t>
        </is>
      </c>
      <c r="C3" s="48" t="inlineStr">
        <is>
          <t>개정사유</t>
        </is>
      </c>
      <c r="D3" s="48" t="inlineStr">
        <is>
          <t>개정내역</t>
        </is>
      </c>
      <c r="E3" s="48" t="inlineStr">
        <is>
          <t>작성자</t>
        </is>
      </c>
      <c r="F3" s="49" t="inlineStr">
        <is>
          <t>승인자</t>
        </is>
      </c>
    </row>
    <row r="4" ht="21.75" customHeight="1" s="185">
      <c r="A4" s="31" t="inlineStr">
        <is>
          <t>v1.0</t>
        </is>
      </c>
      <c r="B4" s="32" t="inlineStr">
        <is>
          <t>2026. 10. 16.</t>
        </is>
      </c>
      <c r="C4" s="33" t="inlineStr">
        <is>
          <t>제정</t>
        </is>
      </c>
      <c r="D4" s="33" t="inlineStr">
        <is>
          <t>SyncGuard AI 시스템 구축 기준 상세 작성</t>
        </is>
      </c>
      <c r="E4" s="34" t="inlineStr">
        <is>
          <t>EMPASY</t>
        </is>
      </c>
      <c r="F4" s="35" t="inlineStr">
        <is>
          <t>한빛글로벌</t>
        </is>
      </c>
    </row>
    <row r="5" ht="21.75" customHeight="1" s="185">
      <c r="A5" s="36" t="n"/>
      <c r="B5" s="37" t="n"/>
      <c r="C5" s="38" t="n"/>
      <c r="D5" s="38" t="n"/>
      <c r="E5" s="39" t="n"/>
      <c r="F5" s="40" t="n"/>
    </row>
    <row r="6" ht="21.75" customHeight="1" s="185">
      <c r="A6" s="36" t="n"/>
      <c r="B6" s="37" t="n"/>
      <c r="C6" s="38" t="n"/>
      <c r="D6" s="38" t="n"/>
      <c r="E6" s="39" t="n"/>
      <c r="F6" s="40" t="n"/>
    </row>
    <row r="7" ht="21.75" customHeight="1" s="185">
      <c r="A7" s="36" t="n"/>
      <c r="B7" s="37" t="n"/>
      <c r="C7" s="38" t="n"/>
      <c r="D7" s="38" t="n"/>
      <c r="E7" s="39" t="n"/>
      <c r="F7" s="40" t="n"/>
    </row>
    <row r="8" ht="21.75" customHeight="1" s="185">
      <c r="A8" s="36" t="n"/>
      <c r="B8" s="37" t="n"/>
      <c r="C8" s="38" t="n"/>
      <c r="D8" s="38" t="n"/>
      <c r="E8" s="39" t="n"/>
      <c r="F8" s="40" t="n"/>
    </row>
    <row r="9" ht="21.75" customHeight="1" s="185">
      <c r="A9" s="36" t="n"/>
      <c r="B9" s="37" t="n"/>
      <c r="C9" s="38" t="n"/>
      <c r="D9" s="38" t="n"/>
      <c r="E9" s="39" t="n"/>
      <c r="F9" s="40" t="n"/>
    </row>
    <row r="10" ht="21.75" customHeight="1" s="185">
      <c r="A10" s="36" t="n"/>
      <c r="B10" s="37" t="n"/>
      <c r="C10" s="38" t="n"/>
      <c r="D10" s="38" t="n"/>
      <c r="E10" s="39" t="n"/>
      <c r="F10" s="40" t="n"/>
    </row>
    <row r="11" ht="21.75" customHeight="1" s="185">
      <c r="A11" s="36" t="n"/>
      <c r="B11" s="37" t="n"/>
      <c r="C11" s="38" t="n"/>
      <c r="D11" s="38" t="n"/>
      <c r="E11" s="39" t="n"/>
      <c r="F11" s="40" t="n"/>
    </row>
    <row r="12" ht="21.75" customHeight="1" s="185">
      <c r="A12" s="36" t="n"/>
      <c r="B12" s="37" t="n"/>
      <c r="C12" s="38" t="n"/>
      <c r="D12" s="38" t="n"/>
      <c r="E12" s="39" t="n"/>
      <c r="F12" s="40" t="n"/>
    </row>
    <row r="13" ht="21.75" customHeight="1" s="185">
      <c r="A13" s="36" t="n"/>
      <c r="B13" s="37" t="n"/>
      <c r="C13" s="38" t="n"/>
      <c r="D13" s="38" t="n"/>
      <c r="E13" s="39" t="n"/>
      <c r="F13" s="40" t="n"/>
    </row>
    <row r="14" ht="21.75" customHeight="1" s="185">
      <c r="A14" s="36" t="n"/>
      <c r="B14" s="37" t="n"/>
      <c r="C14" s="38" t="n"/>
      <c r="D14" s="38" t="n"/>
      <c r="E14" s="39" t="n"/>
      <c r="F14" s="40" t="n"/>
    </row>
    <row r="15" ht="21.75" customHeight="1" s="185">
      <c r="A15" s="36" t="n"/>
      <c r="B15" s="37" t="n"/>
      <c r="C15" s="38" t="n"/>
      <c r="D15" s="38" t="n"/>
      <c r="E15" s="39" t="n"/>
      <c r="F15" s="40" t="n"/>
    </row>
    <row r="16" ht="21.75" customHeight="1" s="185">
      <c r="A16" s="36" t="n"/>
      <c r="B16" s="37" t="n"/>
      <c r="C16" s="38" t="n"/>
      <c r="D16" s="38" t="n"/>
      <c r="E16" s="39" t="n"/>
      <c r="F16" s="40" t="n"/>
    </row>
    <row r="17" ht="21.75" customHeight="1" s="185" thickBot="1">
      <c r="A17" s="41" t="n"/>
      <c r="B17" s="42" t="n"/>
      <c r="C17" s="43" t="n"/>
      <c r="D17" s="43" t="n"/>
      <c r="E17" s="44" t="n"/>
      <c r="F17" s="45" t="n"/>
    </row>
    <row r="18"/>
    <row r="19">
      <c r="A19" s="46" t="inlineStr">
        <is>
          <t>개정 사유   제정 또는 개정 내용이 이전 문서에 대해 추가/수정/삭제인지 선택 기입</t>
        </is>
      </c>
    </row>
    <row r="20">
      <c r="A20" s="46" t="inlineStr">
        <is>
          <t>개정 내역   개정이 발생하는 페이지 번호와 변경 내용을 기술</t>
        </is>
      </c>
    </row>
  </sheetData>
  <mergeCells count="1">
    <mergeCell ref="A1:B1"/>
  </mergeCells>
  <printOptions horizontalCentered="1"/>
  <pageMargins left="0.7086614173228347" right="0.7086614173228347" top="0.7480314960629921" bottom="0.7480314960629921" header="0.3149606299212598" footer="0.3149606299212598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8"/>
  <sheetViews>
    <sheetView zoomScaleNormal="100" workbookViewId="0">
      <selection activeCell="W18" sqref="W18"/>
    </sheetView>
  </sheetViews>
  <sheetFormatPr baseColWidth="8" defaultColWidth="8" defaultRowHeight="16.5"/>
  <cols>
    <col width="17" customWidth="1" style="7" min="1" max="1"/>
    <col hidden="1" width="10.375" customWidth="1" style="7" min="2" max="6"/>
    <col width="10.375" customWidth="1" style="7" min="7" max="22"/>
    <col width="8" customWidth="1" style="7" min="23" max="16384"/>
  </cols>
  <sheetData>
    <row r="1" ht="26.25" customHeight="1" s="185">
      <c r="A1" s="147" t="inlineStr">
        <is>
          <t>SyncGuard AI 단위테스트 결과 및 조치 현황</t>
        </is>
      </c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</row>
    <row r="2" ht="17.25" customHeight="1" s="185" thickBot="1">
      <c r="A2" s="58" t="n"/>
      <c r="B2" s="61" t="n"/>
      <c r="C2" s="61" t="n"/>
      <c r="D2" s="61" t="n"/>
      <c r="E2" s="61" t="n"/>
      <c r="F2" s="1" t="n"/>
      <c r="G2" s="59" t="n"/>
      <c r="H2" s="59" t="n"/>
      <c r="I2" s="59" t="n"/>
      <c r="J2" s="59" t="n"/>
      <c r="K2" s="59" t="n"/>
      <c r="L2" s="59" t="n"/>
      <c r="M2" s="59" t="n"/>
      <c r="N2" s="59" t="n"/>
      <c r="O2" s="60" t="n"/>
      <c r="P2" s="60" t="n"/>
      <c r="Q2" s="61" t="n"/>
      <c r="R2" s="61" t="n"/>
      <c r="S2" s="1" t="n"/>
      <c r="T2" s="1" t="n"/>
      <c r="U2" s="197">
        <f>TODAY()</f>
        <v/>
      </c>
    </row>
    <row r="3" ht="25.5" customHeight="1" s="185">
      <c r="A3" s="198" t="inlineStr">
        <is>
          <t>구분</t>
        </is>
      </c>
      <c r="B3" s="149" t="inlineStr">
        <is>
          <t>테스트시나리오</t>
        </is>
      </c>
      <c r="C3" s="199" t="n"/>
      <c r="D3" s="199" t="n"/>
      <c r="E3" s="199" t="n"/>
      <c r="F3" s="199" t="n"/>
      <c r="G3" s="151" t="inlineStr">
        <is>
          <t>테스트 진행내역</t>
        </is>
      </c>
      <c r="H3" s="199" t="n"/>
      <c r="I3" s="199" t="n"/>
      <c r="J3" s="200" t="n"/>
      <c r="K3" s="153" t="inlineStr">
        <is>
          <t>테스트 결과</t>
        </is>
      </c>
      <c r="L3" s="199" t="n"/>
      <c r="M3" s="199" t="n"/>
      <c r="N3" s="199" t="n"/>
      <c r="O3" s="199" t="n"/>
      <c r="P3" s="200" t="n"/>
      <c r="Q3" s="153" t="inlineStr">
        <is>
          <t>결함개선</t>
        </is>
      </c>
      <c r="R3" s="199" t="n"/>
      <c r="S3" s="199" t="n"/>
      <c r="T3" s="199" t="n"/>
      <c r="U3" s="199" t="n"/>
      <c r="V3" s="200" t="n"/>
    </row>
    <row r="4" ht="25.5" customHeight="1" s="185" thickBot="1">
      <c r="A4" s="201" t="n"/>
      <c r="B4" s="64" t="inlineStr">
        <is>
          <t>항목수</t>
        </is>
      </c>
      <c r="C4" s="64" t="inlineStr">
        <is>
          <t>실패건수</t>
        </is>
      </c>
      <c r="D4" s="64" t="n"/>
      <c r="E4" s="64" t="n"/>
      <c r="F4" s="79" t="inlineStr">
        <is>
          <t>실패율</t>
        </is>
      </c>
      <c r="G4" s="80" t="inlineStr">
        <is>
          <t>항목수</t>
        </is>
      </c>
      <c r="H4" s="64" t="inlineStr">
        <is>
          <t>미진행</t>
        </is>
      </c>
      <c r="I4" s="90" t="inlineStr">
        <is>
          <t>테스트완료</t>
        </is>
      </c>
      <c r="J4" s="62" t="inlineStr">
        <is>
          <t>진행율</t>
        </is>
      </c>
      <c r="K4" s="64" t="inlineStr">
        <is>
          <t>정상</t>
        </is>
      </c>
      <c r="L4" s="63" t="inlineStr">
        <is>
          <t>정상비율</t>
        </is>
      </c>
      <c r="M4" s="64" t="inlineStr">
        <is>
          <t>개선사항</t>
        </is>
      </c>
      <c r="N4" s="64" t="inlineStr">
        <is>
          <t>단순오류</t>
        </is>
      </c>
      <c r="O4" s="64" t="inlineStr">
        <is>
          <t>치명적오류</t>
        </is>
      </c>
      <c r="P4" s="81" t="inlineStr">
        <is>
          <t>결함률</t>
        </is>
      </c>
      <c r="Q4" s="64" t="inlineStr">
        <is>
          <t>조치대상</t>
        </is>
      </c>
      <c r="R4" s="64" t="inlineStr">
        <is>
          <t>확인중</t>
        </is>
      </c>
      <c r="S4" s="64" t="inlineStr">
        <is>
          <t>조치중</t>
        </is>
      </c>
      <c r="T4" s="64" t="inlineStr">
        <is>
          <t>협의필요</t>
        </is>
      </c>
      <c r="U4" s="91" t="inlineStr">
        <is>
          <t>조치완료</t>
        </is>
      </c>
      <c r="V4" s="78" t="inlineStr">
        <is>
          <t>비율</t>
        </is>
      </c>
    </row>
    <row r="5" ht="37.5" customHeight="1" s="185">
      <c r="A5" s="131" t="inlineStr">
        <is>
          <t>01.시안처리및OCR</t>
        </is>
      </c>
      <c r="B5" s="202">
        <f>COUNTA('01.시안처리및OCR'!$A$5:$A$100)</f>
        <v/>
      </c>
      <c r="C5" s="202" t="n"/>
      <c r="D5" s="202" t="n"/>
      <c r="E5" s="202" t="n"/>
      <c r="F5" s="203">
        <f>IFERROR((C5/B5)*100,"-")</f>
        <v/>
      </c>
      <c r="G5" s="204">
        <f>COUNTA('01.시안처리및OCR'!$C$5:$C$100)</f>
        <v/>
      </c>
      <c r="H5" s="205">
        <f>COUNTIF('01.시안처리및OCR'!$K$5:$K$100,H$4)</f>
        <v/>
      </c>
      <c r="I5" s="206">
        <f>SUM(K5,M5,N5,O5)</f>
        <v/>
      </c>
      <c r="J5" s="207">
        <f>IFERROR((I5/G5)*100,"-")</f>
        <v/>
      </c>
      <c r="K5" s="208">
        <f>COUNTIF('01.시안처리및OCR'!$K$5:$K$100,K$4)</f>
        <v/>
      </c>
      <c r="L5" s="209">
        <f>IF(I5=0, 0, (K5/I5) * 100)</f>
        <v/>
      </c>
      <c r="M5" s="205">
        <f>COUNTIF('01.회원관리'!$K$5:$K$100,M$4)</f>
        <v/>
      </c>
      <c r="N5" s="205">
        <f>COUNTIF('01.회원관리'!$K$5:$K$100,N$4)</f>
        <v/>
      </c>
      <c r="O5" s="205">
        <f>COUNTIF('01.회원관리'!$K$5:$K$100,O$4)</f>
        <v/>
      </c>
      <c r="P5" s="210">
        <f>IF(I5=0, 0, (SUM(M5:O5)/I5) * 100)</f>
        <v/>
      </c>
      <c r="Q5" s="211">
        <f>SUM(M5:O5)</f>
        <v/>
      </c>
      <c r="R5" s="202">
        <f>COUNTIF('01.회원관리'!$M$5:$M100,R$4)</f>
        <v/>
      </c>
      <c r="S5" s="202">
        <f>COUNTIF('01.회원관리'!$M$5:$M100,S$4)</f>
        <v/>
      </c>
      <c r="T5" s="202">
        <f>COUNTIF('01.회원관리'!$M$5:$M100,T$4)</f>
        <v/>
      </c>
      <c r="U5" s="212">
        <f>COUNTIF('01.회원관리'!$M$5:$M100,U$4)</f>
        <v/>
      </c>
      <c r="V5" s="213">
        <f>IF(Q5=0, 0, (U5/Q5) * 100)</f>
        <v/>
      </c>
    </row>
    <row r="6" ht="37.5" customHeight="1" s="185">
      <c r="A6" s="132" t="inlineStr">
        <is>
          <t>02.3단계AI판정</t>
        </is>
      </c>
      <c r="B6" s="202">
        <f>COUNTA('02.3단계AI판정'!$A$5:$A$100)</f>
        <v/>
      </c>
      <c r="C6" s="202" t="n"/>
      <c r="D6" s="202" t="n"/>
      <c r="E6" s="202" t="n"/>
      <c r="F6" s="203">
        <f>IFERROR((C6/B6)*100,"-")</f>
        <v/>
      </c>
      <c r="G6" s="204">
        <f>COUNTA('02.3단계AI판정'!$C$5:$C$100)</f>
        <v/>
      </c>
      <c r="H6" s="205">
        <f>COUNTIF('02.3단계AI판정'!$K$5:$K$100,H$4)</f>
        <v/>
      </c>
      <c r="I6" s="206">
        <f>SUM(K6,M6,N6,O6)</f>
        <v/>
      </c>
      <c r="J6" s="207">
        <f>IFERROR((I6/G6)*100,"-")</f>
        <v/>
      </c>
      <c r="K6" s="208">
        <f>COUNTIF('02.3단계AI판정'!$K$5:$K$100,K$4)</f>
        <v/>
      </c>
      <c r="L6" s="209">
        <f>IF(I6=0, 0, (K6/I6) * 100)</f>
        <v/>
      </c>
      <c r="M6" s="205">
        <f>COUNTIF('02.예약관리'!$K$5:$K$106,M$4)</f>
        <v/>
      </c>
      <c r="N6" s="205">
        <f>COUNTIF('02.예약관리'!$K$5:$K$106,N$4)</f>
        <v/>
      </c>
      <c r="O6" s="205">
        <f>COUNTIF('02.예약관리'!$K$5:$K$106,O$4)</f>
        <v/>
      </c>
      <c r="P6" s="210">
        <f>IF(I6=0, 0, (SUM(M6:O6)/I6) * 100)</f>
        <v/>
      </c>
      <c r="Q6" s="211">
        <f>SUM(M6:O6)</f>
        <v/>
      </c>
      <c r="R6" s="202">
        <f>COUNTIF('02.예약관리'!$M$5:$M107,R$4)</f>
        <v/>
      </c>
      <c r="S6" s="202">
        <f>COUNTIF('02.예약관리'!$M$5:$M107,S$4)</f>
        <v/>
      </c>
      <c r="T6" s="202">
        <f>COUNTIF('02.예약관리'!$M$5:$M107,T$4)</f>
        <v/>
      </c>
      <c r="U6" s="212">
        <f>COUNTIF('02.예약관리'!$M$5:$M107,U$4)</f>
        <v/>
      </c>
      <c r="V6" s="213">
        <f>IF(Q6=0, 0, (U6/Q6) * 100)</f>
        <v/>
      </c>
    </row>
    <row r="7" ht="37.5" customHeight="1" s="185">
      <c r="A7" s="132" t="inlineStr">
        <is>
          <t>03.문안대조및대체</t>
        </is>
      </c>
      <c r="B7" s="202">
        <f>COUNTA('03.문안대조및대체'!$A$5:$A$100)</f>
        <v/>
      </c>
      <c r="C7" s="202" t="n"/>
      <c r="D7" s="202" t="n"/>
      <c r="E7" s="202" t="n"/>
      <c r="F7" s="203">
        <f>IFERROR((C7/B7)*100,"-")</f>
        <v/>
      </c>
      <c r="G7" s="204">
        <f>COUNTA('03.문안대조및대체'!$C$5:$C$100)</f>
        <v/>
      </c>
      <c r="H7" s="205">
        <f>COUNTIF('03.문안대조및대체'!$K$5:$K$100,H$4)</f>
        <v/>
      </c>
      <c r="I7" s="206">
        <f>SUM(K7,M7,N7,O7)</f>
        <v/>
      </c>
      <c r="J7" s="207">
        <f>IFERROR((I7/G7)*100,"-")</f>
        <v/>
      </c>
      <c r="K7" s="208">
        <f>COUNTIF('03.문안대조및대체'!$K$5:$K$100,K$4)</f>
        <v/>
      </c>
      <c r="L7" s="209">
        <f>IF(I7=0, 0, (K7/I7) * 100)</f>
        <v/>
      </c>
      <c r="M7" s="205">
        <f>COUNTIF('03.판매관리'!$J$5:$J$100,M$4)</f>
        <v/>
      </c>
      <c r="N7" s="205">
        <f>COUNTIF('03.판매관리'!$J$5:$J$100,N$4)</f>
        <v/>
      </c>
      <c r="O7" s="205">
        <f>COUNTIF('03.판매관리'!$J$5:$J$100,O$4)</f>
        <v/>
      </c>
      <c r="P7" s="210">
        <f>IF(I7=0, 0, (SUM(M7:O7)/I7) * 100)</f>
        <v/>
      </c>
      <c r="Q7" s="211">
        <f>SUM(M7:O7)</f>
        <v/>
      </c>
      <c r="R7" s="202">
        <f>COUNTIF('03.판매관리'!$L$5:$L102,R$4)</f>
        <v/>
      </c>
      <c r="S7" s="202">
        <f>COUNTIF('03.판매관리'!$L$5:$L102,S$4)</f>
        <v/>
      </c>
      <c r="T7" s="202">
        <f>COUNTIF('03.판매관리'!$L$5:$L102,T$4)</f>
        <v/>
      </c>
      <c r="U7" s="212">
        <f>COUNTIF('03.판매관리'!$L$5:$L102,U$4)</f>
        <v/>
      </c>
      <c r="V7" s="213">
        <f>IF(Q7=0, 0, (U7/Q7) * 100)</f>
        <v/>
      </c>
    </row>
    <row r="8" ht="37.5" customHeight="1" s="185">
      <c r="A8" s="132" t="inlineStr">
        <is>
          <t>04.RA전문심의</t>
        </is>
      </c>
      <c r="B8" s="202">
        <f>COUNTA('04.RA전문심의'!$A$5:$A$100)</f>
        <v/>
      </c>
      <c r="C8" s="202" t="n"/>
      <c r="D8" s="202" t="n"/>
      <c r="E8" s="202" t="n"/>
      <c r="F8" s="203">
        <f>IFERROR((C8/B8)*100,"-")</f>
        <v/>
      </c>
      <c r="G8" s="204">
        <f>COUNTA('04.RA전문심의'!$C$5:$C$100)</f>
        <v/>
      </c>
      <c r="H8" s="205">
        <f>COUNTIF('04.RA전문심의'!$K$5:$K$100,H$4)</f>
        <v/>
      </c>
      <c r="I8" s="206">
        <f>SUM(K8,M8,N8,O8)</f>
        <v/>
      </c>
      <c r="J8" s="207">
        <f>IFERROR((I8/G8)*100,"-")</f>
        <v/>
      </c>
      <c r="K8" s="208">
        <f>COUNTIF('04.RA전문심의'!$K$5:$K$100,K$4)</f>
        <v/>
      </c>
      <c r="L8" s="209">
        <f>IF(I8=0, 0, (K8/I8) * 100)</f>
        <v/>
      </c>
      <c r="M8" s="205">
        <f>COUNTIF('04.재고관리'!$J$5:$J$100,M$4)</f>
        <v/>
      </c>
      <c r="N8" s="205">
        <f>COUNTIF('04.재고관리'!$J$5:$J$100,N$4)</f>
        <v/>
      </c>
      <c r="O8" s="205">
        <f>COUNTIF('04.재고관리'!$J$5:$J$100,O$4)</f>
        <v/>
      </c>
      <c r="P8" s="210">
        <f>IF(I8=0, 0, (SUM(M8:O8)/I8) * 100)</f>
        <v/>
      </c>
      <c r="Q8" s="211">
        <f>SUM(M8:O8)</f>
        <v/>
      </c>
      <c r="R8" s="202">
        <f>COUNTIF('04.재고관리'!$L$5:$L103,R$4)</f>
        <v/>
      </c>
      <c r="S8" s="202">
        <f>COUNTIF('04.재고관리'!$L$5:$L103,S$4)</f>
        <v/>
      </c>
      <c r="T8" s="202">
        <f>COUNTIF('04.재고관리'!$L$5:$L103,T$4)</f>
        <v/>
      </c>
      <c r="U8" s="212">
        <f>COUNTIF('04.재고관리'!$L$5:$L103,U$4)</f>
        <v/>
      </c>
      <c r="V8" s="213">
        <f>IF(Q8=0, 0, (U8/Q8) * 100)</f>
        <v/>
      </c>
    </row>
    <row r="9" ht="37.5" customHeight="1" s="185">
      <c r="A9" s="133" t="inlineStr">
        <is>
          <t>05.시스템및연계</t>
        </is>
      </c>
      <c r="B9" s="214">
        <f>COUNTA('05.시스템및연계'!$A$5:$A$100)</f>
        <v/>
      </c>
      <c r="C9" s="214" t="n"/>
      <c r="D9" s="214" t="n"/>
      <c r="E9" s="214" t="n"/>
      <c r="F9" s="215">
        <f>IFERROR((C9/B9)*100,"-")</f>
        <v/>
      </c>
      <c r="G9" s="216">
        <f>COUNTA('05.시스템및연계'!$C$5:$C$100)</f>
        <v/>
      </c>
      <c r="H9" s="217">
        <f>COUNTIF('05.시스템및연계'!$K$5:$K$100,H$4)</f>
        <v/>
      </c>
      <c r="I9" s="218">
        <f>SUM(K9,M9,N9,O9)</f>
        <v/>
      </c>
      <c r="J9" s="219">
        <f>IFERROR((I9/G9)*100,"-")</f>
        <v/>
      </c>
      <c r="K9" s="220">
        <f>COUNTIF('05.시스템및연계'!$K$5:$K$100,K$4)</f>
        <v/>
      </c>
      <c r="L9" s="221">
        <f>IF(I9=0, 0, (K9/I9) * 100)</f>
        <v/>
      </c>
      <c r="M9" s="217">
        <f>COUNTIF('05.시스템관리'!$J$5:$J$100,M$4)</f>
        <v/>
      </c>
      <c r="N9" s="217">
        <f>COUNTIF('05.시스템관리'!$J$5:$J$100,N$4)</f>
        <v/>
      </c>
      <c r="O9" s="217">
        <f>COUNTIF('05.시스템관리'!$J$5:$J$100,O$4)</f>
        <v/>
      </c>
      <c r="P9" s="222">
        <f>IF(I9=0, 0, (SUM(M9:O9)/I9) * 100)</f>
        <v/>
      </c>
      <c r="Q9" s="223">
        <f>SUM(M9:O9)</f>
        <v/>
      </c>
      <c r="R9" s="214">
        <f>COUNTIF('05.시스템관리'!$L$5:$L104,R$4)</f>
        <v/>
      </c>
      <c r="S9" s="214">
        <f>COUNTIF('05.시스템관리'!$L$5:$L104,S$4)</f>
        <v/>
      </c>
      <c r="T9" s="214">
        <f>COUNTIF('05.시스템관리'!$L$5:$L104,T$4)</f>
        <v/>
      </c>
      <c r="U9" s="224">
        <f>COUNTIF('05.시스템관리'!$L$5:$L104,U$4)</f>
        <v/>
      </c>
      <c r="V9" s="225">
        <f>IF(Q9=0, 0, (U9/Q9) * 100)</f>
        <v/>
      </c>
    </row>
    <row r="10" ht="37.5" customHeight="1" s="185" thickBot="1">
      <c r="A10" s="134" t="inlineStr">
        <is>
          <t>합계</t>
        </is>
      </c>
      <c r="B10" s="226">
        <f>SUM(B5:B9)</f>
        <v/>
      </c>
      <c r="C10" s="226" t="n"/>
      <c r="D10" s="226" t="n"/>
      <c r="E10" s="226" t="n"/>
      <c r="F10" s="227">
        <f>IFERROR((C10/B10)*100,"-")</f>
        <v/>
      </c>
      <c r="G10" s="228">
        <f>SUM(G5:G9)</f>
        <v/>
      </c>
      <c r="H10" s="229">
        <f>SUM(H5:H9)</f>
        <v/>
      </c>
      <c r="I10" s="230">
        <f>SUM(I5:I9)</f>
        <v/>
      </c>
      <c r="J10" s="231">
        <f>(I10/G10) * 100</f>
        <v/>
      </c>
      <c r="K10" s="232">
        <f>SUM(K5:K9)</f>
        <v/>
      </c>
      <c r="L10" s="233">
        <f>IF(I10=0, 0, (K10/I10) * 100)</f>
        <v/>
      </c>
      <c r="M10" s="229">
        <f>SUM(M5:M9)</f>
        <v/>
      </c>
      <c r="N10" s="229">
        <f>SUM(N5:N9)</f>
        <v/>
      </c>
      <c r="O10" s="229">
        <f>SUM(O5:O9)</f>
        <v/>
      </c>
      <c r="P10" s="234">
        <f>IF(I10=0, 0, (SUM(M10:O10)/I10) * 100)</f>
        <v/>
      </c>
      <c r="Q10" s="235">
        <f>SUM(Q5:Q9)</f>
        <v/>
      </c>
      <c r="R10" s="226">
        <f>SUM(R5:R9)</f>
        <v/>
      </c>
      <c r="S10" s="226">
        <f>SUM(S5:S9)</f>
        <v/>
      </c>
      <c r="T10" s="226">
        <f>SUM(T5:T9)</f>
        <v/>
      </c>
      <c r="U10" s="236">
        <f>SUM(U5:U9)</f>
        <v/>
      </c>
      <c r="V10" s="237">
        <f>IF(Q10=0, 0, (U10/Q10) * 100)</f>
        <v/>
      </c>
    </row>
    <row r="11">
      <c r="A11" s="59" t="n"/>
      <c r="B11" s="61" t="n"/>
      <c r="C11" s="61" t="n"/>
      <c r="D11" s="61" t="n"/>
      <c r="E11" s="61" t="n"/>
      <c r="F11" s="61" t="n"/>
      <c r="G11" s="59" t="n"/>
      <c r="H11" s="59" t="n"/>
      <c r="I11" s="59" t="n"/>
      <c r="J11" s="59" t="n"/>
      <c r="K11" s="59" t="n"/>
      <c r="L11" s="59" t="n"/>
      <c r="M11" s="59" t="n"/>
      <c r="N11" s="59" t="n"/>
      <c r="O11" s="59" t="n"/>
      <c r="P11" s="59" t="n"/>
      <c r="Q11" s="61" t="n"/>
      <c r="R11" s="61" t="n"/>
      <c r="S11" s="61" t="n"/>
      <c r="T11" s="61" t="n"/>
      <c r="U11" s="61" t="n"/>
      <c r="V11" s="61" t="n"/>
    </row>
    <row r="12">
      <c r="A12" s="61" t="n"/>
      <c r="C12" s="61" t="n"/>
      <c r="D12" s="89" t="inlineStr">
        <is>
          <t>=IF(NOT('01.회원관리'!A5:A100="",('01.회원관리'!A5:A100&gt;0(SUMPRODUCT(1/COUNTIF('01.회원관리'!A5:A17,'01.회원관리'!A5:A17)),0)</t>
        </is>
      </c>
      <c r="E12" s="61" t="n"/>
      <c r="F12" s="61" t="n"/>
      <c r="G12" s="59" t="n"/>
      <c r="I12" s="59" t="n"/>
      <c r="J12" s="59" t="n"/>
      <c r="K12" s="59" t="n"/>
      <c r="L12" s="59" t="n"/>
      <c r="M12" s="59" t="n"/>
      <c r="N12" s="59" t="n"/>
      <c r="O12" s="59" t="n"/>
      <c r="P12" s="59" t="n"/>
      <c r="Q12" s="61" t="n"/>
      <c r="R12" s="61" t="n"/>
      <c r="S12" s="61" t="n"/>
      <c r="T12" s="61" t="n"/>
      <c r="U12" s="61" t="n"/>
      <c r="V12" s="61" t="n"/>
    </row>
    <row r="13">
      <c r="A13" s="61" t="n"/>
      <c r="C13" s="61" t="n"/>
      <c r="D13" s="89" t="inlineStr">
        <is>
          <t>=IF('01.회원관리'!A5:A100&gt;0(SUMPRODUCT(1/COUNTIF('01.회원관리'!A5:A17,'01.회원관리'!A5:A17)),0)</t>
        </is>
      </c>
      <c r="E13" s="61" t="n"/>
      <c r="F13" s="61" t="n"/>
      <c r="G13" s="61" t="n"/>
      <c r="I13" s="59" t="n"/>
      <c r="J13" s="59" t="n"/>
      <c r="K13" s="59" t="n"/>
      <c r="L13" s="59" t="n"/>
      <c r="M13" s="59" t="n"/>
      <c r="N13" s="59" t="n"/>
      <c r="O13" s="59" t="n"/>
      <c r="P13" s="59" t="n"/>
      <c r="Q13" s="61" t="n"/>
      <c r="R13" s="61" t="n"/>
      <c r="S13" s="61" t="n"/>
      <c r="T13" s="61" t="n"/>
      <c r="U13" s="61" t="n"/>
      <c r="V13" s="61" t="n"/>
    </row>
    <row r="14">
      <c r="A14" s="61" t="n"/>
      <c r="C14" s="61" t="n"/>
      <c r="D14" s="89" t="inlineStr">
        <is>
          <t>=SUMPRODUCT(1/COUNTIF('01.회원관리'!A5:A100,'01.회원관리'!A5:A100))</t>
        </is>
      </c>
      <c r="E14" s="61" t="n"/>
      <c r="F14" s="61" t="n"/>
      <c r="G14" s="61" t="n"/>
      <c r="I14" s="59" t="n"/>
      <c r="J14" s="59" t="n"/>
      <c r="K14" s="59" t="n"/>
      <c r="L14" s="59" t="n"/>
      <c r="M14" s="59" t="n"/>
      <c r="N14" s="59" t="n"/>
      <c r="O14" s="59" t="n"/>
      <c r="P14" s="59" t="n"/>
      <c r="Q14" s="61" t="n"/>
      <c r="R14" s="61" t="n"/>
      <c r="S14" s="61" t="n"/>
      <c r="T14" s="61" t="n"/>
      <c r="U14" s="61" t="n"/>
      <c r="V14" s="61" t="n"/>
    </row>
    <row r="15">
      <c r="D15" s="82" t="inlineStr">
        <is>
          <t>=SUM(1/COUNT('01.회원관리'!A5:A100,'01.회원관리'!A5:A100))</t>
        </is>
      </c>
    </row>
    <row r="16">
      <c r="D16" s="82" t="inlineStr">
        <is>
          <t>=LEFT('01.회원관리'!C5:C100,9)</t>
        </is>
      </c>
    </row>
    <row r="17">
      <c r="D17" s="82" t="inlineStr">
        <is>
          <t>=COUNTIFS(LEFT('01.회원관리'!C5:C100,9))</t>
        </is>
      </c>
    </row>
    <row r="18">
      <c r="D18" s="82" t="inlineStr">
        <is>
          <t>=SUMPRODUCT(1/COUNTIF('01.회원관리'!A5:A17,'01.회원관리'!A5:A17))</t>
        </is>
      </c>
    </row>
  </sheetData>
  <mergeCells count="7">
    <mergeCell ref="U2:V2"/>
    <mergeCell ref="G3:J3"/>
    <mergeCell ref="A3:A4"/>
    <mergeCell ref="B3:F3"/>
    <mergeCell ref="A1:I1"/>
    <mergeCell ref="K3:P3"/>
    <mergeCell ref="Q3:V3"/>
  </mergeCells>
  <printOptions horizontalCentered="1" verticalCentered="1"/>
  <pageMargins left="0" right="0" top="0" bottom="0" header="0" footer="0"/>
  <pageSetup orientation="landscape" paperSize="9" scale="6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00"/>
  <sheetViews>
    <sheetView zoomScaleNormal="100" workbookViewId="0">
      <pane xSplit="6" ySplit="4" topLeftCell="G5" activePane="bottomRight" state="frozen"/>
      <selection activeCell="N20" sqref="N20"/>
      <selection pane="topRight" activeCell="N20" sqref="N20"/>
      <selection pane="bottomLeft" activeCell="N20" sqref="N20"/>
      <selection pane="bottomRight" activeCell="F27" sqref="F27"/>
    </sheetView>
  </sheetViews>
  <sheetFormatPr baseColWidth="8" defaultRowHeight="16.5"/>
  <cols>
    <col width="14" customWidth="1" style="11" min="1" max="1"/>
    <col width="17.125" customWidth="1" style="1" min="2" max="2"/>
    <col width="14" customWidth="1" style="1" min="3" max="3"/>
    <col width="20.5" bestFit="1" customWidth="1" style="1" min="4" max="4"/>
    <col width="14" customWidth="1" style="11" min="5" max="5"/>
    <col width="71.75" customWidth="1" style="1" min="6" max="6"/>
    <col width="10.625" customWidth="1" style="1" min="7" max="7"/>
    <col width="7.75" customWidth="1" style="1" min="8" max="8"/>
    <col width="7.375" customWidth="1" style="1" min="9" max="9"/>
    <col width="7.5" customWidth="1" style="1" min="10" max="10"/>
    <col width="10.875" customWidth="1" style="1" min="11" max="11"/>
    <col width="34.875" customWidth="1" style="1" min="12" max="12"/>
    <col width="9" customWidth="1" style="1" min="13" max="13"/>
    <col width="11.625" customWidth="1" style="1" min="14" max="14"/>
    <col width="9" customWidth="1" style="1" min="15" max="15"/>
    <col width="64.25" customWidth="1" style="1" min="16" max="16"/>
    <col width="9" customWidth="1" style="1" min="17" max="16384"/>
  </cols>
  <sheetData>
    <row r="1" ht="20.25" customHeight="1" s="185">
      <c r="A1" s="238" t="inlineStr">
        <is>
          <t>01.시안처리및OCR</t>
        </is>
      </c>
      <c r="C1" s="12" t="n"/>
      <c r="I1" s="83" t="n"/>
    </row>
    <row r="2" ht="17.25" customHeight="1" s="185" thickBot="1"/>
    <row r="3">
      <c r="A3" s="239" t="inlineStr">
        <is>
          <t>테스트시나리오ID</t>
        </is>
      </c>
      <c r="B3" s="240" t="inlineStr">
        <is>
          <t>시나리오명</t>
        </is>
      </c>
      <c r="C3" s="239" t="inlineStr">
        <is>
          <t>테스트케이스ID</t>
        </is>
      </c>
      <c r="D3" s="240" t="inlineStr">
        <is>
          <t>케이스명</t>
        </is>
      </c>
      <c r="E3" s="239" t="inlineStr">
        <is>
          <t>화면ID</t>
        </is>
      </c>
      <c r="F3" s="241" t="inlineStr">
        <is>
          <t>예상결과</t>
        </is>
      </c>
      <c r="G3" s="242" t="inlineStr">
        <is>
          <t>테스트결과</t>
        </is>
      </c>
      <c r="H3" s="243" t="n"/>
      <c r="I3" s="243" t="n"/>
      <c r="J3" s="243" t="n"/>
      <c r="K3" s="243" t="n"/>
      <c r="L3" s="192" t="n"/>
      <c r="M3" s="157" t="inlineStr">
        <is>
          <t>조치사항</t>
        </is>
      </c>
      <c r="N3" s="243" t="n"/>
      <c r="O3" s="243" t="n"/>
      <c r="P3" s="243" t="n"/>
    </row>
    <row r="4" ht="17.25" customHeight="1" s="185" thickBot="1">
      <c r="A4" s="244" t="n"/>
      <c r="B4" s="245" t="n"/>
      <c r="C4" s="244" t="n"/>
      <c r="D4" s="245" t="n"/>
      <c r="E4" s="244" t="n"/>
      <c r="F4" s="246" t="n"/>
      <c r="G4" s="55" t="inlineStr">
        <is>
          <t>테스트날짜</t>
        </is>
      </c>
      <c r="H4" s="56" t="inlineStr">
        <is>
          <t>수행자</t>
        </is>
      </c>
      <c r="I4" s="65" t="inlineStr">
        <is>
          <t>구분</t>
        </is>
      </c>
      <c r="J4" s="84" t="inlineStr">
        <is>
          <t>실패여부</t>
        </is>
      </c>
      <c r="K4" s="65" t="inlineStr">
        <is>
          <t>결과구분</t>
        </is>
      </c>
      <c r="L4" s="85" t="inlineStr">
        <is>
          <t>실제결과</t>
        </is>
      </c>
      <c r="M4" s="86" t="inlineStr">
        <is>
          <t>조치여부</t>
        </is>
      </c>
      <c r="N4" s="87" t="inlineStr">
        <is>
          <t>조치일자</t>
        </is>
      </c>
      <c r="O4" s="88" t="inlineStr">
        <is>
          <t>조치담당자</t>
        </is>
      </c>
      <c r="P4" s="88" t="inlineStr">
        <is>
          <t>담당자 의견</t>
        </is>
      </c>
    </row>
    <row r="5">
      <c r="A5" s="247" t="inlineStr">
        <is>
          <t>TS_OCR_0100</t>
        </is>
      </c>
      <c r="B5" s="248" t="inlineStr">
        <is>
          <t>PPTX 시안 파싱</t>
        </is>
      </c>
      <c r="C5" s="247" t="inlineStr">
        <is>
          <t>TC_OCR_0101</t>
        </is>
      </c>
      <c r="D5" s="248" t="inlineStr">
        <is>
          <t>텍스트 상자 추출</t>
        </is>
      </c>
      <c r="E5" s="247" t="inlineStr">
        <is>
          <t>SCR_CLM_01</t>
        </is>
      </c>
      <c r="F5" s="248" t="inlineStr">
        <is>
          <t>슬라이드 내 모든 텍스트 상자 및 도형 내 텍스트 정상 추출</t>
        </is>
      </c>
      <c r="G5" s="249" t="inlineStr">
        <is>
          <t>2026-10-16</t>
        </is>
      </c>
      <c r="H5" s="249" t="inlineStr">
        <is>
          <t>EMPASY QA팀</t>
        </is>
      </c>
      <c r="I5" s="249" t="inlineStr">
        <is>
          <t>Web</t>
        </is>
      </c>
      <c r="J5" s="250">
        <f>IFERROR(_xlfn.IFS($K5="정상","P",$K5="단순오류","F",$K5="개선사항","F",$K5="치명적오류","F",$K5="미진행","N"),"")</f>
        <v/>
      </c>
      <c r="K5" s="250" t="inlineStr">
        <is>
          <t>정상</t>
        </is>
      </c>
      <c r="L5" s="248" t="inlineStr">
        <is>
          <t>정상 패스</t>
        </is>
      </c>
      <c r="M5" s="76" t="inlineStr">
        <is>
          <t>-</t>
        </is>
      </c>
      <c r="N5" s="72" t="n"/>
      <c r="O5" s="24" t="n"/>
      <c r="P5" s="3" t="n"/>
    </row>
    <row r="6">
      <c r="A6" s="247" t="inlineStr">
        <is>
          <t>TS_OCR_0100</t>
        </is>
      </c>
      <c r="B6" s="248" t="inlineStr">
        <is>
          <t>PPTX 시안 파싱</t>
        </is>
      </c>
      <c r="C6" s="247" t="inlineStr">
        <is>
          <t>TC_OCR_0102</t>
        </is>
      </c>
      <c r="D6" s="248" t="inlineStr">
        <is>
          <t>표(Table) 셀 텍스트 추출</t>
        </is>
      </c>
      <c r="E6" s="247" t="inlineStr">
        <is>
          <t>SCR_CLM_01</t>
        </is>
      </c>
      <c r="F6" s="248" t="inlineStr">
        <is>
          <t>표 구조 내 행/열 인덱스 및 셀 텍스트 손실 없이 추출</t>
        </is>
      </c>
      <c r="G6" s="249" t="inlineStr">
        <is>
          <t>2026-10-16</t>
        </is>
      </c>
      <c r="H6" s="249" t="inlineStr">
        <is>
          <t>EMPASY QA팀</t>
        </is>
      </c>
      <c r="I6" s="249" t="inlineStr">
        <is>
          <t>Web</t>
        </is>
      </c>
      <c r="J6" s="250">
        <f>IFERROR(_xlfn.IFS($K6="정상","P",$K6="단순오류","F",$K6="개선사항","F",$K6="치명적오류","F",$K6="미진행","N"),"")</f>
        <v/>
      </c>
      <c r="K6" s="250" t="inlineStr">
        <is>
          <t>정상</t>
        </is>
      </c>
      <c r="L6" s="248" t="inlineStr">
        <is>
          <t>정상 패스</t>
        </is>
      </c>
      <c r="M6" s="66" t="inlineStr">
        <is>
          <t>조치완료</t>
        </is>
      </c>
      <c r="N6" s="73" t="inlineStr">
        <is>
          <t>2026-09-22</t>
        </is>
      </c>
      <c r="O6" s="19" t="inlineStr">
        <is>
          <t>박개발</t>
        </is>
      </c>
      <c r="P6" s="2" t="n"/>
    </row>
    <row r="7">
      <c r="A7" s="247" t="inlineStr">
        <is>
          <t>TS_OCR_0100</t>
        </is>
      </c>
      <c r="B7" s="248" t="inlineStr">
        <is>
          <t>PPTX 시안 파싱</t>
        </is>
      </c>
      <c r="C7" s="247" t="inlineStr">
        <is>
          <t>TC_OCR_0103</t>
        </is>
      </c>
      <c r="D7" s="248" t="inlineStr">
        <is>
          <t>그룹화(Grouped) 도형 분리</t>
        </is>
      </c>
      <c r="E7" s="247" t="inlineStr">
        <is>
          <t>SCR_CLM_01</t>
        </is>
      </c>
      <c r="F7" s="248" t="inlineStr">
        <is>
          <t>그룹으로 묶인 여러 도형 내 텍스트 순차 분리 추출</t>
        </is>
      </c>
      <c r="G7" s="249" t="inlineStr">
        <is>
          <t>2026-10-16</t>
        </is>
      </c>
      <c r="H7" s="249" t="inlineStr">
        <is>
          <t>EMPASY QA팀</t>
        </is>
      </c>
      <c r="I7" s="249" t="inlineStr">
        <is>
          <t>Web</t>
        </is>
      </c>
      <c r="J7" s="250">
        <f>IFERROR(_xlfn.IFS($K7="정상","P",$K7="단순오류","F",$K7="개선사항","F",$K7="치명적오류","F",$K7="미진행","N"),"")</f>
        <v/>
      </c>
      <c r="K7" s="250" t="inlineStr">
        <is>
          <t>정상</t>
        </is>
      </c>
      <c r="L7" s="248" t="inlineStr">
        <is>
          <t>정상 패스</t>
        </is>
      </c>
      <c r="M7" s="75" t="inlineStr">
        <is>
          <t>-</t>
        </is>
      </c>
      <c r="N7" s="73" t="n"/>
      <c r="O7" s="19" t="n"/>
      <c r="P7" s="2" t="n"/>
    </row>
    <row r="8">
      <c r="A8" s="247" t="inlineStr">
        <is>
          <t>TS_OCR_0100</t>
        </is>
      </c>
      <c r="B8" s="248" t="inlineStr">
        <is>
          <t>PPTX 시안 파싱</t>
        </is>
      </c>
      <c r="C8" s="247" t="inlineStr">
        <is>
          <t>TC_OCR_0104</t>
        </is>
      </c>
      <c r="D8" s="248" t="inlineStr">
        <is>
          <t>30MB 초과 대용량 PPTX 예외</t>
        </is>
      </c>
      <c r="E8" s="247" t="inlineStr">
        <is>
          <t>SCR_CLM_01</t>
        </is>
      </c>
      <c r="F8" s="248" t="inlineStr">
        <is>
          <t>30MB 초과 파일 업로드 시 즉시 차단 및 경고 팝업</t>
        </is>
      </c>
      <c r="G8" s="249" t="inlineStr">
        <is>
          <t>2026-10-16</t>
        </is>
      </c>
      <c r="H8" s="249" t="inlineStr">
        <is>
          <t>EMPASY QA팀</t>
        </is>
      </c>
      <c r="I8" s="249" t="inlineStr">
        <is>
          <t>Web</t>
        </is>
      </c>
      <c r="J8" s="250">
        <f>IFERROR(_xlfn.IFS($K8="정상","P",$K8="단순오류","F",$K8="개선사항","F",$K8="치명적오류","F",$K8="미진행","N"),"")</f>
        <v/>
      </c>
      <c r="K8" s="250" t="inlineStr">
        <is>
          <t>정상</t>
        </is>
      </c>
      <c r="L8" s="248" t="inlineStr">
        <is>
          <t>정상 패스</t>
        </is>
      </c>
      <c r="M8" s="66" t="inlineStr">
        <is>
          <t>확인중</t>
        </is>
      </c>
      <c r="N8" s="73" t="n"/>
      <c r="O8" s="19" t="inlineStr">
        <is>
          <t>정개발</t>
        </is>
      </c>
      <c r="P8" s="2" t="n"/>
    </row>
    <row r="9">
      <c r="A9" s="247" t="inlineStr">
        <is>
          <t>TS_OCR_0200</t>
        </is>
      </c>
      <c r="B9" s="248" t="inlineStr">
        <is>
          <t>이미지 비정형 OCR</t>
        </is>
      </c>
      <c r="C9" s="247" t="inlineStr">
        <is>
          <t>TC_OCR_0201</t>
        </is>
      </c>
      <c r="D9" s="248" t="inlineStr">
        <is>
          <t>한국어 카피 OCR 인식률</t>
        </is>
      </c>
      <c r="E9" s="247" t="inlineStr">
        <is>
          <t>SCR_CLM_01</t>
        </is>
      </c>
      <c r="F9" s="248" t="inlineStr">
        <is>
          <t>상세페이지 이미지 내 한글 폰트 인식률 95% 이상 달성</t>
        </is>
      </c>
      <c r="G9" s="249" t="inlineStr">
        <is>
          <t>2026-10-16</t>
        </is>
      </c>
      <c r="H9" s="249" t="inlineStr">
        <is>
          <t>EMPASY QA팀</t>
        </is>
      </c>
      <c r="I9" s="249" t="inlineStr">
        <is>
          <t>API</t>
        </is>
      </c>
      <c r="J9" s="250">
        <f>IFERROR(_xlfn.IFS($K9="정상","P",$K9="단순오류","F",$K9="개선사항","F",$K9="치명적오류","F",$K9="미진행","N"),"")</f>
        <v/>
      </c>
      <c r="K9" s="250" t="inlineStr">
        <is>
          <t>정상</t>
        </is>
      </c>
      <c r="L9" s="248" t="inlineStr">
        <is>
          <t>정상 패스</t>
        </is>
      </c>
      <c r="M9" s="66" t="inlineStr">
        <is>
          <t>조치완료</t>
        </is>
      </c>
      <c r="N9" s="73" t="inlineStr">
        <is>
          <t>2026-09-22</t>
        </is>
      </c>
      <c r="O9" s="19" t="inlineStr">
        <is>
          <t>오개발</t>
        </is>
      </c>
      <c r="P9" s="2" t="n"/>
    </row>
    <row r="10">
      <c r="A10" s="247" t="inlineStr">
        <is>
          <t>TS_OCR_0200</t>
        </is>
      </c>
      <c r="B10" s="248" t="inlineStr">
        <is>
          <t>이미지 비정형 OCR</t>
        </is>
      </c>
      <c r="C10" s="247" t="inlineStr">
        <is>
          <t>TC_OCR_0202</t>
        </is>
      </c>
      <c r="D10" s="248" t="inlineStr">
        <is>
          <t>바운딩 박스(BBox) 좌표 추출</t>
        </is>
      </c>
      <c r="E10" s="247" t="inlineStr">
        <is>
          <t>SCR_CLM_01</t>
        </is>
      </c>
      <c r="F10" s="248" t="inlineStr">
        <is>
          <t>추출 텍스트의 픽셀 좌표(x, y, w, h) 정밀 반환</t>
        </is>
      </c>
      <c r="G10" s="249" t="inlineStr">
        <is>
          <t>2026-10-16</t>
        </is>
      </c>
      <c r="H10" s="249" t="inlineStr">
        <is>
          <t>EMPASY QA팀</t>
        </is>
      </c>
      <c r="I10" s="249" t="inlineStr">
        <is>
          <t>API</t>
        </is>
      </c>
      <c r="J10" s="250">
        <f>IFERROR(_xlfn.IFS($K10="정상","P",$K10="단순오류","F",$K10="개선사항","F",$K10="치명적오류","F",$K10="미진행","N"),"")</f>
        <v/>
      </c>
      <c r="K10" s="250" t="inlineStr">
        <is>
          <t>정상</t>
        </is>
      </c>
      <c r="L10" s="248" t="inlineStr">
        <is>
          <t>정상 패스</t>
        </is>
      </c>
      <c r="M10" s="75" t="inlineStr">
        <is>
          <t>-</t>
        </is>
      </c>
      <c r="N10" s="73" t="n"/>
      <c r="O10" s="19" t="n"/>
      <c r="P10" s="2" t="n"/>
    </row>
    <row r="11">
      <c r="A11" s="247" t="inlineStr">
        <is>
          <t>TS_OCR_0200</t>
        </is>
      </c>
      <c r="B11" s="248" t="inlineStr">
        <is>
          <t>이미지 비정형 OCR</t>
        </is>
      </c>
      <c r="C11" s="247" t="inlineStr">
        <is>
          <t>TC_OCR_0203</t>
        </is>
      </c>
      <c r="D11" s="248" t="inlineStr">
        <is>
          <t>복합 배경 텍스트 분리</t>
        </is>
      </c>
      <c r="E11" s="247" t="inlineStr">
        <is>
          <t>SCR_CLM_01</t>
        </is>
      </c>
      <c r="F11" s="248" t="inlineStr">
        <is>
          <t>모델 얼굴 및 배경 그라데이션 위의 화이트 텍스트 정상 검출</t>
        </is>
      </c>
      <c r="G11" s="249" t="inlineStr">
        <is>
          <t>2026-10-16</t>
        </is>
      </c>
      <c r="H11" s="249" t="inlineStr">
        <is>
          <t>EMPASY QA팀</t>
        </is>
      </c>
      <c r="I11" s="249" t="inlineStr">
        <is>
          <t>API</t>
        </is>
      </c>
      <c r="J11" s="250">
        <f>IFERROR(_xlfn.IFS($K11="정상","P",$K11="단순오류","F",$K11="개선사항","F",$K11="치명적오류","F",$K11="미진행","N"),"")</f>
        <v/>
      </c>
      <c r="K11" s="250" t="inlineStr">
        <is>
          <t>정상</t>
        </is>
      </c>
      <c r="L11" s="248" t="inlineStr">
        <is>
          <t>정상 패스</t>
        </is>
      </c>
      <c r="M11" s="66" t="inlineStr">
        <is>
          <t>조치완료</t>
        </is>
      </c>
      <c r="N11" s="73" t="inlineStr">
        <is>
          <t>2026-09-22</t>
        </is>
      </c>
      <c r="O11" s="19" t="inlineStr">
        <is>
          <t>박개발</t>
        </is>
      </c>
      <c r="P11" s="2" t="n"/>
    </row>
    <row r="12">
      <c r="A12" s="247" t="inlineStr">
        <is>
          <t>TS_OCR_0200</t>
        </is>
      </c>
      <c r="B12" s="248" t="inlineStr">
        <is>
          <t>이미지 비정형 OCR</t>
        </is>
      </c>
      <c r="C12" s="247" t="inlineStr">
        <is>
          <t>TC_OCR_0204</t>
        </is>
      </c>
      <c r="D12" s="248" t="inlineStr">
        <is>
          <t>다국어(영문/한자) 혼용 처리</t>
        </is>
      </c>
      <c r="E12" s="247" t="inlineStr">
        <is>
          <t>SCR_CLM_01</t>
        </is>
      </c>
      <c r="F12" s="248" t="inlineStr">
        <is>
          <t>한영 혼용 화장품 성분명 및 브랜드명 깨짐 없이 인식</t>
        </is>
      </c>
      <c r="G12" s="249" t="inlineStr">
        <is>
          <t>2026-10-16</t>
        </is>
      </c>
      <c r="H12" s="249" t="inlineStr">
        <is>
          <t>EMPASY QA팀</t>
        </is>
      </c>
      <c r="I12" s="249" t="inlineStr">
        <is>
          <t>API</t>
        </is>
      </c>
      <c r="J12" s="250">
        <f>IFERROR(_xlfn.IFS($K12="정상","P",$K12="단순오류","F",$K12="개선사항","F",$K12="치명적오류","F",$K12="미진행","N"),"")</f>
        <v/>
      </c>
      <c r="K12" s="250" t="inlineStr">
        <is>
          <t>정상</t>
        </is>
      </c>
      <c r="L12" s="248" t="inlineStr">
        <is>
          <t>정상 패스</t>
        </is>
      </c>
      <c r="M12" s="66" t="inlineStr">
        <is>
          <t>조치완료</t>
        </is>
      </c>
      <c r="N12" s="73" t="inlineStr">
        <is>
          <t>2026-09-22</t>
        </is>
      </c>
      <c r="O12" s="19" t="inlineStr">
        <is>
          <t>오개발</t>
        </is>
      </c>
      <c r="P12" s="3" t="n"/>
    </row>
    <row r="13" ht="24" customHeight="1" s="185">
      <c r="A13" s="247" t="inlineStr">
        <is>
          <t>TS_OCR_0300</t>
        </is>
      </c>
      <c r="B13" s="248" t="inlineStr">
        <is>
          <t>문장 분리 및 정제</t>
        </is>
      </c>
      <c r="C13" s="247" t="inlineStr">
        <is>
          <t>TC_OCR_0301</t>
        </is>
      </c>
      <c r="D13" s="248" t="inlineStr">
        <is>
          <t>형태소 분석 기반 개행 정제</t>
        </is>
      </c>
      <c r="E13" s="247" t="inlineStr">
        <is>
          <t>SCR_CLM_01</t>
        </is>
      </c>
      <c r="F13" s="248" t="inlineStr">
        <is>
          <t>디자인 줄바꿈으로 끊어진 카피 문구를 단일 문장으로 결합</t>
        </is>
      </c>
      <c r="G13" s="249" t="inlineStr">
        <is>
          <t>2026-10-16</t>
        </is>
      </c>
      <c r="H13" s="249" t="inlineStr">
        <is>
          <t>EMPASY QA팀</t>
        </is>
      </c>
      <c r="I13" s="249" t="inlineStr">
        <is>
          <t>Engine</t>
        </is>
      </c>
      <c r="J13" s="250">
        <f>IFERROR(_xlfn.IFS($K13="정상","P",$K13="단순오류","F",$K13="개선사항","F",$K13="치명적오류","F",$K13="미진행","N"),"")</f>
        <v/>
      </c>
      <c r="K13" s="250" t="inlineStr">
        <is>
          <t>정상</t>
        </is>
      </c>
      <c r="L13" s="248" t="inlineStr">
        <is>
          <t>정상 패스</t>
        </is>
      </c>
      <c r="M13" s="66" t="inlineStr">
        <is>
          <t>협의필요</t>
        </is>
      </c>
      <c r="N13" s="73" t="n"/>
      <c r="O13" s="19" t="inlineStr">
        <is>
          <t>오개발</t>
        </is>
      </c>
      <c r="P13" s="3" t="inlineStr">
        <is>
          <t xml:space="preserve">SNS 로그인도 추가는 가능하나, 확정된 요구사항에 없던 부분이라 SNS 로그인 기능 전반
(어떤 SNS를 추가하실 것인지 등)에 대한 협의가 필요할 듯합니다. </t>
        </is>
      </c>
    </row>
    <row r="14">
      <c r="A14" s="247" t="inlineStr">
        <is>
          <t>TS_OCR_0300</t>
        </is>
      </c>
      <c r="B14" s="248" t="inlineStr">
        <is>
          <t>문장 분리 및 정제</t>
        </is>
      </c>
      <c r="C14" s="247" t="inlineStr">
        <is>
          <t>TC_OCR_0302</t>
        </is>
      </c>
      <c r="D14" s="248" t="inlineStr">
        <is>
          <t>특수문자 및 이모지 필터링</t>
        </is>
      </c>
      <c r="E14" s="247" t="inlineStr">
        <is>
          <t>SCR_CLM_01</t>
        </is>
      </c>
      <c r="F14" s="248" t="inlineStr">
        <is>
          <t>심의에 불필요한 특수문자 정제 및 강조 기호 보존</t>
        </is>
      </c>
      <c r="G14" s="249" t="inlineStr">
        <is>
          <t>2026-10-16</t>
        </is>
      </c>
      <c r="H14" s="249" t="inlineStr">
        <is>
          <t>EMPASY QA팀</t>
        </is>
      </c>
      <c r="I14" s="249" t="inlineStr">
        <is>
          <t>Engine</t>
        </is>
      </c>
      <c r="J14" s="250">
        <f>IFERROR(_xlfn.IFS($K14="정상","P",$K14="단순오류","F",$K14="개선사항","F",$K14="치명적오류","F",$K14="미진행","N"),"")</f>
        <v/>
      </c>
      <c r="K14" s="250" t="inlineStr">
        <is>
          <t>정상</t>
        </is>
      </c>
      <c r="L14" s="248" t="inlineStr">
        <is>
          <t>정상 패스</t>
        </is>
      </c>
      <c r="M14" s="75" t="inlineStr">
        <is>
          <t>-</t>
        </is>
      </c>
      <c r="N14" s="73" t="n"/>
      <c r="O14" s="19" t="n"/>
      <c r="P14" s="2" t="n"/>
    </row>
    <row r="15">
      <c r="A15" s="247" t="inlineStr">
        <is>
          <t>TS_OCR_0300</t>
        </is>
      </c>
      <c r="B15" s="248" t="inlineStr">
        <is>
          <t>문장 분리 및 정제</t>
        </is>
      </c>
      <c r="C15" s="247" t="inlineStr">
        <is>
          <t>TC_OCR_0303</t>
        </is>
      </c>
      <c r="D15" s="248" t="inlineStr">
        <is>
          <t>텍스트 블록 순서 정렬</t>
        </is>
      </c>
      <c r="E15" s="247" t="inlineStr">
        <is>
          <t>SCR_CLM_01</t>
        </is>
      </c>
      <c r="F15" s="248" t="inlineStr">
        <is>
          <t>상세페이지 상단에서 하단으로 시각적 흐름 순 정렬</t>
        </is>
      </c>
      <c r="G15" s="249" t="inlineStr">
        <is>
          <t>2026-10-16</t>
        </is>
      </c>
      <c r="H15" s="249" t="inlineStr">
        <is>
          <t>EMPASY QA팀</t>
        </is>
      </c>
      <c r="I15" s="249" t="inlineStr">
        <is>
          <t>Engine</t>
        </is>
      </c>
      <c r="J15" s="250">
        <f>IFERROR(_xlfn.IFS($K15="정상","P",$K15="단순오류","F",$K15="개선사항","F",$K15="치명적오류","F",$K15="미진행","N"),"")</f>
        <v/>
      </c>
      <c r="K15" s="250" t="inlineStr">
        <is>
          <t>정상</t>
        </is>
      </c>
      <c r="L15" s="248" t="inlineStr">
        <is>
          <t>정상 패스</t>
        </is>
      </c>
      <c r="M15" s="75" t="inlineStr">
        <is>
          <t>-</t>
        </is>
      </c>
      <c r="N15" s="73" t="n"/>
      <c r="O15" s="19" t="n"/>
      <c r="P15" s="2" t="n"/>
    </row>
    <row r="16">
      <c r="A16" s="247" t="inlineStr">
        <is>
          <t>TS_OCR_0300</t>
        </is>
      </c>
      <c r="B16" s="248" t="inlineStr">
        <is>
          <t>문장 분리 및 정제</t>
        </is>
      </c>
      <c r="C16" s="247" t="inlineStr">
        <is>
          <t>TC_OCR_0304</t>
        </is>
      </c>
      <c r="D16" s="248" t="inlineStr">
        <is>
          <t>원본 파일 MinIO 안전 저장</t>
        </is>
      </c>
      <c r="E16" s="247" t="inlineStr">
        <is>
          <t>SCR_CLM_01</t>
        </is>
      </c>
      <c r="F16" s="248" t="inlineStr">
        <is>
          <t>원본 파일이 암호화되어 오브젝트 스토리지에 무결 저장</t>
        </is>
      </c>
      <c r="G16" s="249" t="inlineStr">
        <is>
          <t>2026-10-16</t>
        </is>
      </c>
      <c r="H16" s="249" t="inlineStr">
        <is>
          <t>EMPASY QA팀</t>
        </is>
      </c>
      <c r="I16" s="249" t="inlineStr">
        <is>
          <t>Storage</t>
        </is>
      </c>
      <c r="J16" s="250">
        <f>IFERROR(_xlfn.IFS($K16="정상","P",$K16="단순오류","F",$K16="개선사항","F",$K16="치명적오류","F",$K16="미진행","N"),"")</f>
        <v/>
      </c>
      <c r="K16" s="250" t="inlineStr">
        <is>
          <t>정상</t>
        </is>
      </c>
      <c r="L16" s="248" t="inlineStr">
        <is>
          <t>정상 패스</t>
        </is>
      </c>
      <c r="M16" s="66" t="inlineStr">
        <is>
          <t>확인중</t>
        </is>
      </c>
      <c r="N16" s="73" t="n"/>
      <c r="O16" s="19" t="inlineStr">
        <is>
          <t>정개발</t>
        </is>
      </c>
      <c r="P16" s="2" t="n"/>
    </row>
    <row r="17">
      <c r="A17" s="17" t="n"/>
      <c r="B17" s="14" t="n"/>
      <c r="C17" s="17" t="n"/>
      <c r="D17" s="14" t="n"/>
      <c r="E17" s="17" t="n"/>
      <c r="F17" s="57" t="n"/>
      <c r="G17" s="251" t="n"/>
      <c r="H17" s="252" t="n"/>
      <c r="I17" s="252" t="n"/>
      <c r="J17" s="24" t="n"/>
      <c r="K17" s="13" t="n"/>
      <c r="L17" s="68" t="n"/>
      <c r="M17" s="66" t="inlineStr">
        <is>
          <t>확인중</t>
        </is>
      </c>
      <c r="N17" s="73" t="n"/>
      <c r="O17" s="19" t="inlineStr">
        <is>
          <t>정개발</t>
        </is>
      </c>
      <c r="P17" s="3" t="n"/>
    </row>
    <row r="18">
      <c r="A18" s="17" t="n"/>
      <c r="B18" s="14" t="n"/>
      <c r="C18" s="17" t="n"/>
      <c r="D18" s="14" t="n"/>
      <c r="E18" s="17" t="n"/>
      <c r="F18" s="57" t="n"/>
      <c r="G18" s="251" t="n"/>
      <c r="H18" s="252" t="n"/>
      <c r="I18" s="252" t="n"/>
      <c r="J18" s="19" t="n"/>
      <c r="K18" s="13" t="n"/>
      <c r="L18" s="69" t="n"/>
      <c r="M18" s="66" t="n"/>
      <c r="N18" s="73" t="n"/>
      <c r="O18" s="19" t="n"/>
      <c r="P18" s="2" t="n"/>
    </row>
    <row r="19">
      <c r="A19" s="17" t="n"/>
      <c r="B19" s="14" t="n"/>
      <c r="C19" s="17" t="n"/>
      <c r="D19" s="14" t="n"/>
      <c r="E19" s="17" t="n"/>
      <c r="F19" s="57" t="n"/>
      <c r="G19" s="251" t="n"/>
      <c r="H19" s="252" t="n"/>
      <c r="I19" s="252" t="n"/>
      <c r="J19" s="19" t="n"/>
      <c r="K19" s="13" t="n"/>
      <c r="L19" s="69" t="n"/>
      <c r="M19" s="66" t="n"/>
      <c r="N19" s="73" t="n"/>
      <c r="O19" s="19" t="n"/>
      <c r="P19" s="2" t="n"/>
    </row>
    <row r="20">
      <c r="A20" s="17" t="n"/>
      <c r="B20" s="14" t="n"/>
      <c r="C20" s="17" t="n"/>
      <c r="D20" s="14" t="n"/>
      <c r="E20" s="17" t="n"/>
      <c r="F20" s="57" t="n"/>
      <c r="G20" s="251" t="n"/>
      <c r="H20" s="252" t="n"/>
      <c r="I20" s="252" t="n"/>
      <c r="J20" s="19" t="n"/>
      <c r="K20" s="13" t="n"/>
      <c r="L20" s="69" t="n"/>
      <c r="M20" s="66" t="n"/>
      <c r="N20" s="73" t="n"/>
      <c r="O20" s="19" t="n"/>
      <c r="P20" s="2" t="n"/>
    </row>
    <row r="21">
      <c r="A21" s="17" t="n"/>
      <c r="B21" s="14" t="n"/>
      <c r="C21" s="17" t="n"/>
      <c r="D21" s="14" t="n"/>
      <c r="E21" s="17" t="n"/>
      <c r="F21" s="57" t="n"/>
      <c r="G21" s="251" t="n"/>
      <c r="H21" s="252" t="n"/>
      <c r="I21" s="252" t="n"/>
      <c r="J21" s="19" t="n"/>
      <c r="K21" s="13" t="n"/>
      <c r="L21" s="69" t="n"/>
      <c r="M21" s="66" t="n"/>
      <c r="N21" s="73" t="n"/>
      <c r="O21" s="19" t="n"/>
      <c r="P21" s="2" t="n"/>
    </row>
    <row r="22">
      <c r="A22" s="17" t="n"/>
      <c r="B22" s="14" t="n"/>
      <c r="C22" s="17" t="n"/>
      <c r="D22" s="14" t="n"/>
      <c r="E22" s="17" t="n"/>
      <c r="F22" s="57" t="n"/>
      <c r="G22" s="251" t="n"/>
      <c r="H22" s="252" t="n"/>
      <c r="I22" s="252" t="n"/>
      <c r="J22" s="19" t="n"/>
      <c r="K22" s="13" t="n"/>
      <c r="L22" s="69" t="n"/>
      <c r="M22" s="66" t="n"/>
      <c r="N22" s="73" t="n"/>
      <c r="O22" s="19" t="n"/>
      <c r="P22" s="2" t="n"/>
    </row>
    <row r="23">
      <c r="A23" s="17" t="n"/>
      <c r="B23" s="14" t="n"/>
      <c r="C23" s="17" t="n"/>
      <c r="D23" s="14" t="n"/>
      <c r="E23" s="17" t="n"/>
      <c r="F23" s="57" t="n"/>
      <c r="G23" s="251" t="n"/>
      <c r="H23" s="252" t="n"/>
      <c r="I23" s="252" t="n"/>
      <c r="J23" s="19" t="n"/>
      <c r="K23" s="13" t="n"/>
      <c r="L23" s="69" t="n"/>
      <c r="M23" s="66" t="n"/>
      <c r="N23" s="73" t="n"/>
      <c r="O23" s="19" t="n"/>
      <c r="P23" s="2" t="n"/>
    </row>
    <row r="24">
      <c r="A24" s="17" t="n"/>
      <c r="B24" s="14" t="n"/>
      <c r="C24" s="17" t="n"/>
      <c r="D24" s="14" t="n"/>
      <c r="E24" s="17" t="n"/>
      <c r="F24" s="57" t="n"/>
      <c r="G24" s="251" t="n"/>
      <c r="H24" s="252" t="n"/>
      <c r="I24" s="252" t="n"/>
      <c r="J24" s="19" t="n"/>
      <c r="K24" s="13" t="n"/>
      <c r="L24" s="69" t="n"/>
      <c r="M24" s="66" t="n"/>
      <c r="N24" s="73" t="n"/>
      <c r="O24" s="19" t="n"/>
      <c r="P24" s="2" t="n"/>
    </row>
    <row r="25">
      <c r="A25" s="17" t="n"/>
      <c r="B25" s="14" t="n"/>
      <c r="C25" s="17" t="n"/>
      <c r="D25" s="14" t="n"/>
      <c r="E25" s="17" t="n"/>
      <c r="F25" s="57" t="n"/>
      <c r="G25" s="251" t="n"/>
      <c r="H25" s="252" t="n"/>
      <c r="I25" s="252" t="n"/>
      <c r="J25" s="19" t="n"/>
      <c r="K25" s="13" t="n"/>
      <c r="L25" s="69" t="n"/>
      <c r="M25" s="66" t="n"/>
      <c r="N25" s="73" t="n"/>
      <c r="O25" s="19" t="n"/>
      <c r="P25" s="2" t="n"/>
    </row>
    <row r="26">
      <c r="A26" s="17" t="n"/>
      <c r="B26" s="14" t="n"/>
      <c r="C26" s="17" t="n"/>
      <c r="D26" s="14" t="n"/>
      <c r="E26" s="17" t="n"/>
      <c r="F26" s="57" t="n"/>
      <c r="G26" s="251" t="n"/>
      <c r="H26" s="252" t="n"/>
      <c r="I26" s="252" t="n"/>
      <c r="J26" s="19" t="n"/>
      <c r="K26" s="13" t="n"/>
      <c r="L26" s="69" t="n"/>
      <c r="M26" s="66" t="n"/>
      <c r="N26" s="73" t="n"/>
      <c r="O26" s="19" t="n"/>
      <c r="P26" s="2" t="n"/>
    </row>
    <row r="27">
      <c r="A27" s="17" t="n"/>
      <c r="B27" s="14" t="n"/>
      <c r="C27" s="17" t="n"/>
      <c r="D27" s="14" t="n"/>
      <c r="E27" s="17" t="n"/>
      <c r="F27" s="57" t="n"/>
      <c r="G27" s="251" t="n"/>
      <c r="H27" s="252" t="n"/>
      <c r="I27" s="252" t="n"/>
      <c r="J27" s="19" t="n"/>
      <c r="K27" s="13" t="n"/>
      <c r="L27" s="69" t="n"/>
      <c r="M27" s="66" t="n"/>
      <c r="N27" s="73" t="n"/>
      <c r="O27" s="19" t="n"/>
      <c r="P27" s="2" t="n"/>
    </row>
    <row r="28">
      <c r="A28" s="17" t="n"/>
      <c r="B28" s="14" t="n"/>
      <c r="C28" s="17" t="n"/>
      <c r="D28" s="14" t="n"/>
      <c r="E28" s="17" t="n"/>
      <c r="F28" s="57" t="n"/>
      <c r="G28" s="251" t="n"/>
      <c r="H28" s="252" t="n"/>
      <c r="I28" s="252" t="n"/>
      <c r="J28" s="19" t="n"/>
      <c r="K28" s="13" t="n"/>
      <c r="L28" s="69" t="n"/>
      <c r="M28" s="66" t="n"/>
      <c r="N28" s="73" t="n"/>
      <c r="O28" s="19" t="n"/>
      <c r="P28" s="2" t="n"/>
    </row>
    <row r="29">
      <c r="A29" s="17" t="n"/>
      <c r="B29" s="14" t="n"/>
      <c r="C29" s="17" t="n"/>
      <c r="D29" s="14" t="n"/>
      <c r="E29" s="17" t="n"/>
      <c r="F29" s="57" t="n"/>
      <c r="G29" s="251" t="n"/>
      <c r="H29" s="252" t="n"/>
      <c r="I29" s="252" t="n"/>
      <c r="J29" s="19" t="n"/>
      <c r="K29" s="13" t="n"/>
      <c r="L29" s="69" t="n"/>
      <c r="M29" s="66" t="n"/>
      <c r="N29" s="73" t="n"/>
      <c r="O29" s="19" t="n"/>
      <c r="P29" s="2" t="n"/>
    </row>
    <row r="30">
      <c r="A30" s="17" t="n"/>
      <c r="B30" s="14" t="n"/>
      <c r="C30" s="17" t="n"/>
      <c r="D30" s="14" t="n"/>
      <c r="E30" s="17" t="n"/>
      <c r="F30" s="57" t="n"/>
      <c r="G30" s="251" t="n"/>
      <c r="H30" s="252" t="n"/>
      <c r="I30" s="252" t="n"/>
      <c r="J30" s="19" t="n"/>
      <c r="K30" s="13" t="n"/>
      <c r="L30" s="69" t="n"/>
      <c r="M30" s="66" t="n"/>
      <c r="N30" s="73" t="n"/>
      <c r="O30" s="19" t="n"/>
      <c r="P30" s="2" t="n"/>
    </row>
    <row r="31">
      <c r="A31" s="17" t="n"/>
      <c r="B31" s="14" t="n"/>
      <c r="C31" s="17" t="n"/>
      <c r="D31" s="14" t="n"/>
      <c r="E31" s="17" t="n"/>
      <c r="F31" s="57" t="n"/>
      <c r="G31" s="251" t="n"/>
      <c r="H31" s="252" t="n"/>
      <c r="I31" s="252" t="n"/>
      <c r="J31" s="19" t="n"/>
      <c r="K31" s="13" t="n"/>
      <c r="L31" s="69" t="n"/>
      <c r="M31" s="66" t="n"/>
      <c r="N31" s="73" t="n"/>
      <c r="O31" s="19" t="n"/>
      <c r="P31" s="2" t="n"/>
    </row>
    <row r="32">
      <c r="A32" s="17" t="n"/>
      <c r="B32" s="14" t="n"/>
      <c r="C32" s="17" t="n"/>
      <c r="D32" s="14" t="n"/>
      <c r="E32" s="17" t="n"/>
      <c r="F32" s="57" t="n"/>
      <c r="G32" s="251" t="n"/>
      <c r="H32" s="252" t="n"/>
      <c r="I32" s="252" t="n"/>
      <c r="J32" s="19" t="n"/>
      <c r="K32" s="13" t="n"/>
      <c r="L32" s="69" t="n"/>
      <c r="M32" s="66" t="n"/>
      <c r="N32" s="73" t="n"/>
      <c r="O32" s="19" t="n"/>
      <c r="P32" s="2" t="n"/>
    </row>
    <row r="33">
      <c r="A33" s="17" t="n"/>
      <c r="B33" s="14" t="n"/>
      <c r="C33" s="17" t="n"/>
      <c r="D33" s="14" t="n"/>
      <c r="E33" s="17" t="n"/>
      <c r="F33" s="57" t="n"/>
      <c r="G33" s="251" t="n"/>
      <c r="H33" s="252" t="n"/>
      <c r="I33" s="252" t="n"/>
      <c r="J33" s="19" t="n"/>
      <c r="K33" s="13" t="n"/>
      <c r="L33" s="69" t="n"/>
      <c r="M33" s="66" t="n"/>
      <c r="N33" s="73" t="n"/>
      <c r="O33" s="19" t="n"/>
      <c r="P33" s="2" t="n"/>
    </row>
    <row r="34">
      <c r="A34" s="17" t="n"/>
      <c r="B34" s="14" t="n"/>
      <c r="C34" s="17" t="n"/>
      <c r="D34" s="14" t="n"/>
      <c r="E34" s="17" t="n"/>
      <c r="F34" s="57" t="n"/>
      <c r="G34" s="251" t="n"/>
      <c r="H34" s="252" t="n"/>
      <c r="I34" s="252" t="n"/>
      <c r="J34" s="19" t="n"/>
      <c r="K34" s="13" t="n"/>
      <c r="L34" s="69" t="n"/>
      <c r="M34" s="66" t="n"/>
      <c r="N34" s="73" t="n"/>
      <c r="O34" s="19" t="n"/>
      <c r="P34" s="2" t="n"/>
    </row>
    <row r="35">
      <c r="A35" s="17" t="n"/>
      <c r="B35" s="14" t="n"/>
      <c r="C35" s="17" t="n"/>
      <c r="D35" s="14" t="n"/>
      <c r="E35" s="17" t="n"/>
      <c r="F35" s="57" t="n"/>
      <c r="G35" s="251" t="n"/>
      <c r="H35" s="252" t="n"/>
      <c r="I35" s="252" t="n"/>
      <c r="J35" s="19" t="n"/>
      <c r="K35" s="13" t="n"/>
      <c r="L35" s="69" t="n"/>
      <c r="M35" s="66" t="n"/>
      <c r="N35" s="73" t="n"/>
      <c r="O35" s="19" t="n"/>
      <c r="P35" s="2" t="n"/>
    </row>
    <row r="36">
      <c r="A36" s="17" t="n"/>
      <c r="B36" s="14" t="n"/>
      <c r="C36" s="17" t="n"/>
      <c r="D36" s="14" t="n"/>
      <c r="E36" s="17" t="n"/>
      <c r="F36" s="57" t="n"/>
      <c r="G36" s="251" t="n"/>
      <c r="H36" s="252" t="n"/>
      <c r="I36" s="252" t="n"/>
      <c r="J36" s="19" t="n"/>
      <c r="K36" s="13" t="n"/>
      <c r="L36" s="69" t="n"/>
      <c r="M36" s="66" t="n"/>
      <c r="N36" s="73" t="n"/>
      <c r="O36" s="19" t="n"/>
      <c r="P36" s="2" t="n"/>
    </row>
    <row r="37">
      <c r="A37" s="17" t="n"/>
      <c r="B37" s="14" t="n"/>
      <c r="C37" s="17" t="n"/>
      <c r="D37" s="14" t="n"/>
      <c r="E37" s="17" t="n"/>
      <c r="F37" s="57" t="n"/>
      <c r="G37" s="251" t="n"/>
      <c r="H37" s="252" t="n"/>
      <c r="I37" s="252" t="n"/>
      <c r="J37" s="19" t="n"/>
      <c r="K37" s="13" t="n"/>
      <c r="L37" s="69" t="n"/>
      <c r="M37" s="66" t="n"/>
      <c r="N37" s="73" t="n"/>
      <c r="O37" s="19" t="n"/>
      <c r="P37" s="2" t="n"/>
    </row>
    <row r="38">
      <c r="A38" s="17" t="n"/>
      <c r="B38" s="14" t="n"/>
      <c r="C38" s="17" t="n"/>
      <c r="D38" s="14" t="n"/>
      <c r="E38" s="17" t="n"/>
      <c r="F38" s="57" t="n"/>
      <c r="G38" s="251" t="n"/>
      <c r="H38" s="252" t="n"/>
      <c r="I38" s="252" t="n"/>
      <c r="J38" s="19" t="n"/>
      <c r="K38" s="13" t="n"/>
      <c r="L38" s="69" t="n"/>
      <c r="M38" s="66" t="n"/>
      <c r="N38" s="73" t="n"/>
      <c r="O38" s="19" t="n"/>
      <c r="P38" s="2" t="n"/>
    </row>
    <row r="39">
      <c r="A39" s="17" t="n"/>
      <c r="B39" s="14" t="n"/>
      <c r="C39" s="17" t="n"/>
      <c r="D39" s="14" t="n"/>
      <c r="E39" s="17" t="n"/>
      <c r="F39" s="57" t="n"/>
      <c r="G39" s="251" t="n"/>
      <c r="H39" s="252" t="n"/>
      <c r="I39" s="252" t="n"/>
      <c r="J39" s="19" t="n"/>
      <c r="K39" s="13" t="n"/>
      <c r="L39" s="69" t="n"/>
      <c r="M39" s="66" t="n"/>
      <c r="N39" s="73" t="n"/>
      <c r="O39" s="19" t="n"/>
      <c r="P39" s="2" t="n"/>
    </row>
    <row r="40">
      <c r="A40" s="17" t="n"/>
      <c r="B40" s="14" t="n"/>
      <c r="C40" s="17" t="n"/>
      <c r="D40" s="14" t="n"/>
      <c r="E40" s="17" t="n"/>
      <c r="F40" s="57" t="n"/>
      <c r="G40" s="251" t="n"/>
      <c r="H40" s="252" t="n"/>
      <c r="I40" s="252" t="n"/>
      <c r="J40" s="19" t="n"/>
      <c r="K40" s="13" t="n"/>
      <c r="L40" s="69" t="n"/>
      <c r="M40" s="66" t="n"/>
      <c r="N40" s="73" t="n"/>
      <c r="O40" s="19" t="n"/>
      <c r="P40" s="2" t="n"/>
    </row>
    <row r="41">
      <c r="A41" s="17" t="n"/>
      <c r="B41" s="14" t="n"/>
      <c r="C41" s="17" t="n"/>
      <c r="D41" s="14" t="n"/>
      <c r="E41" s="17" t="n"/>
      <c r="F41" s="57" t="n"/>
      <c r="G41" s="251" t="n"/>
      <c r="H41" s="252" t="n"/>
      <c r="I41" s="252" t="n"/>
      <c r="J41" s="19" t="n"/>
      <c r="K41" s="13" t="n"/>
      <c r="L41" s="69" t="n"/>
      <c r="M41" s="66" t="n"/>
      <c r="N41" s="73" t="n"/>
      <c r="O41" s="19" t="n"/>
      <c r="P41" s="2" t="n"/>
    </row>
    <row r="42">
      <c r="A42" s="17" t="n"/>
      <c r="B42" s="14" t="n"/>
      <c r="C42" s="17" t="n"/>
      <c r="D42" s="14" t="n"/>
      <c r="E42" s="17" t="n"/>
      <c r="F42" s="57" t="n"/>
      <c r="G42" s="251" t="n"/>
      <c r="H42" s="252" t="n"/>
      <c r="I42" s="252" t="n"/>
      <c r="J42" s="19" t="n"/>
      <c r="K42" s="13" t="n"/>
      <c r="L42" s="69" t="n"/>
      <c r="M42" s="66" t="n"/>
      <c r="N42" s="73" t="n"/>
      <c r="O42" s="19" t="n"/>
      <c r="P42" s="2" t="n"/>
    </row>
    <row r="43">
      <c r="A43" s="17" t="n"/>
      <c r="B43" s="14" t="n"/>
      <c r="C43" s="17" t="n"/>
      <c r="D43" s="14" t="n"/>
      <c r="E43" s="17" t="n"/>
      <c r="F43" s="57" t="n"/>
      <c r="G43" s="251" t="n"/>
      <c r="H43" s="252" t="n"/>
      <c r="I43" s="252" t="n"/>
      <c r="J43" s="19" t="n"/>
      <c r="K43" s="13" t="n"/>
      <c r="L43" s="69" t="n"/>
      <c r="M43" s="66" t="n"/>
      <c r="N43" s="73" t="n"/>
      <c r="O43" s="19" t="n"/>
      <c r="P43" s="2" t="n"/>
    </row>
    <row r="44">
      <c r="A44" s="17" t="n"/>
      <c r="B44" s="14" t="n"/>
      <c r="C44" s="17" t="n"/>
      <c r="D44" s="14" t="n"/>
      <c r="E44" s="17" t="n"/>
      <c r="F44" s="57" t="n"/>
      <c r="G44" s="251" t="n"/>
      <c r="H44" s="252" t="n"/>
      <c r="I44" s="252" t="n"/>
      <c r="J44" s="19" t="n"/>
      <c r="K44" s="13" t="n"/>
      <c r="L44" s="69" t="n"/>
      <c r="M44" s="66" t="n"/>
      <c r="N44" s="73" t="n"/>
      <c r="O44" s="19" t="n"/>
      <c r="P44" s="2" t="n"/>
    </row>
    <row r="45">
      <c r="A45" s="17" t="n"/>
      <c r="B45" s="14" t="n"/>
      <c r="C45" s="17" t="n"/>
      <c r="D45" s="14" t="n"/>
      <c r="E45" s="17" t="n"/>
      <c r="F45" s="57" t="n"/>
      <c r="G45" s="251" t="n"/>
      <c r="H45" s="252" t="n"/>
      <c r="I45" s="252" t="n"/>
      <c r="J45" s="19" t="n"/>
      <c r="K45" s="13" t="n"/>
      <c r="L45" s="69" t="n"/>
      <c r="M45" s="66" t="n"/>
      <c r="N45" s="73" t="n"/>
      <c r="O45" s="19" t="n"/>
      <c r="P45" s="2" t="n"/>
    </row>
    <row r="46">
      <c r="A46" s="17" t="n"/>
      <c r="B46" s="14" t="n"/>
      <c r="C46" s="17" t="n"/>
      <c r="D46" s="14" t="n"/>
      <c r="E46" s="17" t="n"/>
      <c r="F46" s="57" t="n"/>
      <c r="G46" s="251" t="n"/>
      <c r="H46" s="252" t="n"/>
      <c r="I46" s="252" t="n"/>
      <c r="J46" s="19" t="n"/>
      <c r="K46" s="13" t="n"/>
      <c r="L46" s="69" t="n"/>
      <c r="M46" s="66" t="n"/>
      <c r="N46" s="73" t="n"/>
      <c r="O46" s="19" t="n"/>
      <c r="P46" s="2" t="n"/>
    </row>
    <row r="47">
      <c r="A47" s="17" t="n"/>
      <c r="B47" s="14" t="n"/>
      <c r="C47" s="17" t="n"/>
      <c r="D47" s="14" t="n"/>
      <c r="E47" s="17" t="n"/>
      <c r="F47" s="57" t="n"/>
      <c r="G47" s="251" t="n"/>
      <c r="H47" s="252" t="n"/>
      <c r="I47" s="252" t="n"/>
      <c r="J47" s="19" t="n"/>
      <c r="K47" s="13" t="n"/>
      <c r="L47" s="69" t="n"/>
      <c r="M47" s="66" t="n"/>
      <c r="N47" s="73" t="n"/>
      <c r="O47" s="19" t="n"/>
      <c r="P47" s="2" t="n"/>
    </row>
    <row r="48">
      <c r="A48" s="17" t="n"/>
      <c r="B48" s="14" t="n"/>
      <c r="C48" s="17" t="n"/>
      <c r="D48" s="14" t="n"/>
      <c r="E48" s="17" t="n"/>
      <c r="F48" s="57" t="n"/>
      <c r="G48" s="251" t="n"/>
      <c r="H48" s="252" t="n"/>
      <c r="I48" s="252" t="n"/>
      <c r="J48" s="19" t="n"/>
      <c r="K48" s="13" t="n"/>
      <c r="L48" s="69" t="n"/>
      <c r="M48" s="66" t="n"/>
      <c r="N48" s="73" t="n"/>
      <c r="O48" s="19" t="n"/>
      <c r="P48" s="2" t="n"/>
    </row>
    <row r="49">
      <c r="A49" s="17" t="n"/>
      <c r="B49" s="14" t="n"/>
      <c r="C49" s="17" t="n"/>
      <c r="D49" s="14" t="n"/>
      <c r="E49" s="17" t="n"/>
      <c r="F49" s="57" t="n"/>
      <c r="G49" s="251" t="n"/>
      <c r="H49" s="252" t="n"/>
      <c r="I49" s="252" t="n"/>
      <c r="J49" s="19" t="n"/>
      <c r="K49" s="13" t="n"/>
      <c r="L49" s="69" t="n"/>
      <c r="M49" s="66" t="n"/>
      <c r="N49" s="73" t="n"/>
      <c r="O49" s="19" t="n"/>
      <c r="P49" s="2" t="n"/>
    </row>
    <row r="50">
      <c r="A50" s="17" t="n"/>
      <c r="B50" s="14" t="n"/>
      <c r="C50" s="17" t="n"/>
      <c r="D50" s="14" t="n"/>
      <c r="E50" s="17" t="n"/>
      <c r="F50" s="57" t="n"/>
      <c r="G50" s="251" t="n"/>
      <c r="H50" s="252" t="n"/>
      <c r="I50" s="252" t="n"/>
      <c r="J50" s="19" t="n"/>
      <c r="K50" s="13" t="n"/>
      <c r="L50" s="69" t="n"/>
      <c r="M50" s="66" t="n"/>
      <c r="N50" s="73" t="n"/>
      <c r="O50" s="19" t="n"/>
      <c r="P50" s="2" t="n"/>
    </row>
    <row r="51">
      <c r="A51" s="17" t="n"/>
      <c r="B51" s="14" t="n"/>
      <c r="C51" s="17" t="n"/>
      <c r="D51" s="14" t="n"/>
      <c r="E51" s="17" t="n"/>
      <c r="F51" s="57" t="n"/>
      <c r="G51" s="251" t="n"/>
      <c r="H51" s="252" t="n"/>
      <c r="I51" s="252" t="n"/>
      <c r="J51" s="19" t="n"/>
      <c r="K51" s="13" t="n"/>
      <c r="L51" s="69" t="n"/>
      <c r="M51" s="66" t="n"/>
      <c r="N51" s="73" t="n"/>
      <c r="O51" s="19" t="n"/>
      <c r="P51" s="2" t="n"/>
    </row>
    <row r="52">
      <c r="A52" s="17" t="n"/>
      <c r="B52" s="14" t="n"/>
      <c r="C52" s="17" t="n"/>
      <c r="D52" s="14" t="n"/>
      <c r="E52" s="17" t="n"/>
      <c r="F52" s="57" t="n"/>
      <c r="G52" s="251" t="n"/>
      <c r="H52" s="252" t="n"/>
      <c r="I52" s="252" t="n"/>
      <c r="J52" s="19" t="n"/>
      <c r="K52" s="13" t="n"/>
      <c r="L52" s="69" t="n"/>
      <c r="M52" s="66" t="n"/>
      <c r="N52" s="73" t="n"/>
      <c r="O52" s="19" t="n"/>
      <c r="P52" s="2" t="n"/>
    </row>
    <row r="53">
      <c r="A53" s="17" t="n"/>
      <c r="B53" s="14" t="n"/>
      <c r="C53" s="17" t="n"/>
      <c r="D53" s="14" t="n"/>
      <c r="E53" s="17" t="n"/>
      <c r="F53" s="57" t="n"/>
      <c r="G53" s="251" t="n"/>
      <c r="H53" s="252" t="n"/>
      <c r="I53" s="252" t="n"/>
      <c r="J53" s="19" t="n"/>
      <c r="K53" s="13" t="n"/>
      <c r="L53" s="69" t="n"/>
      <c r="M53" s="66" t="n"/>
      <c r="N53" s="73" t="n"/>
      <c r="O53" s="19" t="n"/>
      <c r="P53" s="2" t="n"/>
    </row>
    <row r="54">
      <c r="A54" s="17" t="n"/>
      <c r="B54" s="14" t="n"/>
      <c r="C54" s="17" t="n"/>
      <c r="D54" s="14" t="n"/>
      <c r="E54" s="17" t="n"/>
      <c r="F54" s="57" t="n"/>
      <c r="G54" s="251" t="n"/>
      <c r="H54" s="252" t="n"/>
      <c r="I54" s="252" t="n"/>
      <c r="J54" s="19" t="n"/>
      <c r="K54" s="13" t="n"/>
      <c r="L54" s="69" t="n"/>
      <c r="M54" s="66" t="n"/>
      <c r="N54" s="73" t="n"/>
      <c r="O54" s="19" t="n"/>
      <c r="P54" s="2" t="n"/>
    </row>
    <row r="55">
      <c r="A55" s="17" t="n"/>
      <c r="B55" s="14" t="n"/>
      <c r="C55" s="17" t="n"/>
      <c r="D55" s="14" t="n"/>
      <c r="E55" s="17" t="n"/>
      <c r="F55" s="57" t="n"/>
      <c r="G55" s="251" t="n"/>
      <c r="H55" s="252" t="n"/>
      <c r="I55" s="252" t="n"/>
      <c r="J55" s="19" t="n"/>
      <c r="K55" s="13" t="n"/>
      <c r="L55" s="69" t="n"/>
      <c r="M55" s="66" t="n"/>
      <c r="N55" s="73" t="n"/>
      <c r="O55" s="19" t="n"/>
      <c r="P55" s="2" t="n"/>
    </row>
    <row r="56">
      <c r="A56" s="17" t="n"/>
      <c r="B56" s="14" t="n"/>
      <c r="C56" s="17" t="n"/>
      <c r="D56" s="14" t="n"/>
      <c r="E56" s="17" t="n"/>
      <c r="F56" s="57" t="n"/>
      <c r="G56" s="251" t="n"/>
      <c r="H56" s="252" t="n"/>
      <c r="I56" s="252" t="n"/>
      <c r="J56" s="19" t="n"/>
      <c r="K56" s="13" t="n"/>
      <c r="L56" s="69" t="n"/>
      <c r="M56" s="66" t="n"/>
      <c r="N56" s="73" t="n"/>
      <c r="O56" s="19" t="n"/>
      <c r="P56" s="2" t="n"/>
    </row>
    <row r="57">
      <c r="A57" s="17" t="n"/>
      <c r="B57" s="14" t="n"/>
      <c r="C57" s="17" t="n"/>
      <c r="D57" s="14" t="n"/>
      <c r="E57" s="17" t="n"/>
      <c r="F57" s="57" t="n"/>
      <c r="G57" s="251" t="n"/>
      <c r="H57" s="252" t="n"/>
      <c r="I57" s="252" t="n"/>
      <c r="J57" s="19" t="n"/>
      <c r="K57" s="13" t="n"/>
      <c r="L57" s="69" t="n"/>
      <c r="M57" s="66" t="n"/>
      <c r="N57" s="73" t="n"/>
      <c r="O57" s="19" t="n"/>
      <c r="P57" s="2" t="n"/>
    </row>
    <row r="58">
      <c r="A58" s="17" t="n"/>
      <c r="B58" s="14" t="n"/>
      <c r="C58" s="17" t="n"/>
      <c r="D58" s="14" t="n"/>
      <c r="E58" s="17" t="n"/>
      <c r="F58" s="57" t="n"/>
      <c r="G58" s="251" t="n"/>
      <c r="H58" s="252" t="n"/>
      <c r="I58" s="252" t="n"/>
      <c r="J58" s="19" t="n"/>
      <c r="K58" s="13" t="n"/>
      <c r="L58" s="69" t="n"/>
      <c r="M58" s="66" t="n"/>
      <c r="N58" s="73" t="n"/>
      <c r="O58" s="19" t="n"/>
      <c r="P58" s="2" t="n"/>
    </row>
    <row r="59">
      <c r="A59" s="17" t="n"/>
      <c r="B59" s="14" t="n"/>
      <c r="C59" s="17" t="n"/>
      <c r="D59" s="14" t="n"/>
      <c r="E59" s="17" t="n"/>
      <c r="F59" s="57" t="n"/>
      <c r="G59" s="251" t="n"/>
      <c r="H59" s="252" t="n"/>
      <c r="I59" s="252" t="n"/>
      <c r="J59" s="19" t="n"/>
      <c r="K59" s="13" t="n"/>
      <c r="L59" s="69" t="n"/>
      <c r="M59" s="66" t="n"/>
      <c r="N59" s="73" t="n"/>
      <c r="O59" s="19" t="n"/>
      <c r="P59" s="2" t="n"/>
    </row>
    <row r="60">
      <c r="A60" s="17" t="n"/>
      <c r="B60" s="14" t="n"/>
      <c r="C60" s="17" t="n"/>
      <c r="D60" s="14" t="n"/>
      <c r="E60" s="17" t="n"/>
      <c r="F60" s="57" t="n"/>
      <c r="G60" s="251" t="n"/>
      <c r="H60" s="252" t="n"/>
      <c r="I60" s="252" t="n"/>
      <c r="J60" s="19" t="n"/>
      <c r="K60" s="13" t="n"/>
      <c r="L60" s="69" t="n"/>
      <c r="M60" s="66" t="n"/>
      <c r="N60" s="73" t="n"/>
      <c r="O60" s="19" t="n"/>
      <c r="P60" s="2" t="n"/>
    </row>
    <row r="61">
      <c r="A61" s="17" t="n"/>
      <c r="B61" s="14" t="n"/>
      <c r="C61" s="17" t="n"/>
      <c r="D61" s="14" t="n"/>
      <c r="E61" s="17" t="n"/>
      <c r="F61" s="57" t="n"/>
      <c r="G61" s="251" t="n"/>
      <c r="H61" s="252" t="n"/>
      <c r="I61" s="252" t="n"/>
      <c r="J61" s="19" t="n"/>
      <c r="K61" s="13" t="n"/>
      <c r="L61" s="69" t="n"/>
      <c r="M61" s="66" t="n"/>
      <c r="N61" s="73" t="n"/>
      <c r="O61" s="19" t="n"/>
      <c r="P61" s="2" t="n"/>
    </row>
    <row r="62">
      <c r="A62" s="17" t="n"/>
      <c r="B62" s="14" t="n"/>
      <c r="C62" s="17" t="n"/>
      <c r="D62" s="14" t="n"/>
      <c r="E62" s="17" t="n"/>
      <c r="F62" s="57" t="n"/>
      <c r="G62" s="251" t="n"/>
      <c r="H62" s="252" t="n"/>
      <c r="I62" s="252" t="n"/>
      <c r="J62" s="19" t="n"/>
      <c r="K62" s="13" t="n"/>
      <c r="L62" s="69" t="n"/>
      <c r="M62" s="66" t="n"/>
      <c r="N62" s="73" t="n"/>
      <c r="O62" s="19" t="n"/>
      <c r="P62" s="2" t="n"/>
    </row>
    <row r="63">
      <c r="A63" s="17" t="n"/>
      <c r="B63" s="14" t="n"/>
      <c r="C63" s="17" t="n"/>
      <c r="D63" s="14" t="n"/>
      <c r="E63" s="17" t="n"/>
      <c r="F63" s="57" t="n"/>
      <c r="G63" s="251" t="n"/>
      <c r="H63" s="252" t="n"/>
      <c r="I63" s="252" t="n"/>
      <c r="J63" s="19" t="n"/>
      <c r="K63" s="13" t="n"/>
      <c r="L63" s="69" t="n"/>
      <c r="M63" s="66" t="n"/>
      <c r="N63" s="73" t="n"/>
      <c r="O63" s="19" t="n"/>
      <c r="P63" s="2" t="n"/>
    </row>
    <row r="64">
      <c r="A64" s="17" t="n"/>
      <c r="B64" s="14" t="n"/>
      <c r="C64" s="17" t="n"/>
      <c r="D64" s="14" t="n"/>
      <c r="E64" s="17" t="n"/>
      <c r="F64" s="57" t="n"/>
      <c r="G64" s="251" t="n"/>
      <c r="H64" s="252" t="n"/>
      <c r="I64" s="252" t="n"/>
      <c r="J64" s="19" t="n"/>
      <c r="K64" s="13" t="n"/>
      <c r="L64" s="69" t="n"/>
      <c r="M64" s="66" t="n"/>
      <c r="N64" s="73" t="n"/>
      <c r="O64" s="19" t="n"/>
      <c r="P64" s="2" t="n"/>
    </row>
    <row r="65">
      <c r="A65" s="17" t="n"/>
      <c r="B65" s="14" t="n"/>
      <c r="C65" s="17" t="n"/>
      <c r="D65" s="14" t="n"/>
      <c r="E65" s="17" t="n"/>
      <c r="F65" s="57" t="n"/>
      <c r="G65" s="251" t="n"/>
      <c r="H65" s="252" t="n"/>
      <c r="I65" s="252" t="n"/>
      <c r="J65" s="19" t="n"/>
      <c r="K65" s="13" t="n"/>
      <c r="L65" s="69" t="n"/>
      <c r="M65" s="66" t="n"/>
      <c r="N65" s="73" t="n"/>
      <c r="O65" s="19" t="n"/>
      <c r="P65" s="2" t="n"/>
    </row>
    <row r="66">
      <c r="A66" s="17" t="n"/>
      <c r="B66" s="14" t="n"/>
      <c r="C66" s="17" t="n"/>
      <c r="D66" s="14" t="n"/>
      <c r="E66" s="17" t="n"/>
      <c r="F66" s="57" t="n"/>
      <c r="G66" s="251" t="n"/>
      <c r="H66" s="252" t="n"/>
      <c r="I66" s="252" t="n"/>
      <c r="J66" s="19" t="n"/>
      <c r="K66" s="13" t="n"/>
      <c r="L66" s="69" t="n"/>
      <c r="M66" s="66" t="n"/>
      <c r="N66" s="73" t="n"/>
      <c r="O66" s="19" t="n"/>
      <c r="P66" s="2" t="n"/>
    </row>
    <row r="67">
      <c r="A67" s="17" t="n"/>
      <c r="B67" s="14" t="n"/>
      <c r="C67" s="17" t="n"/>
      <c r="D67" s="14" t="n"/>
      <c r="E67" s="17" t="n"/>
      <c r="F67" s="57" t="n"/>
      <c r="G67" s="251" t="n"/>
      <c r="H67" s="252" t="n"/>
      <c r="I67" s="252" t="n"/>
      <c r="J67" s="19" t="n"/>
      <c r="K67" s="13" t="n"/>
      <c r="L67" s="69" t="n"/>
      <c r="M67" s="66" t="n"/>
      <c r="N67" s="73" t="n"/>
      <c r="O67" s="19" t="n"/>
      <c r="P67" s="2" t="n"/>
    </row>
    <row r="68">
      <c r="A68" s="17" t="n"/>
      <c r="B68" s="14" t="n"/>
      <c r="C68" s="17" t="n"/>
      <c r="D68" s="14" t="n"/>
      <c r="E68" s="17" t="n"/>
      <c r="F68" s="57" t="n"/>
      <c r="G68" s="251" t="n"/>
      <c r="H68" s="252" t="n"/>
      <c r="I68" s="252" t="n"/>
      <c r="J68" s="19" t="n"/>
      <c r="K68" s="13" t="n"/>
      <c r="L68" s="69" t="n"/>
      <c r="M68" s="66" t="n"/>
      <c r="N68" s="73" t="n"/>
      <c r="O68" s="19" t="n"/>
      <c r="P68" s="2" t="n"/>
    </row>
    <row r="69">
      <c r="A69" s="17" t="n"/>
      <c r="B69" s="14" t="n"/>
      <c r="C69" s="17" t="n"/>
      <c r="D69" s="14" t="n"/>
      <c r="E69" s="17" t="n"/>
      <c r="F69" s="57" t="n"/>
      <c r="G69" s="251" t="n"/>
      <c r="H69" s="252" t="n"/>
      <c r="I69" s="252" t="n"/>
      <c r="J69" s="19" t="n"/>
      <c r="K69" s="13" t="n"/>
      <c r="L69" s="69" t="n"/>
      <c r="M69" s="66" t="n"/>
      <c r="N69" s="73" t="n"/>
      <c r="O69" s="19" t="n"/>
      <c r="P69" s="2" t="n"/>
    </row>
    <row r="70">
      <c r="A70" s="17" t="n"/>
      <c r="B70" s="14" t="n"/>
      <c r="C70" s="17" t="n"/>
      <c r="D70" s="14" t="n"/>
      <c r="E70" s="17" t="n"/>
      <c r="F70" s="57" t="n"/>
      <c r="G70" s="251" t="n"/>
      <c r="H70" s="252" t="n"/>
      <c r="I70" s="252" t="n"/>
      <c r="J70" s="19" t="n"/>
      <c r="K70" s="13" t="n"/>
      <c r="L70" s="69" t="n"/>
      <c r="M70" s="66" t="n"/>
      <c r="N70" s="73" t="n"/>
      <c r="O70" s="19" t="n"/>
      <c r="P70" s="2" t="n"/>
    </row>
    <row r="71">
      <c r="A71" s="17" t="n"/>
      <c r="B71" s="14" t="n"/>
      <c r="C71" s="17" t="n"/>
      <c r="D71" s="14" t="n"/>
      <c r="E71" s="17" t="n"/>
      <c r="F71" s="57" t="n"/>
      <c r="G71" s="251" t="n"/>
      <c r="H71" s="252" t="n"/>
      <c r="I71" s="252" t="n"/>
      <c r="J71" s="19" t="n"/>
      <c r="K71" s="13" t="n"/>
      <c r="L71" s="69" t="n"/>
      <c r="M71" s="66" t="n"/>
      <c r="N71" s="73" t="n"/>
      <c r="O71" s="19" t="n"/>
      <c r="P71" s="2" t="n"/>
    </row>
    <row r="72">
      <c r="A72" s="17" t="n"/>
      <c r="B72" s="14" t="n"/>
      <c r="C72" s="17" t="n"/>
      <c r="D72" s="14" t="n"/>
      <c r="E72" s="17" t="n"/>
      <c r="F72" s="57" t="n"/>
      <c r="G72" s="251" t="n"/>
      <c r="H72" s="252" t="n"/>
      <c r="I72" s="252" t="n"/>
      <c r="J72" s="19" t="n"/>
      <c r="K72" s="13" t="n"/>
      <c r="L72" s="69" t="n"/>
      <c r="M72" s="66" t="n"/>
      <c r="N72" s="73" t="n"/>
      <c r="O72" s="19" t="n"/>
      <c r="P72" s="2" t="n"/>
    </row>
    <row r="73">
      <c r="A73" s="17" t="n"/>
      <c r="B73" s="14" t="n"/>
      <c r="C73" s="17" t="n"/>
      <c r="D73" s="14" t="n"/>
      <c r="E73" s="17" t="n"/>
      <c r="F73" s="57" t="n"/>
      <c r="G73" s="251" t="n"/>
      <c r="H73" s="252" t="n"/>
      <c r="I73" s="252" t="n"/>
      <c r="J73" s="19" t="n"/>
      <c r="K73" s="13" t="n"/>
      <c r="L73" s="69" t="n"/>
      <c r="M73" s="66" t="n"/>
      <c r="N73" s="73" t="n"/>
      <c r="O73" s="19" t="n"/>
      <c r="P73" s="2" t="n"/>
    </row>
    <row r="74">
      <c r="A74" s="17" t="n"/>
      <c r="B74" s="14" t="n"/>
      <c r="C74" s="17" t="n"/>
      <c r="D74" s="14" t="n"/>
      <c r="E74" s="17" t="n"/>
      <c r="F74" s="57" t="n"/>
      <c r="G74" s="251" t="n"/>
      <c r="H74" s="252" t="n"/>
      <c r="I74" s="252" t="n"/>
      <c r="J74" s="19" t="n"/>
      <c r="K74" s="13" t="n"/>
      <c r="L74" s="69" t="n"/>
      <c r="M74" s="66" t="n"/>
      <c r="N74" s="73" t="n"/>
      <c r="O74" s="19" t="n"/>
      <c r="P74" s="2" t="n"/>
    </row>
    <row r="75">
      <c r="A75" s="17" t="n"/>
      <c r="B75" s="14" t="n"/>
      <c r="C75" s="17" t="n"/>
      <c r="D75" s="14" t="n"/>
      <c r="E75" s="17" t="n"/>
      <c r="F75" s="57" t="n"/>
      <c r="G75" s="251" t="n"/>
      <c r="H75" s="252" t="n"/>
      <c r="I75" s="252" t="n"/>
      <c r="J75" s="19" t="n"/>
      <c r="K75" s="13" t="n"/>
      <c r="L75" s="69" t="n"/>
      <c r="M75" s="66" t="n"/>
      <c r="N75" s="73" t="n"/>
      <c r="O75" s="19" t="n"/>
      <c r="P75" s="2" t="n"/>
    </row>
    <row r="76">
      <c r="A76" s="17" t="n"/>
      <c r="B76" s="14" t="n"/>
      <c r="C76" s="17" t="n"/>
      <c r="D76" s="14" t="n"/>
      <c r="E76" s="17" t="n"/>
      <c r="F76" s="57" t="n"/>
      <c r="G76" s="251" t="n"/>
      <c r="H76" s="252" t="n"/>
      <c r="I76" s="252" t="n"/>
      <c r="J76" s="19" t="n"/>
      <c r="K76" s="13" t="n"/>
      <c r="L76" s="69" t="n"/>
      <c r="M76" s="66" t="n"/>
      <c r="N76" s="73" t="n"/>
      <c r="O76" s="19" t="n"/>
      <c r="P76" s="2" t="n"/>
    </row>
    <row r="77">
      <c r="A77" s="17" t="n"/>
      <c r="B77" s="14" t="n"/>
      <c r="C77" s="17" t="n"/>
      <c r="D77" s="14" t="n"/>
      <c r="E77" s="17" t="n"/>
      <c r="F77" s="57" t="n"/>
      <c r="G77" s="251" t="n"/>
      <c r="H77" s="252" t="n"/>
      <c r="I77" s="252" t="n"/>
      <c r="J77" s="19" t="n"/>
      <c r="K77" s="13" t="n"/>
      <c r="L77" s="69" t="n"/>
      <c r="M77" s="66" t="n"/>
      <c r="N77" s="73" t="n"/>
      <c r="O77" s="19" t="n"/>
      <c r="P77" s="2" t="n"/>
    </row>
    <row r="78">
      <c r="A78" s="17" t="n"/>
      <c r="B78" s="14" t="n"/>
      <c r="C78" s="17" t="n"/>
      <c r="D78" s="14" t="n"/>
      <c r="E78" s="17" t="n"/>
      <c r="F78" s="57" t="n"/>
      <c r="G78" s="251" t="n"/>
      <c r="H78" s="252" t="n"/>
      <c r="I78" s="252" t="n"/>
      <c r="J78" s="19" t="n"/>
      <c r="K78" s="13" t="n"/>
      <c r="L78" s="69" t="n"/>
      <c r="M78" s="66" t="n"/>
      <c r="N78" s="73" t="n"/>
      <c r="O78" s="19" t="n"/>
      <c r="P78" s="2" t="n"/>
    </row>
    <row r="79">
      <c r="A79" s="17" t="n"/>
      <c r="B79" s="14" t="n"/>
      <c r="C79" s="17" t="n"/>
      <c r="D79" s="14" t="n"/>
      <c r="E79" s="17" t="n"/>
      <c r="F79" s="57" t="n"/>
      <c r="G79" s="251" t="n"/>
      <c r="H79" s="252" t="n"/>
      <c r="I79" s="252" t="n"/>
      <c r="J79" s="19" t="n"/>
      <c r="K79" s="13" t="n"/>
      <c r="L79" s="69" t="n"/>
      <c r="M79" s="66" t="n"/>
      <c r="N79" s="73" t="n"/>
      <c r="O79" s="19" t="n"/>
      <c r="P79" s="2" t="n"/>
    </row>
    <row r="80">
      <c r="A80" s="17" t="n"/>
      <c r="B80" s="14" t="n"/>
      <c r="C80" s="17" t="n"/>
      <c r="D80" s="14" t="n"/>
      <c r="E80" s="17" t="n"/>
      <c r="F80" s="57" t="n"/>
      <c r="G80" s="251" t="n"/>
      <c r="H80" s="252" t="n"/>
      <c r="I80" s="252" t="n"/>
      <c r="J80" s="19" t="n"/>
      <c r="K80" s="13" t="n"/>
      <c r="L80" s="69" t="n"/>
      <c r="M80" s="66" t="n"/>
      <c r="N80" s="73" t="n"/>
      <c r="O80" s="19" t="n"/>
      <c r="P80" s="2" t="n"/>
    </row>
    <row r="81">
      <c r="A81" s="17" t="n"/>
      <c r="B81" s="14" t="n"/>
      <c r="C81" s="17" t="n"/>
      <c r="D81" s="14" t="n"/>
      <c r="E81" s="17" t="n"/>
      <c r="F81" s="57" t="n"/>
      <c r="G81" s="251" t="n"/>
      <c r="H81" s="252" t="n"/>
      <c r="I81" s="252" t="n"/>
      <c r="J81" s="19" t="n"/>
      <c r="K81" s="13" t="n"/>
      <c r="L81" s="69" t="n"/>
      <c r="M81" s="66" t="n"/>
      <c r="N81" s="73" t="n"/>
      <c r="O81" s="19" t="n"/>
      <c r="P81" s="2" t="n"/>
    </row>
    <row r="82">
      <c r="A82" s="17" t="n"/>
      <c r="B82" s="14" t="n"/>
      <c r="C82" s="17" t="n"/>
      <c r="D82" s="14" t="n"/>
      <c r="E82" s="17" t="n"/>
      <c r="F82" s="57" t="n"/>
      <c r="G82" s="251" t="n"/>
      <c r="H82" s="252" t="n"/>
      <c r="I82" s="252" t="n"/>
      <c r="J82" s="19" t="n"/>
      <c r="K82" s="13" t="n"/>
      <c r="L82" s="69" t="n"/>
      <c r="M82" s="66" t="n"/>
      <c r="N82" s="73" t="n"/>
      <c r="O82" s="19" t="n"/>
      <c r="P82" s="2" t="n"/>
    </row>
    <row r="83">
      <c r="A83" s="17" t="n"/>
      <c r="B83" s="14" t="n"/>
      <c r="C83" s="17" t="n"/>
      <c r="D83" s="14" t="n"/>
      <c r="E83" s="17" t="n"/>
      <c r="F83" s="57" t="n"/>
      <c r="G83" s="251" t="n"/>
      <c r="H83" s="252" t="n"/>
      <c r="I83" s="252" t="n"/>
      <c r="J83" s="19" t="n"/>
      <c r="K83" s="13" t="n"/>
      <c r="L83" s="69" t="n"/>
      <c r="M83" s="66" t="n"/>
      <c r="N83" s="73" t="n"/>
      <c r="O83" s="19" t="n"/>
      <c r="P83" s="2" t="n"/>
    </row>
    <row r="84">
      <c r="A84" s="17" t="n"/>
      <c r="B84" s="14" t="n"/>
      <c r="C84" s="17" t="n"/>
      <c r="D84" s="14" t="n"/>
      <c r="E84" s="17" t="n"/>
      <c r="F84" s="57" t="n"/>
      <c r="G84" s="251" t="n"/>
      <c r="H84" s="252" t="n"/>
      <c r="I84" s="252" t="n"/>
      <c r="J84" s="19" t="n"/>
      <c r="K84" s="13" t="n"/>
      <c r="L84" s="69" t="n"/>
      <c r="M84" s="66" t="n"/>
      <c r="N84" s="73" t="n"/>
      <c r="O84" s="19" t="n"/>
      <c r="P84" s="2" t="n"/>
    </row>
    <row r="85">
      <c r="A85" s="17" t="n"/>
      <c r="B85" s="14" t="n"/>
      <c r="C85" s="17" t="n"/>
      <c r="D85" s="14" t="n"/>
      <c r="E85" s="17" t="n"/>
      <c r="F85" s="57" t="n"/>
      <c r="G85" s="251" t="n"/>
      <c r="H85" s="252" t="n"/>
      <c r="I85" s="252" t="n"/>
      <c r="J85" s="19" t="n"/>
      <c r="K85" s="13" t="n"/>
      <c r="L85" s="69" t="n"/>
      <c r="M85" s="66" t="n"/>
      <c r="N85" s="73" t="n"/>
      <c r="O85" s="19" t="n"/>
      <c r="P85" s="2" t="n"/>
    </row>
    <row r="86">
      <c r="A86" s="17" t="n"/>
      <c r="B86" s="14" t="n"/>
      <c r="C86" s="17" t="n"/>
      <c r="D86" s="14" t="n"/>
      <c r="E86" s="17" t="n"/>
      <c r="F86" s="57" t="n"/>
      <c r="G86" s="251" t="n"/>
      <c r="H86" s="252" t="n"/>
      <c r="I86" s="252" t="n"/>
      <c r="J86" s="19" t="n"/>
      <c r="K86" s="13" t="n"/>
      <c r="L86" s="69" t="n"/>
      <c r="M86" s="66" t="n"/>
      <c r="N86" s="73" t="n"/>
      <c r="O86" s="19" t="n"/>
      <c r="P86" s="2" t="n"/>
    </row>
    <row r="87">
      <c r="A87" s="17" t="n"/>
      <c r="B87" s="14" t="n"/>
      <c r="C87" s="17" t="n"/>
      <c r="D87" s="14" t="n"/>
      <c r="E87" s="17" t="n"/>
      <c r="F87" s="57" t="n"/>
      <c r="G87" s="251" t="n"/>
      <c r="H87" s="252" t="n"/>
      <c r="I87" s="252" t="n"/>
      <c r="J87" s="19" t="n"/>
      <c r="K87" s="13" t="n"/>
      <c r="L87" s="69" t="n"/>
      <c r="M87" s="66" t="n"/>
      <c r="N87" s="73" t="n"/>
      <c r="O87" s="19" t="n"/>
      <c r="P87" s="2" t="n"/>
    </row>
    <row r="88">
      <c r="A88" s="17" t="n"/>
      <c r="B88" s="14" t="n"/>
      <c r="C88" s="17" t="n"/>
      <c r="D88" s="14" t="n"/>
      <c r="E88" s="17" t="n"/>
      <c r="F88" s="57" t="n"/>
      <c r="G88" s="251" t="n"/>
      <c r="H88" s="252" t="n"/>
      <c r="I88" s="252" t="n"/>
      <c r="J88" s="19" t="n"/>
      <c r="K88" s="13" t="n"/>
      <c r="L88" s="69" t="n"/>
      <c r="M88" s="66" t="n"/>
      <c r="N88" s="73" t="n"/>
      <c r="O88" s="19" t="n"/>
      <c r="P88" s="2" t="n"/>
    </row>
    <row r="89">
      <c r="A89" s="17" t="n"/>
      <c r="B89" s="14" t="n"/>
      <c r="C89" s="17" t="n"/>
      <c r="D89" s="14" t="n"/>
      <c r="E89" s="17" t="n"/>
      <c r="F89" s="57" t="n"/>
      <c r="G89" s="251" t="n"/>
      <c r="H89" s="252" t="n"/>
      <c r="I89" s="252" t="n"/>
      <c r="J89" s="19" t="n"/>
      <c r="K89" s="13" t="n"/>
      <c r="L89" s="69" t="n"/>
      <c r="M89" s="66" t="n"/>
      <c r="N89" s="73" t="n"/>
      <c r="O89" s="19" t="n"/>
      <c r="P89" s="2" t="n"/>
    </row>
    <row r="90">
      <c r="A90" s="17" t="n"/>
      <c r="B90" s="14" t="n"/>
      <c r="C90" s="17" t="n"/>
      <c r="D90" s="14" t="n"/>
      <c r="E90" s="17" t="n"/>
      <c r="F90" s="57" t="n"/>
      <c r="G90" s="251" t="n"/>
      <c r="H90" s="252" t="n"/>
      <c r="I90" s="252" t="n"/>
      <c r="J90" s="19" t="n"/>
      <c r="K90" s="13" t="n"/>
      <c r="L90" s="69" t="n"/>
      <c r="M90" s="66" t="n"/>
      <c r="N90" s="73" t="n"/>
      <c r="O90" s="19" t="n"/>
      <c r="P90" s="2" t="n"/>
    </row>
    <row r="91">
      <c r="A91" s="17" t="n"/>
      <c r="B91" s="14" t="n"/>
      <c r="C91" s="17" t="n"/>
      <c r="D91" s="14" t="n"/>
      <c r="E91" s="17" t="n"/>
      <c r="F91" s="57" t="n"/>
      <c r="G91" s="251" t="n"/>
      <c r="H91" s="252" t="n"/>
      <c r="I91" s="252" t="n"/>
      <c r="J91" s="19" t="n"/>
      <c r="K91" s="13" t="n"/>
      <c r="L91" s="69" t="n"/>
      <c r="M91" s="66" t="n"/>
      <c r="N91" s="73" t="n"/>
      <c r="O91" s="19" t="n"/>
      <c r="P91" s="2" t="n"/>
    </row>
    <row r="92">
      <c r="A92" s="17" t="n"/>
      <c r="B92" s="14" t="n"/>
      <c r="C92" s="17" t="n"/>
      <c r="D92" s="14" t="n"/>
      <c r="E92" s="17" t="n"/>
      <c r="F92" s="57" t="n"/>
      <c r="G92" s="251" t="n"/>
      <c r="H92" s="252" t="n"/>
      <c r="I92" s="252" t="n"/>
      <c r="J92" s="19" t="n"/>
      <c r="K92" s="13" t="n"/>
      <c r="L92" s="69" t="n"/>
      <c r="M92" s="66" t="n"/>
      <c r="N92" s="73" t="n"/>
      <c r="O92" s="19" t="n"/>
      <c r="P92" s="2" t="n"/>
    </row>
    <row r="93">
      <c r="A93" s="17" t="n"/>
      <c r="B93" s="14" t="n"/>
      <c r="C93" s="17" t="n"/>
      <c r="D93" s="14" t="n"/>
      <c r="E93" s="17" t="n"/>
      <c r="F93" s="57" t="n"/>
      <c r="G93" s="251" t="n"/>
      <c r="H93" s="252" t="n"/>
      <c r="I93" s="252" t="n"/>
      <c r="J93" s="19" t="n"/>
      <c r="K93" s="13" t="n"/>
      <c r="L93" s="69" t="n"/>
      <c r="M93" s="66" t="n"/>
      <c r="N93" s="73" t="n"/>
      <c r="O93" s="19" t="n"/>
      <c r="P93" s="2" t="n"/>
    </row>
    <row r="94">
      <c r="A94" s="17" t="n"/>
      <c r="B94" s="14" t="n"/>
      <c r="C94" s="17" t="n"/>
      <c r="D94" s="14" t="n"/>
      <c r="E94" s="17" t="n"/>
      <c r="F94" s="57" t="n"/>
      <c r="G94" s="251" t="n"/>
      <c r="H94" s="252" t="n"/>
      <c r="I94" s="252" t="n"/>
      <c r="J94" s="19" t="n"/>
      <c r="K94" s="13" t="n"/>
      <c r="L94" s="69" t="n"/>
      <c r="M94" s="66" t="n"/>
      <c r="N94" s="73" t="n"/>
      <c r="O94" s="19" t="n"/>
      <c r="P94" s="2" t="n"/>
    </row>
    <row r="95">
      <c r="A95" s="17" t="n"/>
      <c r="B95" s="14" t="n"/>
      <c r="C95" s="17" t="n"/>
      <c r="D95" s="14" t="n"/>
      <c r="E95" s="17" t="n"/>
      <c r="F95" s="57" t="n"/>
      <c r="G95" s="251" t="n"/>
      <c r="H95" s="252" t="n"/>
      <c r="I95" s="252" t="n"/>
      <c r="J95" s="19" t="n"/>
      <c r="K95" s="13" t="n"/>
      <c r="L95" s="69" t="n"/>
      <c r="M95" s="66" t="n"/>
      <c r="N95" s="73" t="n"/>
      <c r="O95" s="19" t="n"/>
      <c r="P95" s="2" t="n"/>
    </row>
    <row r="96">
      <c r="A96" s="17" t="n"/>
      <c r="B96" s="14" t="n"/>
      <c r="C96" s="17" t="n"/>
      <c r="D96" s="14" t="n"/>
      <c r="E96" s="17" t="n"/>
      <c r="F96" s="57" t="n"/>
      <c r="G96" s="251" t="n"/>
      <c r="H96" s="252" t="n"/>
      <c r="I96" s="252" t="n"/>
      <c r="J96" s="19" t="n"/>
      <c r="K96" s="13" t="n"/>
      <c r="L96" s="69" t="n"/>
      <c r="M96" s="66" t="n"/>
      <c r="N96" s="73" t="n"/>
      <c r="O96" s="19" t="n"/>
      <c r="P96" s="2" t="n"/>
    </row>
    <row r="97">
      <c r="A97" s="17" t="n"/>
      <c r="B97" s="14" t="n"/>
      <c r="C97" s="17" t="n"/>
      <c r="D97" s="14" t="n"/>
      <c r="E97" s="17" t="n"/>
      <c r="F97" s="57" t="n"/>
      <c r="G97" s="251" t="n"/>
      <c r="H97" s="252" t="n"/>
      <c r="I97" s="252" t="n"/>
      <c r="J97" s="19" t="n"/>
      <c r="K97" s="13" t="n"/>
      <c r="L97" s="69" t="n"/>
      <c r="M97" s="66" t="n"/>
      <c r="N97" s="73" t="n"/>
      <c r="O97" s="19" t="n"/>
      <c r="P97" s="2" t="n"/>
    </row>
    <row r="98">
      <c r="A98" s="17" t="n"/>
      <c r="B98" s="14" t="n"/>
      <c r="C98" s="17" t="n"/>
      <c r="D98" s="14" t="n"/>
      <c r="E98" s="17" t="n"/>
      <c r="F98" s="57" t="n"/>
      <c r="G98" s="251" t="n"/>
      <c r="H98" s="252" t="n"/>
      <c r="I98" s="252" t="n"/>
      <c r="J98" s="19" t="n"/>
      <c r="K98" s="13" t="n"/>
      <c r="L98" s="69" t="n"/>
      <c r="M98" s="66" t="n"/>
      <c r="N98" s="73" t="n"/>
      <c r="O98" s="19" t="n"/>
      <c r="P98" s="2" t="n"/>
    </row>
    <row r="99">
      <c r="A99" s="17" t="n"/>
      <c r="B99" s="14" t="n"/>
      <c r="C99" s="17" t="n"/>
      <c r="D99" s="14" t="n"/>
      <c r="E99" s="17" t="n"/>
      <c r="F99" s="57" t="n"/>
      <c r="G99" s="251" t="n"/>
      <c r="H99" s="252" t="n"/>
      <c r="I99" s="252" t="n"/>
      <c r="J99" s="19" t="n"/>
      <c r="K99" s="13" t="n"/>
      <c r="L99" s="69" t="n"/>
      <c r="M99" s="66" t="n"/>
      <c r="N99" s="73" t="n"/>
      <c r="O99" s="19" t="n"/>
      <c r="P99" s="2" t="n"/>
    </row>
    <row r="100" ht="17.25" customHeight="1" s="185" thickBot="1">
      <c r="A100" s="18" t="n"/>
      <c r="B100" s="16" t="n"/>
      <c r="C100" s="18" t="n"/>
      <c r="D100" s="16" t="n"/>
      <c r="E100" s="18" t="n"/>
      <c r="F100" s="77" t="n"/>
      <c r="G100" s="253" t="n"/>
      <c r="H100" s="254" t="n"/>
      <c r="I100" s="254" t="n"/>
      <c r="J100" s="20" t="n"/>
      <c r="K100" s="15" t="n"/>
      <c r="L100" s="71" t="n"/>
      <c r="M100" s="67" t="n"/>
      <c r="N100" s="74" t="n"/>
      <c r="O100" s="20" t="n"/>
      <c r="P100" s="4" t="n"/>
    </row>
  </sheetData>
  <mergeCells count="8">
    <mergeCell ref="M3:P3"/>
    <mergeCell ref="C3:C4"/>
    <mergeCell ref="B3:B4"/>
    <mergeCell ref="A3:A4"/>
    <mergeCell ref="E3:E4"/>
    <mergeCell ref="F3:F4"/>
    <mergeCell ref="G3:L3"/>
    <mergeCell ref="D3:D4"/>
  </mergeCells>
  <dataValidations count="3">
    <dataValidation sqref="M5:M100" showDropDown="0" showInputMessage="1" showErrorMessage="1" allowBlank="1" type="list">
      <formula1>"'-,확인중,조치중,조치완료,협의필요"</formula1>
    </dataValidation>
    <dataValidation sqref="I5:I100" showDropDown="0" showInputMessage="1" showErrorMessage="1" allowBlank="1" type="list">
      <formula1>"Web,Mobile"</formula1>
    </dataValidation>
    <dataValidation sqref="K5:K100" showDropDown="0" showInputMessage="1" showErrorMessage="1" allowBlank="1" type="list">
      <formula1>"미진행,정상,단순오류,개선사항,치명적오류"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06"/>
  <sheetViews>
    <sheetView zoomScaleNormal="100" workbookViewId="0">
      <pane xSplit="6" ySplit="4" topLeftCell="G5" activePane="bottomRight" state="frozen"/>
      <selection activeCell="N20" sqref="N20"/>
      <selection pane="topRight" activeCell="N20" sqref="N20"/>
      <selection pane="bottomLeft" activeCell="N20" sqref="N20"/>
      <selection pane="bottomRight" activeCell="N20" sqref="N20"/>
    </sheetView>
  </sheetViews>
  <sheetFormatPr baseColWidth="8" defaultRowHeight="16.5"/>
  <cols>
    <col width="14" customWidth="1" style="11" min="1" max="1"/>
    <col width="17.125" customWidth="1" style="1" min="2" max="2"/>
    <col width="14" customWidth="1" style="1" min="3" max="3"/>
    <col width="20.5" bestFit="1" customWidth="1" style="1" min="4" max="4"/>
    <col width="14" customWidth="1" style="11" min="5" max="5"/>
    <col width="71.75" customWidth="1" style="1" min="6" max="6"/>
    <col width="10.625" customWidth="1" style="1" min="7" max="7"/>
    <col width="7.75" customWidth="1" style="1" min="8" max="8"/>
    <col width="7.375" customWidth="1" style="1" min="9" max="9"/>
    <col width="7.5" customWidth="1" style="1" min="10" max="10"/>
    <col width="10.875" customWidth="1" style="1" min="11" max="11"/>
    <col width="34.875" customWidth="1" style="1" min="12" max="12"/>
    <col width="9" customWidth="1" style="1" min="13" max="13"/>
    <col width="11.625" customWidth="1" style="1" min="14" max="14"/>
    <col width="9" customWidth="1" style="1" min="15" max="15"/>
    <col width="64.25" customWidth="1" style="1" min="16" max="16"/>
    <col width="9" customWidth="1" style="1" min="17" max="16384"/>
  </cols>
  <sheetData>
    <row r="1" ht="20.25" customHeight="1" s="185">
      <c r="A1" s="238" t="inlineStr">
        <is>
          <t>02.3단계AI판정</t>
        </is>
      </c>
      <c r="C1" s="12" t="n"/>
    </row>
    <row r="2" ht="17.25" customHeight="1" s="185" thickBot="1"/>
    <row r="3">
      <c r="A3" s="239" t="inlineStr">
        <is>
          <t>테스트시나리오ID</t>
        </is>
      </c>
      <c r="B3" s="240" t="inlineStr">
        <is>
          <t>시나리오명</t>
        </is>
      </c>
      <c r="C3" s="239" t="inlineStr">
        <is>
          <t>테스트케이스ID</t>
        </is>
      </c>
      <c r="D3" s="240" t="inlineStr">
        <is>
          <t>케이스명</t>
        </is>
      </c>
      <c r="E3" s="239" t="inlineStr">
        <is>
          <t>화면ID</t>
        </is>
      </c>
      <c r="F3" s="241" t="inlineStr">
        <is>
          <t>예상결과</t>
        </is>
      </c>
      <c r="G3" s="167" t="inlineStr">
        <is>
          <t>테스트결과</t>
        </is>
      </c>
      <c r="H3" s="199" t="n"/>
      <c r="I3" s="199" t="n"/>
      <c r="J3" s="199" t="n"/>
      <c r="K3" s="199" t="n"/>
      <c r="L3" s="255" t="n"/>
      <c r="M3" s="157" t="inlineStr">
        <is>
          <t>조치사항</t>
        </is>
      </c>
      <c r="N3" s="243" t="n"/>
      <c r="O3" s="243" t="n"/>
      <c r="P3" s="243" t="n"/>
    </row>
    <row r="4" ht="17.25" customHeight="1" s="185" thickBot="1">
      <c r="A4" s="244" t="n"/>
      <c r="B4" s="245" t="n"/>
      <c r="C4" s="244" t="n"/>
      <c r="D4" s="245" t="n"/>
      <c r="E4" s="244" t="n"/>
      <c r="F4" s="246" t="n"/>
      <c r="G4" s="55" t="inlineStr">
        <is>
          <t>테스트날짜</t>
        </is>
      </c>
      <c r="H4" s="56" t="inlineStr">
        <is>
          <t>수행자</t>
        </is>
      </c>
      <c r="I4" s="65" t="inlineStr">
        <is>
          <t>구분</t>
        </is>
      </c>
      <c r="J4" s="65" t="inlineStr">
        <is>
          <t>실패여부</t>
        </is>
      </c>
      <c r="K4" s="65" t="inlineStr">
        <is>
          <t>결과구분</t>
        </is>
      </c>
      <c r="L4" s="85" t="inlineStr">
        <is>
          <t>실제결과</t>
        </is>
      </c>
      <c r="M4" s="86" t="inlineStr">
        <is>
          <t>조치여부</t>
        </is>
      </c>
      <c r="N4" s="87" t="inlineStr">
        <is>
          <t>조치일자</t>
        </is>
      </c>
      <c r="O4" s="88" t="inlineStr">
        <is>
          <t>조치담당자</t>
        </is>
      </c>
      <c r="P4" s="88" t="inlineStr">
        <is>
          <t>담당자 의견</t>
        </is>
      </c>
    </row>
    <row r="5">
      <c r="A5" s="247" t="inlineStr">
        <is>
          <t>TS_AI_0100</t>
        </is>
      </c>
      <c r="B5" s="248" t="inlineStr">
        <is>
          <t>1단계 룰사전 검사</t>
        </is>
      </c>
      <c r="C5" s="247" t="inlineStr">
        <is>
          <t>TC_AI_0101</t>
        </is>
      </c>
      <c r="D5" s="248" t="inlineStr">
        <is>
          <t>의약품 오인 표현 즉시 매칭</t>
        </is>
      </c>
      <c r="E5" s="247" t="inlineStr">
        <is>
          <t>SCR_REV_01</t>
        </is>
      </c>
      <c r="F5" s="248" t="inlineStr">
        <is>
          <t>치료, 재생, 완치 등 금지 표현 즉시 BAN 판정</t>
        </is>
      </c>
      <c r="G5" s="249" t="inlineStr">
        <is>
          <t>2026-10-16</t>
        </is>
      </c>
      <c r="H5" s="249" t="inlineStr">
        <is>
          <t>EMPASY QA팀</t>
        </is>
      </c>
      <c r="I5" s="249" t="inlineStr">
        <is>
          <t>Engine</t>
        </is>
      </c>
      <c r="J5" s="249">
        <f>IFERROR(_xlfn.IFS($K5="정상","P",$K5="단순오류","F",$K5="개선사항","F",$K5="치명적오류","F",$K5="미진행","N"),"")</f>
        <v/>
      </c>
      <c r="K5" s="250" t="inlineStr">
        <is>
          <t>정상</t>
        </is>
      </c>
      <c r="L5" s="248" t="inlineStr">
        <is>
          <t>정상 패스</t>
        </is>
      </c>
      <c r="M5" s="76" t="inlineStr">
        <is>
          <t>협의필요</t>
        </is>
      </c>
      <c r="N5" s="72" t="n"/>
      <c r="O5" s="24" t="inlineStr">
        <is>
          <t>황개발</t>
        </is>
      </c>
      <c r="P5" s="3" t="inlineStr">
        <is>
          <t>화면설계서대로 작업했음</t>
        </is>
      </c>
    </row>
    <row r="6">
      <c r="A6" s="247" t="inlineStr">
        <is>
          <t>TS_AI_0100</t>
        </is>
      </c>
      <c r="B6" s="248" t="inlineStr">
        <is>
          <t>1단계 룰사전 검사</t>
        </is>
      </c>
      <c r="C6" s="247" t="inlineStr">
        <is>
          <t>TC_AI_0102</t>
        </is>
      </c>
      <c r="D6" s="248" t="inlineStr">
        <is>
          <t>소비자 오인 절대 표현 매칭</t>
        </is>
      </c>
      <c r="E6" s="247" t="inlineStr">
        <is>
          <t>SCR_REV_01</t>
        </is>
      </c>
      <c r="F6" s="248" t="inlineStr">
        <is>
          <t>국내 최초, 100% 무자극 등 절대 표현 WARN 판정</t>
        </is>
      </c>
      <c r="G6" s="249" t="inlineStr">
        <is>
          <t>2026-10-16</t>
        </is>
      </c>
      <c r="H6" s="249" t="inlineStr">
        <is>
          <t>EMPASY QA팀</t>
        </is>
      </c>
      <c r="I6" s="249" t="inlineStr">
        <is>
          <t>Engine</t>
        </is>
      </c>
      <c r="J6" s="249">
        <f>IFERROR(_xlfn.IFS($K6="정상","P",$K6="단순오류","F",$K6="개선사항","F",$K6="치명적오류","F",$K6="미진행","N"),"")</f>
        <v/>
      </c>
      <c r="K6" s="250" t="inlineStr">
        <is>
          <t>정상</t>
        </is>
      </c>
      <c r="L6" s="248" t="inlineStr">
        <is>
          <t>정상 패스</t>
        </is>
      </c>
      <c r="M6" s="66" t="inlineStr">
        <is>
          <t>-</t>
        </is>
      </c>
      <c r="N6" s="73" t="n"/>
      <c r="O6" s="19" t="n"/>
      <c r="P6" s="2" t="n"/>
    </row>
    <row r="7">
      <c r="A7" s="247" t="inlineStr">
        <is>
          <t>TS_AI_0100</t>
        </is>
      </c>
      <c r="B7" s="248" t="inlineStr">
        <is>
          <t>1단계 룰사전 검사</t>
        </is>
      </c>
      <c r="C7" s="247" t="inlineStr">
        <is>
          <t>TC_AI_0103</t>
        </is>
      </c>
      <c r="D7" s="248" t="inlineStr">
        <is>
          <t>화장품 금지 원료 표현 필터링</t>
        </is>
      </c>
      <c r="E7" s="247" t="inlineStr">
        <is>
          <t>SCR_REV_01</t>
        </is>
      </c>
      <c r="F7" s="248" t="inlineStr">
        <is>
          <t>화장품 배합 금지 성분 표기 즉시 적발 및 근거 매핑</t>
        </is>
      </c>
      <c r="G7" s="249" t="inlineStr">
        <is>
          <t>2026-10-16</t>
        </is>
      </c>
      <c r="H7" s="249" t="inlineStr">
        <is>
          <t>EMPASY QA팀</t>
        </is>
      </c>
      <c r="I7" s="249" t="inlineStr">
        <is>
          <t>Engine</t>
        </is>
      </c>
      <c r="J7" s="249">
        <f>IFERROR(_xlfn.IFS($K7="정상","P",$K7="단순오류","F",$K7="개선사항","F",$K7="치명적오류","F",$K7="미진행","N"),"")</f>
        <v/>
      </c>
      <c r="K7" s="250" t="inlineStr">
        <is>
          <t>정상</t>
        </is>
      </c>
      <c r="L7" s="248" t="inlineStr">
        <is>
          <t>정상 패스</t>
        </is>
      </c>
      <c r="M7" s="75" t="inlineStr">
        <is>
          <t>확인중</t>
        </is>
      </c>
      <c r="N7" s="73" t="n"/>
      <c r="O7" s="19" t="inlineStr">
        <is>
          <t>황개발</t>
        </is>
      </c>
      <c r="P7" s="2" t="n"/>
    </row>
    <row r="8">
      <c r="A8" s="247" t="inlineStr">
        <is>
          <t>TS_AI_0100</t>
        </is>
      </c>
      <c r="B8" s="248" t="inlineStr">
        <is>
          <t>1단계 룰사전 검사</t>
        </is>
      </c>
      <c r="C8" s="247" t="inlineStr">
        <is>
          <t>TC_AI_0104</t>
        </is>
      </c>
      <c r="D8" s="248" t="inlineStr">
        <is>
          <t>어미 및 조사 변형 탐지</t>
        </is>
      </c>
      <c r="E8" s="247" t="inlineStr">
        <is>
          <t>SCR_REV_01</t>
        </is>
      </c>
      <c r="F8" s="248" t="inlineStr">
        <is>
          <t>재생시켜주는, 치료효과 등 어미 변형 패턴 정규식 매칭</t>
        </is>
      </c>
      <c r="G8" s="249" t="inlineStr">
        <is>
          <t>2026-10-16</t>
        </is>
      </c>
      <c r="H8" s="249" t="inlineStr">
        <is>
          <t>EMPASY QA팀</t>
        </is>
      </c>
      <c r="I8" s="249" t="inlineStr">
        <is>
          <t>Engine</t>
        </is>
      </c>
      <c r="J8" s="249">
        <f>IFERROR(_xlfn.IFS($K8="정상","P",$K8="단순오류","F",$K8="개선사항","F",$K8="치명적오류","F",$K8="미진행","N"),"")</f>
        <v/>
      </c>
      <c r="K8" s="250" t="inlineStr">
        <is>
          <t>정상</t>
        </is>
      </c>
      <c r="L8" s="248" t="inlineStr">
        <is>
          <t>정상 패스</t>
        </is>
      </c>
      <c r="M8" s="66" t="inlineStr">
        <is>
          <t>확인중</t>
        </is>
      </c>
      <c r="N8" s="73" t="n"/>
      <c r="O8" s="19" t="inlineStr">
        <is>
          <t>AI엔진개발팀</t>
        </is>
      </c>
      <c r="P8" s="2" t="n"/>
    </row>
    <row r="9">
      <c r="A9" s="247" t="inlineStr">
        <is>
          <t>TS_AI_0200</t>
        </is>
      </c>
      <c r="B9" s="248" t="inlineStr">
        <is>
          <t>2단계 RAG 판례 검색</t>
        </is>
      </c>
      <c r="C9" s="247" t="inlineStr">
        <is>
          <t>TC_AI_0201</t>
        </is>
      </c>
      <c r="D9" s="248" t="inlineStr">
        <is>
          <t>식약처 처분사례 벡터 검색</t>
        </is>
      </c>
      <c r="E9" s="247" t="inlineStr">
        <is>
          <t>SCR_REV_01</t>
        </is>
      </c>
      <c r="F9" s="248" t="inlineStr">
        <is>
          <t>pgvector 코사인 유사도 0.85 이상 유사 행정처분 3건 검색</t>
        </is>
      </c>
      <c r="G9" s="249" t="inlineStr">
        <is>
          <t>2026-10-16</t>
        </is>
      </c>
      <c r="H9" s="249" t="inlineStr">
        <is>
          <t>EMPASY QA팀</t>
        </is>
      </c>
      <c r="I9" s="249" t="inlineStr">
        <is>
          <t>RAG</t>
        </is>
      </c>
      <c r="J9" s="249">
        <f>IFERROR(_xlfn.IFS($K9="정상","P",$K9="단순오류","F",$K9="개선사항","F",$K9="치명적오류","F",$K9="미진행","N"),"")</f>
        <v/>
      </c>
      <c r="K9" s="250" t="inlineStr">
        <is>
          <t>정상</t>
        </is>
      </c>
      <c r="L9" s="248" t="inlineStr">
        <is>
          <t>정상 패스</t>
        </is>
      </c>
      <c r="M9" s="66" t="inlineStr">
        <is>
          <t>-</t>
        </is>
      </c>
      <c r="N9" s="73" t="n"/>
      <c r="O9" s="19" t="n"/>
      <c r="P9" s="2" t="n"/>
    </row>
    <row r="10">
      <c r="A10" s="247" t="inlineStr">
        <is>
          <t>TS_AI_0200</t>
        </is>
      </c>
      <c r="B10" s="248" t="inlineStr">
        <is>
          <t>2단계 RAG 판례 검색</t>
        </is>
      </c>
      <c r="C10" s="247" t="inlineStr">
        <is>
          <t>TC_AI_0202</t>
        </is>
      </c>
      <c r="D10" s="248" t="inlineStr">
        <is>
          <t>유사 처분 문안 하이라이트</t>
        </is>
      </c>
      <c r="E10" s="247" t="inlineStr">
        <is>
          <t>SCR_REV_01</t>
        </is>
      </c>
      <c r="F10" s="248" t="inlineStr">
        <is>
          <t>매칭된 과거 처분 문안과 현재 심의 문안의 유사 단어 강조</t>
        </is>
      </c>
      <c r="G10" s="249" t="inlineStr">
        <is>
          <t>2026-10-16</t>
        </is>
      </c>
      <c r="H10" s="249" t="inlineStr">
        <is>
          <t>EMPASY QA팀</t>
        </is>
      </c>
      <c r="I10" s="249" t="inlineStr">
        <is>
          <t>RAG</t>
        </is>
      </c>
      <c r="J10" s="249">
        <f>IFERROR(_xlfn.IFS($K10="정상","P",$K10="단순오류","F",$K10="개선사항","F",$K10="치명적오류","F",$K10="미진행","N"),"")</f>
        <v/>
      </c>
      <c r="K10" s="250" t="inlineStr">
        <is>
          <t>정상</t>
        </is>
      </c>
      <c r="L10" s="248" t="inlineStr">
        <is>
          <t>정상 패스</t>
        </is>
      </c>
      <c r="M10" s="66" t="inlineStr">
        <is>
          <t>-</t>
        </is>
      </c>
      <c r="N10" s="73" t="n"/>
      <c r="O10" s="19" t="n"/>
      <c r="P10" s="2" t="n"/>
    </row>
    <row r="11">
      <c r="A11" s="247" t="inlineStr">
        <is>
          <t>TS_AI_0200</t>
        </is>
      </c>
      <c r="B11" s="248" t="inlineStr">
        <is>
          <t>2단계 RAG 판례 검색</t>
        </is>
      </c>
      <c r="C11" s="247" t="inlineStr">
        <is>
          <t>TC_AI_0203</t>
        </is>
      </c>
      <c r="D11" s="248" t="inlineStr">
        <is>
          <t>유사도 기반 위험도 스코어링</t>
        </is>
      </c>
      <c r="E11" s="247" t="inlineStr">
        <is>
          <t>SCR_REV_01</t>
        </is>
      </c>
      <c r="F11" s="248" t="inlineStr">
        <is>
          <t>유사도 점수에 따라 주의/경고 수치(0~100) 비례 부여</t>
        </is>
      </c>
      <c r="G11" s="249" t="inlineStr">
        <is>
          <t>2026-10-16</t>
        </is>
      </c>
      <c r="H11" s="249" t="inlineStr">
        <is>
          <t>EMPASY QA팀</t>
        </is>
      </c>
      <c r="I11" s="249" t="inlineStr">
        <is>
          <t>RAG</t>
        </is>
      </c>
      <c r="J11" s="249">
        <f>IFERROR(_xlfn.IFS($K11="정상","P",$K11="단순오류","F",$K11="개선사항","F",$K11="치명적오류","F",$K11="미진행","N"),"")</f>
        <v/>
      </c>
      <c r="K11" s="250" t="inlineStr">
        <is>
          <t>정상</t>
        </is>
      </c>
      <c r="L11" s="248" t="inlineStr">
        <is>
          <t>정상 패스</t>
        </is>
      </c>
      <c r="M11" s="66" t="inlineStr">
        <is>
          <t>조치중</t>
        </is>
      </c>
      <c r="N11" s="73" t="n"/>
      <c r="O11" s="19" t="inlineStr">
        <is>
          <t>AI엔진개발팀</t>
        </is>
      </c>
      <c r="P11" s="3" t="n"/>
    </row>
    <row r="12">
      <c r="A12" s="247" t="inlineStr">
        <is>
          <t>TS_AI_0300</t>
        </is>
      </c>
      <c r="B12" s="248" t="inlineStr">
        <is>
          <t>3단계 Agent 문맥심의</t>
        </is>
      </c>
      <c r="C12" s="247" t="inlineStr">
        <is>
          <t>TC_AI_0301</t>
        </is>
      </c>
      <c r="D12" s="248" t="inlineStr">
        <is>
          <t>복합 수식어 완화 문맥 인지</t>
        </is>
      </c>
      <c r="E12" s="247" t="inlineStr">
        <is>
          <t>SCR_REV_01</t>
        </is>
      </c>
      <c r="F12" s="248" t="inlineStr">
        <is>
          <t>도움을 줌, 일시적 개선 등 수식어 결합 시 완화 판정</t>
        </is>
      </c>
      <c r="G12" s="249" t="inlineStr">
        <is>
          <t>2026-10-16</t>
        </is>
      </c>
      <c r="H12" s="249" t="inlineStr">
        <is>
          <t>EMPASY QA팀</t>
        </is>
      </c>
      <c r="I12" s="249" t="inlineStr">
        <is>
          <t>Agent</t>
        </is>
      </c>
      <c r="J12" s="249">
        <f>IFERROR(_xlfn.IFS($K12="정상","P",$K12="단순오류","F",$K12="개선사항","F",$K12="치명적오류","F",$K12="미진행","N"),"")</f>
        <v/>
      </c>
      <c r="K12" s="250" t="inlineStr">
        <is>
          <t>정상</t>
        </is>
      </c>
      <c r="L12" s="248" t="inlineStr">
        <is>
          <t>정상 패스</t>
        </is>
      </c>
      <c r="M12" s="75" t="inlineStr">
        <is>
          <t>-</t>
        </is>
      </c>
      <c r="N12" s="73" t="n"/>
      <c r="O12" s="19" t="n"/>
      <c r="P12" s="2" t="n"/>
    </row>
    <row r="13">
      <c r="A13" s="247" t="inlineStr">
        <is>
          <t>TS_AI_0300</t>
        </is>
      </c>
      <c r="B13" s="248" t="inlineStr">
        <is>
          <t>3단계 Agent 문맥심의</t>
        </is>
      </c>
      <c r="C13" s="247" t="inlineStr">
        <is>
          <t>TC_AI_0302</t>
        </is>
      </c>
      <c r="D13" s="248" t="inlineStr">
        <is>
          <t>인체적용시험 시험 조건 대조</t>
        </is>
      </c>
      <c r="E13" s="247" t="inlineStr">
        <is>
          <t>SCR_REV_01</t>
        </is>
      </c>
      <c r="F13" s="248" t="inlineStr">
        <is>
          <t>실증 시험 대상, 기간 표기 누락 시 실증 요구 태그 판정</t>
        </is>
      </c>
      <c r="G13" s="249" t="inlineStr">
        <is>
          <t>2026-10-16</t>
        </is>
      </c>
      <c r="H13" s="249" t="inlineStr">
        <is>
          <t>EMPASY QA팀</t>
        </is>
      </c>
      <c r="I13" s="249" t="inlineStr">
        <is>
          <t>Agent</t>
        </is>
      </c>
      <c r="J13" s="249">
        <f>IFERROR(_xlfn.IFS($K13="정상","P",$K13="단순오류","F",$K13="개선사항","F",$K13="치명적오류","F",$K13="미진행","N"),"")</f>
        <v/>
      </c>
      <c r="K13" s="250" t="inlineStr">
        <is>
          <t>정상</t>
        </is>
      </c>
      <c r="L13" s="248" t="inlineStr">
        <is>
          <t>정상 패스</t>
        </is>
      </c>
      <c r="M13" s="66" t="inlineStr">
        <is>
          <t>-</t>
        </is>
      </c>
      <c r="N13" s="73" t="n"/>
      <c r="O13" s="19" t="n"/>
      <c r="P13" s="2" t="n"/>
    </row>
    <row r="14">
      <c r="A14" s="247" t="inlineStr">
        <is>
          <t>TS_AI_0300</t>
        </is>
      </c>
      <c r="B14" s="248" t="inlineStr">
        <is>
          <t>3단계 Agent 문맥심의</t>
        </is>
      </c>
      <c r="C14" s="247" t="inlineStr">
        <is>
          <t>TC_AI_0303</t>
        </is>
      </c>
      <c r="D14" s="248" t="inlineStr">
        <is>
          <t>종합 위험도 등급(안전/주의/위험) 산출</t>
        </is>
      </c>
      <c r="E14" s="247" t="inlineStr">
        <is>
          <t>SCR_REV_01</t>
        </is>
      </c>
      <c r="F14" s="248" t="inlineStr">
        <is>
          <t>3단계 결과를 종합하여 최종 문장 등급 및 요약문 생성</t>
        </is>
      </c>
      <c r="G14" s="249" t="inlineStr">
        <is>
          <t>2026-10-16</t>
        </is>
      </c>
      <c r="H14" s="249" t="inlineStr">
        <is>
          <t>EMPASY QA팀</t>
        </is>
      </c>
      <c r="I14" s="249" t="inlineStr">
        <is>
          <t>Agent</t>
        </is>
      </c>
      <c r="J14" s="249">
        <f>IFERROR(_xlfn.IFS($K14="정상","P",$K14="단순오류","F",$K14="개선사항","F",$K14="치명적오류","F",$K14="미진행","N"),"")</f>
        <v/>
      </c>
      <c r="K14" s="250" t="inlineStr">
        <is>
          <t>정상</t>
        </is>
      </c>
      <c r="L14" s="248" t="inlineStr">
        <is>
          <t>정상 패스</t>
        </is>
      </c>
      <c r="M14" s="66" t="inlineStr">
        <is>
          <t>-</t>
        </is>
      </c>
      <c r="N14" s="73" t="n"/>
      <c r="O14" s="19" t="n"/>
      <c r="P14" s="2" t="n"/>
    </row>
    <row r="15">
      <c r="A15" s="247" t="inlineStr">
        <is>
          <t>TS_AI_0300</t>
        </is>
      </c>
      <c r="B15" s="248" t="inlineStr">
        <is>
          <t>3단계 Agent 문맥심의</t>
        </is>
      </c>
      <c r="C15" s="247" t="inlineStr">
        <is>
          <t>TC_AI_0304</t>
        </is>
      </c>
      <c r="D15" s="248" t="inlineStr">
        <is>
          <t>판정 지연 타임아웃(5초) 처리</t>
        </is>
      </c>
      <c r="E15" s="247" t="inlineStr">
        <is>
          <t>SCR_REV_01</t>
        </is>
      </c>
      <c r="F15" s="248" t="inlineStr">
        <is>
          <t>LLM 응답 지연 시 1/2단계 결과 기반 안전 폴백 판정</t>
        </is>
      </c>
      <c r="G15" s="249" t="inlineStr">
        <is>
          <t>2026-10-16</t>
        </is>
      </c>
      <c r="H15" s="249" t="inlineStr">
        <is>
          <t>EMPASY QA팀</t>
        </is>
      </c>
      <c r="I15" s="249" t="inlineStr">
        <is>
          <t>Agent</t>
        </is>
      </c>
      <c r="J15" s="249">
        <f>IFERROR(_xlfn.IFS($K15="정상","P",$K15="단순오류","F",$K15="개선사항","F",$K15="치명적오류","F",$K15="미진행","N"),"")</f>
        <v/>
      </c>
      <c r="K15" s="250" t="inlineStr">
        <is>
          <t>정상</t>
        </is>
      </c>
      <c r="L15" s="248" t="inlineStr">
        <is>
          <t>정상 패스</t>
        </is>
      </c>
      <c r="M15" s="66" t="inlineStr">
        <is>
          <t>-</t>
        </is>
      </c>
      <c r="N15" s="73" t="n"/>
      <c r="O15" s="19" t="n"/>
      <c r="P15" s="2" t="n"/>
    </row>
    <row r="16">
      <c r="A16" s="247" t="inlineStr">
        <is>
          <t>TS_AI_0300</t>
        </is>
      </c>
      <c r="B16" s="248" t="inlineStr">
        <is>
          <t>3단계 Agent 문맥심의</t>
        </is>
      </c>
      <c r="C16" s="247" t="inlineStr">
        <is>
          <t>TC_AI_0305</t>
        </is>
      </c>
      <c r="D16" s="248" t="inlineStr">
        <is>
          <t>불변 감사 판정 로그 DB 적재</t>
        </is>
      </c>
      <c r="E16" s="247" t="inlineStr">
        <is>
          <t>SCR_REV_01</t>
        </is>
      </c>
      <c r="F16" s="248" t="inlineStr">
        <is>
          <t>판정 근거와 단계별 점수가 DB에 위변조 방지 해시 적재</t>
        </is>
      </c>
      <c r="G16" s="249" t="inlineStr">
        <is>
          <t>2026-10-16</t>
        </is>
      </c>
      <c r="H16" s="249" t="inlineStr">
        <is>
          <t>EMPASY QA팀</t>
        </is>
      </c>
      <c r="I16" s="249" t="inlineStr">
        <is>
          <t>DB</t>
        </is>
      </c>
      <c r="J16" s="249">
        <f>IFERROR(_xlfn.IFS($K16="정상","P",$K16="단순오류","F",$K16="개선사항","F",$K16="치명적오류","F",$K16="미진행","N"),"")</f>
        <v/>
      </c>
      <c r="K16" s="250" t="inlineStr">
        <is>
          <t>정상</t>
        </is>
      </c>
      <c r="L16" s="248" t="inlineStr">
        <is>
          <t>정상 패스</t>
        </is>
      </c>
      <c r="M16" s="75" t="inlineStr">
        <is>
          <t>-</t>
        </is>
      </c>
      <c r="N16" s="73" t="n"/>
      <c r="O16" s="19" t="n"/>
      <c r="P16" s="2" t="n"/>
    </row>
    <row r="17">
      <c r="A17" s="17" t="n"/>
      <c r="B17" s="14" t="n"/>
      <c r="C17" s="17" t="n"/>
      <c r="D17" s="14" t="n"/>
      <c r="E17" s="21" t="n"/>
      <c r="F17" s="57" t="n"/>
      <c r="G17" s="251" t="n"/>
      <c r="H17" s="252" t="n"/>
      <c r="I17" s="252" t="n"/>
      <c r="J17" s="252" t="n"/>
      <c r="K17" s="13" t="n"/>
      <c r="L17" s="69" t="n"/>
      <c r="M17" s="66" t="inlineStr">
        <is>
          <t>조치완료</t>
        </is>
      </c>
      <c r="N17" s="73" t="inlineStr">
        <is>
          <t>2026-09-22</t>
        </is>
      </c>
      <c r="O17" s="19" t="inlineStr">
        <is>
          <t>AI엔진개발팀</t>
        </is>
      </c>
      <c r="P17" s="2" t="n"/>
    </row>
    <row r="18">
      <c r="A18" s="17" t="n"/>
      <c r="B18" s="14" t="n"/>
      <c r="C18" s="17" t="n"/>
      <c r="D18" s="14" t="n"/>
      <c r="E18" s="21" t="n"/>
      <c r="F18" s="57" t="n"/>
      <c r="G18" s="251" t="n"/>
      <c r="H18" s="252" t="n"/>
      <c r="I18" s="252" t="n"/>
      <c r="J18" s="252" t="n"/>
      <c r="K18" s="13" t="n"/>
      <c r="L18" s="69" t="n"/>
      <c r="M18" s="66" t="inlineStr">
        <is>
          <t>-</t>
        </is>
      </c>
      <c r="N18" s="73" t="n"/>
      <c r="O18" s="19" t="n"/>
      <c r="P18" s="2" t="n"/>
    </row>
    <row r="19">
      <c r="A19" s="17" t="n"/>
      <c r="B19" s="14" t="n"/>
      <c r="C19" s="17" t="n"/>
      <c r="D19" s="14" t="n"/>
      <c r="E19" s="21" t="n"/>
      <c r="F19" s="57" t="n"/>
      <c r="G19" s="251" t="n"/>
      <c r="H19" s="252" t="n"/>
      <c r="I19" s="252" t="n"/>
      <c r="J19" s="252" t="n"/>
      <c r="K19" s="13" t="n"/>
      <c r="L19" s="69" t="n"/>
      <c r="M19" s="66" t="inlineStr">
        <is>
          <t>조치완료</t>
        </is>
      </c>
      <c r="N19" s="73" t="inlineStr">
        <is>
          <t>2026-09-22</t>
        </is>
      </c>
      <c r="O19" s="19" t="inlineStr">
        <is>
          <t>AI엔진개발팀</t>
        </is>
      </c>
      <c r="P19" s="2" t="n"/>
    </row>
    <row r="20">
      <c r="A20" s="17" t="n"/>
      <c r="B20" s="14" t="n"/>
      <c r="C20" s="17" t="n"/>
      <c r="D20" s="14" t="n"/>
      <c r="E20" s="21" t="n"/>
      <c r="F20" s="57" t="n"/>
      <c r="G20" s="251" t="n"/>
      <c r="H20" s="252" t="n"/>
      <c r="I20" s="252" t="n"/>
      <c r="J20" s="252" t="n"/>
      <c r="K20" s="13" t="n"/>
      <c r="L20" s="69" t="n"/>
      <c r="M20" s="75" t="inlineStr">
        <is>
          <t>-</t>
        </is>
      </c>
      <c r="N20" s="73" t="n"/>
      <c r="O20" s="19" t="n"/>
      <c r="P20" s="2" t="n"/>
    </row>
    <row r="21">
      <c r="A21" s="17" t="n"/>
      <c r="B21" s="14" t="n"/>
      <c r="C21" s="17" t="n"/>
      <c r="D21" s="14" t="n"/>
      <c r="E21" s="21" t="n"/>
      <c r="F21" s="57" t="n"/>
      <c r="G21" s="251" t="n"/>
      <c r="H21" s="252" t="n"/>
      <c r="I21" s="252" t="n"/>
      <c r="J21" s="252" t="n"/>
      <c r="K21" s="13" t="n"/>
      <c r="L21" s="69" t="n"/>
      <c r="M21" s="66" t="inlineStr">
        <is>
          <t>-</t>
        </is>
      </c>
      <c r="N21" s="73" t="n"/>
      <c r="O21" s="19" t="n"/>
      <c r="P21" s="2" t="n"/>
    </row>
    <row r="22" ht="24" customHeight="1" s="185">
      <c r="A22" s="17" t="n"/>
      <c r="B22" s="14" t="n"/>
      <c r="C22" s="17" t="n"/>
      <c r="D22" s="14" t="n"/>
      <c r="E22" s="21" t="n"/>
      <c r="F22" s="57" t="n"/>
      <c r="G22" s="251" t="n"/>
      <c r="H22" s="252" t="n"/>
      <c r="I22" s="252" t="n"/>
      <c r="J22" s="252" t="n"/>
      <c r="K22" s="13" t="n"/>
      <c r="L22" s="69" t="n"/>
      <c r="M22" s="66" t="inlineStr">
        <is>
          <t>-</t>
        </is>
      </c>
      <c r="N22" s="73" t="n"/>
      <c r="O22" s="19" t="n"/>
      <c r="P22" s="2" t="n"/>
    </row>
    <row r="23">
      <c r="A23" s="17" t="n"/>
      <c r="B23" s="14" t="n"/>
      <c r="C23" s="17" t="n"/>
      <c r="D23" s="14" t="n"/>
      <c r="E23" s="21" t="n"/>
      <c r="F23" s="57" t="n"/>
      <c r="G23" s="251" t="n"/>
      <c r="H23" s="252" t="n"/>
      <c r="I23" s="252" t="n"/>
      <c r="J23" s="252" t="n"/>
      <c r="K23" s="13" t="n"/>
      <c r="L23" s="69" t="n"/>
      <c r="M23" s="66" t="inlineStr">
        <is>
          <t>확인중</t>
        </is>
      </c>
      <c r="N23" s="73" t="n"/>
      <c r="O23" s="19" t="inlineStr">
        <is>
          <t>임개발</t>
        </is>
      </c>
      <c r="P23" s="2" t="n"/>
    </row>
    <row r="24">
      <c r="A24" s="17" t="n"/>
      <c r="B24" s="14" t="n"/>
      <c r="C24" s="17" t="n"/>
      <c r="D24" s="14" t="n"/>
      <c r="E24" s="21" t="n"/>
      <c r="F24" s="57" t="n"/>
      <c r="G24" s="251" t="n"/>
      <c r="H24" s="252" t="n"/>
      <c r="I24" s="252" t="n"/>
      <c r="J24" s="252" t="n"/>
      <c r="K24" s="13" t="n"/>
      <c r="L24" s="68" t="n"/>
      <c r="M24" s="66" t="inlineStr">
        <is>
          <t>-</t>
        </is>
      </c>
      <c r="N24" s="73" t="n"/>
      <c r="O24" s="19" t="n"/>
      <c r="P24" s="3" t="n"/>
    </row>
    <row r="25">
      <c r="A25" s="17" t="n"/>
      <c r="B25" s="14" t="n"/>
      <c r="C25" s="17" t="n"/>
      <c r="D25" s="14" t="n"/>
      <c r="E25" s="21" t="n"/>
      <c r="F25" s="57" t="n"/>
      <c r="G25" s="251" t="n"/>
      <c r="H25" s="252" t="n"/>
      <c r="I25" s="252" t="n"/>
      <c r="J25" s="252" t="n"/>
      <c r="K25" s="13" t="n"/>
      <c r="L25" s="68" t="n"/>
      <c r="M25" s="66" t="inlineStr">
        <is>
          <t>-</t>
        </is>
      </c>
      <c r="N25" s="73" t="n"/>
      <c r="O25" s="19" t="n"/>
      <c r="P25" s="3" t="n"/>
    </row>
    <row r="26">
      <c r="A26" s="17" t="n"/>
      <c r="B26" s="14" t="n"/>
      <c r="C26" s="17" t="n"/>
      <c r="D26" s="14" t="n"/>
      <c r="E26" s="21" t="n"/>
      <c r="F26" s="57" t="n"/>
      <c r="G26" s="251" t="n"/>
      <c r="H26" s="252" t="n"/>
      <c r="I26" s="252" t="n"/>
      <c r="J26" s="252" t="n"/>
      <c r="K26" s="13" t="n"/>
      <c r="L26" s="69" t="n"/>
      <c r="M26" s="75" t="inlineStr">
        <is>
          <t>확인중</t>
        </is>
      </c>
      <c r="N26" s="73" t="n"/>
      <c r="O26" s="19" t="inlineStr">
        <is>
          <t>AI엔진개발팀</t>
        </is>
      </c>
      <c r="P26" s="2" t="n"/>
    </row>
    <row r="27">
      <c r="A27" s="17" t="n"/>
      <c r="B27" s="14" t="n"/>
      <c r="C27" s="17" t="n"/>
      <c r="D27" s="14" t="n"/>
      <c r="E27" s="21" t="n"/>
      <c r="F27" s="57" t="n"/>
      <c r="G27" s="251" t="n"/>
      <c r="H27" s="252" t="n"/>
      <c r="I27" s="252" t="n"/>
      <c r="J27" s="252" t="n"/>
      <c r="K27" s="13" t="n"/>
      <c r="L27" s="69" t="n"/>
      <c r="M27" s="75" t="inlineStr">
        <is>
          <t>-</t>
        </is>
      </c>
      <c r="N27" s="73" t="n"/>
      <c r="O27" s="19" t="n"/>
      <c r="P27" s="2" t="n"/>
    </row>
    <row r="28">
      <c r="A28" s="17" t="n"/>
      <c r="B28" s="14" t="n"/>
      <c r="C28" s="17" t="n"/>
      <c r="D28" s="14" t="n"/>
      <c r="E28" s="21" t="n"/>
      <c r="F28" s="57" t="n"/>
      <c r="G28" s="251" t="n"/>
      <c r="H28" s="252" t="n"/>
      <c r="I28" s="252" t="n"/>
      <c r="J28" s="252" t="n"/>
      <c r="K28" s="13" t="n"/>
      <c r="L28" s="69" t="n"/>
      <c r="M28" s="75" t="inlineStr">
        <is>
          <t>-</t>
        </is>
      </c>
      <c r="N28" s="73" t="n"/>
      <c r="O28" s="19" t="n"/>
      <c r="P28" s="2" t="n"/>
    </row>
    <row r="29">
      <c r="A29" s="17" t="n"/>
      <c r="B29" s="14" t="n"/>
      <c r="C29" s="17" t="n"/>
      <c r="D29" s="14" t="n"/>
      <c r="E29" s="21" t="n"/>
      <c r="F29" s="57" t="n"/>
      <c r="G29" s="251" t="n"/>
      <c r="H29" s="252" t="n"/>
      <c r="I29" s="252" t="n"/>
      <c r="J29" s="252" t="n"/>
      <c r="K29" s="13" t="n"/>
      <c r="L29" s="69" t="n"/>
      <c r="M29" s="66" t="inlineStr">
        <is>
          <t>조치중</t>
        </is>
      </c>
      <c r="N29" s="73" t="n"/>
      <c r="O29" s="19" t="inlineStr">
        <is>
          <t>AI엔진개발팀</t>
        </is>
      </c>
      <c r="P29" s="2" t="n"/>
    </row>
    <row r="30">
      <c r="A30" s="17" t="n"/>
      <c r="B30" s="14" t="n"/>
      <c r="C30" s="17" t="n"/>
      <c r="D30" s="14" t="n"/>
      <c r="E30" s="21" t="n"/>
      <c r="F30" s="57" t="n"/>
      <c r="G30" s="251" t="n"/>
      <c r="H30" s="252" t="n"/>
      <c r="I30" s="252" t="n"/>
      <c r="J30" s="252" t="n"/>
      <c r="K30" s="13" t="n"/>
      <c r="L30" s="68" t="n"/>
      <c r="M30" s="66" t="inlineStr">
        <is>
          <t>조치중</t>
        </is>
      </c>
      <c r="N30" s="73" t="n"/>
      <c r="O30" s="19" t="inlineStr">
        <is>
          <t>AI엔진개발팀</t>
        </is>
      </c>
      <c r="P30" s="3" t="n"/>
    </row>
    <row r="31">
      <c r="A31" s="17" t="n"/>
      <c r="B31" s="14" t="n"/>
      <c r="C31" s="17" t="n"/>
      <c r="D31" s="14" t="n"/>
      <c r="E31" s="21" t="n"/>
      <c r="F31" s="57" t="n"/>
      <c r="G31" s="251" t="n"/>
      <c r="H31" s="252" t="n"/>
      <c r="I31" s="252" t="n"/>
      <c r="J31" s="252" t="n"/>
      <c r="K31" s="13" t="n"/>
      <c r="L31" s="68" t="n"/>
      <c r="M31" s="66" t="inlineStr">
        <is>
          <t>조치완료</t>
        </is>
      </c>
      <c r="N31" s="73" t="inlineStr">
        <is>
          <t>2026-09-22</t>
        </is>
      </c>
      <c r="O31" s="19" t="inlineStr">
        <is>
          <t>AI엔진개발팀</t>
        </is>
      </c>
      <c r="P31" s="3" t="n"/>
    </row>
    <row r="32">
      <c r="A32" s="17" t="n"/>
      <c r="B32" s="14" t="n"/>
      <c r="C32" s="17" t="n"/>
      <c r="D32" s="14" t="n"/>
      <c r="E32" s="17" t="n"/>
      <c r="F32" s="57" t="n"/>
      <c r="G32" s="251" t="n"/>
      <c r="H32" s="252" t="n"/>
      <c r="I32" s="252" t="n"/>
      <c r="J32" s="252" t="n"/>
      <c r="K32" s="13" t="n"/>
      <c r="L32" s="69" t="n"/>
      <c r="M32" s="66" t="n"/>
      <c r="N32" s="73" t="n"/>
      <c r="O32" s="19" t="n"/>
      <c r="P32" s="2" t="n"/>
    </row>
    <row r="33">
      <c r="A33" s="17" t="n"/>
      <c r="B33" s="14" t="n"/>
      <c r="C33" s="17" t="n"/>
      <c r="D33" s="14" t="n"/>
      <c r="E33" s="17" t="n"/>
      <c r="F33" s="57" t="n"/>
      <c r="G33" s="251" t="n"/>
      <c r="H33" s="252" t="n"/>
      <c r="I33" s="252" t="n"/>
      <c r="J33" s="252" t="n"/>
      <c r="K33" s="13" t="n"/>
      <c r="L33" s="69" t="n"/>
      <c r="M33" s="66" t="n"/>
      <c r="N33" s="73" t="n"/>
      <c r="O33" s="19" t="n"/>
      <c r="P33" s="2" t="n"/>
    </row>
    <row r="34">
      <c r="A34" s="17" t="n"/>
      <c r="B34" s="14" t="n"/>
      <c r="C34" s="17" t="n"/>
      <c r="D34" s="14" t="n"/>
      <c r="E34" s="17" t="n"/>
      <c r="F34" s="57" t="n"/>
      <c r="G34" s="251" t="n"/>
      <c r="H34" s="252" t="n"/>
      <c r="I34" s="252" t="n"/>
      <c r="J34" s="252" t="n"/>
      <c r="K34" s="13" t="n"/>
      <c r="L34" s="69" t="n"/>
      <c r="M34" s="66" t="n"/>
      <c r="N34" s="73" t="n"/>
      <c r="O34" s="19" t="n"/>
      <c r="P34" s="2" t="n"/>
    </row>
    <row r="35">
      <c r="A35" s="17" t="n"/>
      <c r="B35" s="14" t="n"/>
      <c r="C35" s="17" t="n"/>
      <c r="D35" s="14" t="n"/>
      <c r="E35" s="17" t="n"/>
      <c r="F35" s="57" t="n"/>
      <c r="G35" s="251" t="n"/>
      <c r="H35" s="252" t="n"/>
      <c r="I35" s="252" t="n"/>
      <c r="J35" s="252" t="n"/>
      <c r="K35" s="13" t="n"/>
      <c r="L35" s="69" t="n"/>
      <c r="M35" s="66" t="n"/>
      <c r="N35" s="73" t="n"/>
      <c r="O35" s="19" t="n"/>
      <c r="P35" s="2" t="n"/>
    </row>
    <row r="36">
      <c r="A36" s="17" t="n"/>
      <c r="B36" s="14" t="n"/>
      <c r="C36" s="17" t="n"/>
      <c r="D36" s="14" t="n"/>
      <c r="E36" s="17" t="n"/>
      <c r="F36" s="57" t="n"/>
      <c r="G36" s="251" t="n"/>
      <c r="H36" s="252" t="n"/>
      <c r="I36" s="252" t="n"/>
      <c r="J36" s="252" t="n"/>
      <c r="K36" s="13" t="n"/>
      <c r="L36" s="69" t="n"/>
      <c r="M36" s="66" t="n"/>
      <c r="N36" s="73" t="n"/>
      <c r="O36" s="19" t="n"/>
      <c r="P36" s="2" t="n"/>
    </row>
    <row r="37">
      <c r="A37" s="17" t="n"/>
      <c r="B37" s="14" t="n"/>
      <c r="C37" s="17" t="n"/>
      <c r="D37" s="14" t="n"/>
      <c r="E37" s="17" t="n"/>
      <c r="F37" s="57" t="n"/>
      <c r="G37" s="251" t="n"/>
      <c r="H37" s="252" t="n"/>
      <c r="I37" s="252" t="n"/>
      <c r="J37" s="252" t="n"/>
      <c r="K37" s="13" t="n"/>
      <c r="L37" s="69" t="n"/>
      <c r="M37" s="66" t="n"/>
      <c r="N37" s="73" t="n"/>
      <c r="O37" s="19" t="n"/>
      <c r="P37" s="2" t="n"/>
    </row>
    <row r="38">
      <c r="A38" s="17" t="n"/>
      <c r="B38" s="14" t="n"/>
      <c r="C38" s="17" t="n"/>
      <c r="D38" s="14" t="n"/>
      <c r="E38" s="17" t="n"/>
      <c r="F38" s="57" t="n"/>
      <c r="G38" s="251" t="n"/>
      <c r="H38" s="252" t="n"/>
      <c r="I38" s="252" t="n"/>
      <c r="J38" s="252" t="n"/>
      <c r="K38" s="13" t="n"/>
      <c r="L38" s="69" t="n"/>
      <c r="M38" s="66" t="n"/>
      <c r="N38" s="73" t="n"/>
      <c r="O38" s="19" t="n"/>
      <c r="P38" s="2" t="n"/>
    </row>
    <row r="39">
      <c r="A39" s="17" t="n"/>
      <c r="B39" s="14" t="n"/>
      <c r="C39" s="17" t="n"/>
      <c r="D39" s="14" t="n"/>
      <c r="E39" s="17" t="n"/>
      <c r="F39" s="57" t="n"/>
      <c r="G39" s="251" t="n"/>
      <c r="H39" s="252" t="n"/>
      <c r="I39" s="252" t="n"/>
      <c r="J39" s="252" t="n"/>
      <c r="K39" s="13" t="n"/>
      <c r="L39" s="69" t="n"/>
      <c r="M39" s="66" t="n"/>
      <c r="N39" s="73" t="n"/>
      <c r="O39" s="19" t="n"/>
      <c r="P39" s="2" t="n"/>
    </row>
    <row r="40">
      <c r="A40" s="17" t="n"/>
      <c r="B40" s="14" t="n"/>
      <c r="C40" s="17" t="n"/>
      <c r="D40" s="14" t="n"/>
      <c r="E40" s="17" t="n"/>
      <c r="F40" s="57" t="n"/>
      <c r="G40" s="251" t="n"/>
      <c r="H40" s="252" t="n"/>
      <c r="I40" s="252" t="n"/>
      <c r="J40" s="252" t="n"/>
      <c r="K40" s="13" t="n"/>
      <c r="L40" s="69" t="n"/>
      <c r="M40" s="66" t="n"/>
      <c r="N40" s="73" t="n"/>
      <c r="O40" s="19" t="n"/>
      <c r="P40" s="2" t="n"/>
    </row>
    <row r="41">
      <c r="A41" s="17" t="n"/>
      <c r="B41" s="14" t="n"/>
      <c r="C41" s="17" t="n"/>
      <c r="D41" s="14" t="n"/>
      <c r="E41" s="17" t="n"/>
      <c r="F41" s="57" t="n"/>
      <c r="G41" s="251" t="n"/>
      <c r="H41" s="252" t="n"/>
      <c r="I41" s="252" t="n"/>
      <c r="J41" s="252" t="n"/>
      <c r="K41" s="13" t="n"/>
      <c r="L41" s="69" t="n"/>
      <c r="M41" s="66" t="n"/>
      <c r="N41" s="73" t="n"/>
      <c r="O41" s="19" t="n"/>
      <c r="P41" s="2" t="n"/>
    </row>
    <row r="42">
      <c r="A42" s="17" t="n"/>
      <c r="B42" s="14" t="n"/>
      <c r="C42" s="17" t="n"/>
      <c r="D42" s="14" t="n"/>
      <c r="E42" s="17" t="n"/>
      <c r="F42" s="57" t="n"/>
      <c r="G42" s="251" t="n"/>
      <c r="H42" s="252" t="n"/>
      <c r="I42" s="252" t="n"/>
      <c r="J42" s="252" t="n"/>
      <c r="K42" s="13" t="n"/>
      <c r="L42" s="69" t="n"/>
      <c r="M42" s="66" t="n"/>
      <c r="N42" s="73" t="n"/>
      <c r="O42" s="19" t="n"/>
      <c r="P42" s="2" t="n"/>
    </row>
    <row r="43">
      <c r="A43" s="17" t="n"/>
      <c r="B43" s="14" t="n"/>
      <c r="C43" s="17" t="n"/>
      <c r="D43" s="14" t="n"/>
      <c r="E43" s="17" t="n"/>
      <c r="F43" s="57" t="n"/>
      <c r="G43" s="251" t="n"/>
      <c r="H43" s="252" t="n"/>
      <c r="I43" s="252" t="n"/>
      <c r="J43" s="252" t="n"/>
      <c r="K43" s="13" t="n"/>
      <c r="L43" s="69" t="n"/>
      <c r="M43" s="66" t="n"/>
      <c r="N43" s="73" t="n"/>
      <c r="O43" s="19" t="n"/>
      <c r="P43" s="2" t="n"/>
    </row>
    <row r="44">
      <c r="A44" s="17" t="n"/>
      <c r="B44" s="14" t="n"/>
      <c r="C44" s="17" t="n"/>
      <c r="D44" s="14" t="n"/>
      <c r="E44" s="17" t="n"/>
      <c r="F44" s="57" t="n"/>
      <c r="G44" s="251" t="n"/>
      <c r="H44" s="252" t="n"/>
      <c r="I44" s="252" t="n"/>
      <c r="J44" s="252" t="n"/>
      <c r="K44" s="13" t="n"/>
      <c r="L44" s="69" t="n"/>
      <c r="M44" s="66" t="n"/>
      <c r="N44" s="73" t="n"/>
      <c r="O44" s="19" t="n"/>
      <c r="P44" s="2" t="n"/>
    </row>
    <row r="45">
      <c r="A45" s="17" t="n"/>
      <c r="B45" s="14" t="n"/>
      <c r="C45" s="17" t="n"/>
      <c r="D45" s="14" t="n"/>
      <c r="E45" s="17" t="n"/>
      <c r="F45" s="57" t="n"/>
      <c r="G45" s="251" t="n"/>
      <c r="H45" s="252" t="n"/>
      <c r="I45" s="252" t="n"/>
      <c r="J45" s="252" t="n"/>
      <c r="K45" s="13" t="n"/>
      <c r="L45" s="69" t="n"/>
      <c r="M45" s="66" t="n"/>
      <c r="N45" s="73" t="n"/>
      <c r="O45" s="19" t="n"/>
      <c r="P45" s="2" t="n"/>
    </row>
    <row r="46">
      <c r="A46" s="17" t="n"/>
      <c r="B46" s="14" t="n"/>
      <c r="C46" s="17" t="n"/>
      <c r="D46" s="14" t="n"/>
      <c r="E46" s="17" t="n"/>
      <c r="F46" s="57" t="n"/>
      <c r="G46" s="251" t="n"/>
      <c r="H46" s="252" t="n"/>
      <c r="I46" s="252" t="n"/>
      <c r="J46" s="252" t="n"/>
      <c r="K46" s="13" t="n"/>
      <c r="L46" s="69" t="n"/>
      <c r="M46" s="66" t="n"/>
      <c r="N46" s="73" t="n"/>
      <c r="O46" s="19" t="n"/>
      <c r="P46" s="2" t="n"/>
    </row>
    <row r="47">
      <c r="A47" s="17" t="n"/>
      <c r="B47" s="14" t="n"/>
      <c r="C47" s="17" t="n"/>
      <c r="D47" s="14" t="n"/>
      <c r="E47" s="17" t="n"/>
      <c r="F47" s="57" t="n"/>
      <c r="G47" s="251" t="n"/>
      <c r="H47" s="252" t="n"/>
      <c r="I47" s="252" t="n"/>
      <c r="J47" s="252" t="n"/>
      <c r="K47" s="13" t="n"/>
      <c r="L47" s="69" t="n"/>
      <c r="M47" s="66" t="n"/>
      <c r="N47" s="73" t="n"/>
      <c r="O47" s="19" t="n"/>
      <c r="P47" s="2" t="n"/>
    </row>
    <row r="48">
      <c r="A48" s="17" t="n"/>
      <c r="B48" s="14" t="n"/>
      <c r="C48" s="17" t="n"/>
      <c r="D48" s="14" t="n"/>
      <c r="E48" s="17" t="n"/>
      <c r="F48" s="57" t="n"/>
      <c r="G48" s="251" t="n"/>
      <c r="H48" s="252" t="n"/>
      <c r="I48" s="252" t="n"/>
      <c r="J48" s="252" t="n"/>
      <c r="K48" s="13" t="n"/>
      <c r="L48" s="69" t="n"/>
      <c r="M48" s="66" t="n"/>
      <c r="N48" s="73" t="n"/>
      <c r="O48" s="19" t="n"/>
      <c r="P48" s="2" t="n"/>
    </row>
    <row r="49">
      <c r="A49" s="17" t="n"/>
      <c r="B49" s="14" t="n"/>
      <c r="C49" s="17" t="n"/>
      <c r="D49" s="14" t="n"/>
      <c r="E49" s="17" t="n"/>
      <c r="F49" s="57" t="n"/>
      <c r="G49" s="251" t="n"/>
      <c r="H49" s="252" t="n"/>
      <c r="I49" s="252" t="n"/>
      <c r="J49" s="252" t="n"/>
      <c r="K49" s="13" t="n"/>
      <c r="L49" s="69" t="n"/>
      <c r="M49" s="66" t="n"/>
      <c r="N49" s="73" t="n"/>
      <c r="O49" s="19" t="n"/>
      <c r="P49" s="2" t="n"/>
    </row>
    <row r="50">
      <c r="A50" s="17" t="n"/>
      <c r="B50" s="14" t="n"/>
      <c r="C50" s="17" t="n"/>
      <c r="D50" s="14" t="n"/>
      <c r="E50" s="17" t="n"/>
      <c r="F50" s="57" t="n"/>
      <c r="G50" s="251" t="n"/>
      <c r="H50" s="252" t="n"/>
      <c r="I50" s="252" t="n"/>
      <c r="J50" s="252" t="n"/>
      <c r="K50" s="13" t="n"/>
      <c r="L50" s="69" t="n"/>
      <c r="M50" s="66" t="n"/>
      <c r="N50" s="73" t="n"/>
      <c r="O50" s="19" t="n"/>
      <c r="P50" s="2" t="n"/>
    </row>
    <row r="51">
      <c r="A51" s="17" t="n"/>
      <c r="B51" s="14" t="n"/>
      <c r="C51" s="17" t="n"/>
      <c r="D51" s="14" t="n"/>
      <c r="E51" s="17" t="n"/>
      <c r="F51" s="57" t="n"/>
      <c r="G51" s="251" t="n"/>
      <c r="H51" s="252" t="n"/>
      <c r="I51" s="252" t="n"/>
      <c r="J51" s="252" t="n"/>
      <c r="K51" s="13" t="n"/>
      <c r="L51" s="69" t="n"/>
      <c r="M51" s="66" t="n"/>
      <c r="N51" s="73" t="n"/>
      <c r="O51" s="19" t="n"/>
      <c r="P51" s="2" t="n"/>
    </row>
    <row r="52">
      <c r="A52" s="17" t="n"/>
      <c r="B52" s="14" t="n"/>
      <c r="C52" s="17" t="n"/>
      <c r="D52" s="14" t="n"/>
      <c r="E52" s="17" t="n"/>
      <c r="F52" s="57" t="n"/>
      <c r="G52" s="251" t="n"/>
      <c r="H52" s="252" t="n"/>
      <c r="I52" s="252" t="n"/>
      <c r="J52" s="252" t="n"/>
      <c r="K52" s="13" t="n"/>
      <c r="L52" s="69" t="n"/>
      <c r="M52" s="66" t="n"/>
      <c r="N52" s="73" t="n"/>
      <c r="O52" s="19" t="n"/>
      <c r="P52" s="2" t="n"/>
    </row>
    <row r="53">
      <c r="A53" s="17" t="n"/>
      <c r="B53" s="14" t="n"/>
      <c r="C53" s="17" t="n"/>
      <c r="D53" s="14" t="n"/>
      <c r="E53" s="17" t="n"/>
      <c r="F53" s="57" t="n"/>
      <c r="G53" s="251" t="n"/>
      <c r="H53" s="252" t="n"/>
      <c r="I53" s="252" t="n"/>
      <c r="J53" s="252" t="n"/>
      <c r="K53" s="13" t="n"/>
      <c r="L53" s="69" t="n"/>
      <c r="M53" s="66" t="n"/>
      <c r="N53" s="73" t="n"/>
      <c r="O53" s="19" t="n"/>
      <c r="P53" s="2" t="n"/>
    </row>
    <row r="54">
      <c r="A54" s="17" t="n"/>
      <c r="B54" s="14" t="n"/>
      <c r="C54" s="17" t="n"/>
      <c r="D54" s="14" t="n"/>
      <c r="E54" s="17" t="n"/>
      <c r="F54" s="57" t="n"/>
      <c r="G54" s="251" t="n"/>
      <c r="H54" s="252" t="n"/>
      <c r="I54" s="252" t="n"/>
      <c r="J54" s="252" t="n"/>
      <c r="K54" s="13" t="n"/>
      <c r="L54" s="69" t="n"/>
      <c r="M54" s="66" t="n"/>
      <c r="N54" s="73" t="n"/>
      <c r="O54" s="19" t="n"/>
      <c r="P54" s="2" t="n"/>
    </row>
    <row r="55">
      <c r="A55" s="17" t="n"/>
      <c r="B55" s="14" t="n"/>
      <c r="C55" s="17" t="n"/>
      <c r="D55" s="14" t="n"/>
      <c r="E55" s="17" t="n"/>
      <c r="F55" s="57" t="n"/>
      <c r="G55" s="251" t="n"/>
      <c r="H55" s="252" t="n"/>
      <c r="I55" s="252" t="n"/>
      <c r="J55" s="252" t="n"/>
      <c r="K55" s="13" t="n"/>
      <c r="L55" s="69" t="n"/>
      <c r="M55" s="66" t="n"/>
      <c r="N55" s="73" t="n"/>
      <c r="O55" s="19" t="n"/>
      <c r="P55" s="2" t="n"/>
    </row>
    <row r="56">
      <c r="A56" s="17" t="n"/>
      <c r="B56" s="14" t="n"/>
      <c r="C56" s="17" t="n"/>
      <c r="D56" s="14" t="n"/>
      <c r="E56" s="17" t="n"/>
      <c r="F56" s="57" t="n"/>
      <c r="G56" s="251" t="n"/>
      <c r="H56" s="252" t="n"/>
      <c r="I56" s="252" t="n"/>
      <c r="J56" s="252" t="n"/>
      <c r="K56" s="13" t="n"/>
      <c r="L56" s="69" t="n"/>
      <c r="M56" s="66" t="n"/>
      <c r="N56" s="73" t="n"/>
      <c r="O56" s="19" t="n"/>
      <c r="P56" s="2" t="n"/>
    </row>
    <row r="57">
      <c r="A57" s="17" t="n"/>
      <c r="B57" s="14" t="n"/>
      <c r="C57" s="17" t="n"/>
      <c r="D57" s="14" t="n"/>
      <c r="E57" s="17" t="n"/>
      <c r="F57" s="57" t="n"/>
      <c r="G57" s="251" t="n"/>
      <c r="H57" s="252" t="n"/>
      <c r="I57" s="252" t="n"/>
      <c r="J57" s="252" t="n"/>
      <c r="K57" s="13" t="n"/>
      <c r="L57" s="69" t="n"/>
      <c r="M57" s="66" t="n"/>
      <c r="N57" s="73" t="n"/>
      <c r="O57" s="19" t="n"/>
      <c r="P57" s="2" t="n"/>
    </row>
    <row r="58">
      <c r="A58" s="17" t="n"/>
      <c r="B58" s="14" t="n"/>
      <c r="C58" s="17" t="n"/>
      <c r="D58" s="14" t="n"/>
      <c r="E58" s="17" t="n"/>
      <c r="F58" s="57" t="n"/>
      <c r="G58" s="251" t="n"/>
      <c r="H58" s="252" t="n"/>
      <c r="I58" s="252" t="n"/>
      <c r="J58" s="252" t="n"/>
      <c r="K58" s="13" t="n"/>
      <c r="L58" s="69" t="n"/>
      <c r="M58" s="66" t="n"/>
      <c r="N58" s="73" t="n"/>
      <c r="O58" s="19" t="n"/>
      <c r="P58" s="2" t="n"/>
    </row>
    <row r="59">
      <c r="A59" s="17" t="n"/>
      <c r="B59" s="14" t="n"/>
      <c r="C59" s="17" t="n"/>
      <c r="D59" s="14" t="n"/>
      <c r="E59" s="17" t="n"/>
      <c r="F59" s="57" t="n"/>
      <c r="G59" s="251" t="n"/>
      <c r="H59" s="252" t="n"/>
      <c r="I59" s="252" t="n"/>
      <c r="J59" s="252" t="n"/>
      <c r="K59" s="13" t="n"/>
      <c r="L59" s="69" t="n"/>
      <c r="M59" s="66" t="n"/>
      <c r="N59" s="73" t="n"/>
      <c r="O59" s="19" t="n"/>
      <c r="P59" s="2" t="n"/>
    </row>
    <row r="60">
      <c r="A60" s="17" t="n"/>
      <c r="B60" s="14" t="n"/>
      <c r="C60" s="17" t="n"/>
      <c r="D60" s="14" t="n"/>
      <c r="E60" s="17" t="n"/>
      <c r="F60" s="57" t="n"/>
      <c r="G60" s="251" t="n"/>
      <c r="H60" s="252" t="n"/>
      <c r="I60" s="252" t="n"/>
      <c r="J60" s="252" t="n"/>
      <c r="K60" s="13" t="n"/>
      <c r="L60" s="69" t="n"/>
      <c r="M60" s="66" t="n"/>
      <c r="N60" s="73" t="n"/>
      <c r="O60" s="19" t="n"/>
      <c r="P60" s="2" t="n"/>
    </row>
    <row r="61">
      <c r="A61" s="17" t="n"/>
      <c r="B61" s="14" t="n"/>
      <c r="C61" s="17" t="n"/>
      <c r="D61" s="14" t="n"/>
      <c r="E61" s="17" t="n"/>
      <c r="F61" s="57" t="n"/>
      <c r="G61" s="251" t="n"/>
      <c r="H61" s="252" t="n"/>
      <c r="I61" s="252" t="n"/>
      <c r="J61" s="252" t="n"/>
      <c r="K61" s="13" t="n"/>
      <c r="L61" s="69" t="n"/>
      <c r="M61" s="66" t="n"/>
      <c r="N61" s="73" t="n"/>
      <c r="O61" s="19" t="n"/>
      <c r="P61" s="2" t="n"/>
    </row>
    <row r="62">
      <c r="A62" s="17" t="n"/>
      <c r="B62" s="14" t="n"/>
      <c r="C62" s="17" t="n"/>
      <c r="D62" s="14" t="n"/>
      <c r="E62" s="17" t="n"/>
      <c r="F62" s="57" t="n"/>
      <c r="G62" s="251" t="n"/>
      <c r="H62" s="252" t="n"/>
      <c r="I62" s="252" t="n"/>
      <c r="J62" s="252" t="n"/>
      <c r="K62" s="13" t="n"/>
      <c r="L62" s="69" t="n"/>
      <c r="M62" s="66" t="n"/>
      <c r="N62" s="73" t="n"/>
      <c r="O62" s="19" t="n"/>
      <c r="P62" s="2" t="n"/>
    </row>
    <row r="63">
      <c r="A63" s="17" t="n"/>
      <c r="B63" s="14" t="n"/>
      <c r="C63" s="17" t="n"/>
      <c r="D63" s="14" t="n"/>
      <c r="E63" s="17" t="n"/>
      <c r="F63" s="57" t="n"/>
      <c r="G63" s="251" t="n"/>
      <c r="H63" s="252" t="n"/>
      <c r="I63" s="252" t="n"/>
      <c r="J63" s="252" t="n"/>
      <c r="K63" s="13" t="n"/>
      <c r="L63" s="69" t="n"/>
      <c r="M63" s="66" t="n"/>
      <c r="N63" s="73" t="n"/>
      <c r="O63" s="19" t="n"/>
      <c r="P63" s="2" t="n"/>
    </row>
    <row r="64">
      <c r="A64" s="17" t="n"/>
      <c r="B64" s="14" t="n"/>
      <c r="C64" s="17" t="n"/>
      <c r="D64" s="14" t="n"/>
      <c r="E64" s="17" t="n"/>
      <c r="F64" s="57" t="n"/>
      <c r="G64" s="251" t="n"/>
      <c r="H64" s="252" t="n"/>
      <c r="I64" s="252" t="n"/>
      <c r="J64" s="252" t="n"/>
      <c r="K64" s="13" t="n"/>
      <c r="L64" s="69" t="n"/>
      <c r="M64" s="66" t="n"/>
      <c r="N64" s="73" t="n"/>
      <c r="O64" s="19" t="n"/>
      <c r="P64" s="2" t="n"/>
    </row>
    <row r="65">
      <c r="A65" s="17" t="n"/>
      <c r="B65" s="14" t="n"/>
      <c r="C65" s="17" t="n"/>
      <c r="D65" s="14" t="n"/>
      <c r="E65" s="17" t="n"/>
      <c r="F65" s="57" t="n"/>
      <c r="G65" s="251" t="n"/>
      <c r="H65" s="252" t="n"/>
      <c r="I65" s="252" t="n"/>
      <c r="J65" s="252" t="n"/>
      <c r="K65" s="13" t="n"/>
      <c r="L65" s="69" t="n"/>
      <c r="M65" s="66" t="n"/>
      <c r="N65" s="73" t="n"/>
      <c r="O65" s="19" t="n"/>
      <c r="P65" s="2" t="n"/>
    </row>
    <row r="66">
      <c r="A66" s="17" t="n"/>
      <c r="B66" s="14" t="n"/>
      <c r="C66" s="17" t="n"/>
      <c r="D66" s="14" t="n"/>
      <c r="E66" s="17" t="n"/>
      <c r="F66" s="57" t="n"/>
      <c r="G66" s="251" t="n"/>
      <c r="H66" s="252" t="n"/>
      <c r="I66" s="252" t="n"/>
      <c r="J66" s="252" t="n"/>
      <c r="K66" s="13" t="n"/>
      <c r="L66" s="69" t="n"/>
      <c r="M66" s="66" t="n"/>
      <c r="N66" s="73" t="n"/>
      <c r="O66" s="19" t="n"/>
      <c r="P66" s="2" t="n"/>
    </row>
    <row r="67">
      <c r="A67" s="17" t="n"/>
      <c r="B67" s="14" t="n"/>
      <c r="C67" s="17" t="n"/>
      <c r="D67" s="14" t="n"/>
      <c r="E67" s="17" t="n"/>
      <c r="F67" s="57" t="n"/>
      <c r="G67" s="251" t="n"/>
      <c r="H67" s="252" t="n"/>
      <c r="I67" s="252" t="n"/>
      <c r="J67" s="252" t="n"/>
      <c r="K67" s="13" t="n"/>
      <c r="L67" s="69" t="n"/>
      <c r="M67" s="66" t="n"/>
      <c r="N67" s="73" t="n"/>
      <c r="O67" s="19" t="n"/>
      <c r="P67" s="2" t="n"/>
    </row>
    <row r="68">
      <c r="A68" s="17" t="n"/>
      <c r="B68" s="14" t="n"/>
      <c r="C68" s="17" t="n"/>
      <c r="D68" s="14" t="n"/>
      <c r="E68" s="17" t="n"/>
      <c r="F68" s="57" t="n"/>
      <c r="G68" s="251" t="n"/>
      <c r="H68" s="252" t="n"/>
      <c r="I68" s="252" t="n"/>
      <c r="J68" s="252" t="n"/>
      <c r="K68" s="13" t="n"/>
      <c r="L68" s="69" t="n"/>
      <c r="M68" s="66" t="n"/>
      <c r="N68" s="73" t="n"/>
      <c r="O68" s="19" t="n"/>
      <c r="P68" s="2" t="n"/>
    </row>
    <row r="69">
      <c r="A69" s="17" t="n"/>
      <c r="B69" s="14" t="n"/>
      <c r="C69" s="17" t="n"/>
      <c r="D69" s="14" t="n"/>
      <c r="E69" s="17" t="n"/>
      <c r="F69" s="57" t="n"/>
      <c r="G69" s="251" t="n"/>
      <c r="H69" s="252" t="n"/>
      <c r="I69" s="252" t="n"/>
      <c r="J69" s="252" t="n"/>
      <c r="K69" s="13" t="n"/>
      <c r="L69" s="69" t="n"/>
      <c r="M69" s="66" t="n"/>
      <c r="N69" s="73" t="n"/>
      <c r="O69" s="19" t="n"/>
      <c r="P69" s="2" t="n"/>
    </row>
    <row r="70">
      <c r="A70" s="17" t="n"/>
      <c r="B70" s="14" t="n"/>
      <c r="C70" s="17" t="n"/>
      <c r="D70" s="14" t="n"/>
      <c r="E70" s="17" t="n"/>
      <c r="F70" s="57" t="n"/>
      <c r="G70" s="251" t="n"/>
      <c r="H70" s="252" t="n"/>
      <c r="I70" s="252" t="n"/>
      <c r="J70" s="252" t="n"/>
      <c r="K70" s="13" t="n"/>
      <c r="L70" s="69" t="n"/>
      <c r="M70" s="66" t="n"/>
      <c r="N70" s="73" t="n"/>
      <c r="O70" s="19" t="n"/>
      <c r="P70" s="2" t="n"/>
    </row>
    <row r="71">
      <c r="A71" s="17" t="n"/>
      <c r="B71" s="14" t="n"/>
      <c r="C71" s="17" t="n"/>
      <c r="D71" s="14" t="n"/>
      <c r="E71" s="17" t="n"/>
      <c r="F71" s="57" t="n"/>
      <c r="G71" s="251" t="n"/>
      <c r="H71" s="252" t="n"/>
      <c r="I71" s="252" t="n"/>
      <c r="J71" s="252" t="n"/>
      <c r="K71" s="13" t="n"/>
      <c r="L71" s="69" t="n"/>
      <c r="M71" s="66" t="n"/>
      <c r="N71" s="73" t="n"/>
      <c r="O71" s="19" t="n"/>
      <c r="P71" s="2" t="n"/>
    </row>
    <row r="72">
      <c r="A72" s="17" t="n"/>
      <c r="B72" s="14" t="n"/>
      <c r="C72" s="17" t="n"/>
      <c r="D72" s="14" t="n"/>
      <c r="E72" s="17" t="n"/>
      <c r="F72" s="57" t="n"/>
      <c r="G72" s="251" t="n"/>
      <c r="H72" s="252" t="n"/>
      <c r="I72" s="252" t="n"/>
      <c r="J72" s="252" t="n"/>
      <c r="K72" s="13" t="n"/>
      <c r="L72" s="69" t="n"/>
      <c r="M72" s="66" t="n"/>
      <c r="N72" s="73" t="n"/>
      <c r="O72" s="19" t="n"/>
      <c r="P72" s="2" t="n"/>
    </row>
    <row r="73">
      <c r="A73" s="17" t="n"/>
      <c r="B73" s="14" t="n"/>
      <c r="C73" s="17" t="n"/>
      <c r="D73" s="14" t="n"/>
      <c r="E73" s="17" t="n"/>
      <c r="F73" s="57" t="n"/>
      <c r="G73" s="251" t="n"/>
      <c r="H73" s="252" t="n"/>
      <c r="I73" s="252" t="n"/>
      <c r="J73" s="252" t="n"/>
      <c r="K73" s="13" t="n"/>
      <c r="L73" s="69" t="n"/>
      <c r="M73" s="66" t="n"/>
      <c r="N73" s="73" t="n"/>
      <c r="O73" s="19" t="n"/>
      <c r="P73" s="2" t="n"/>
    </row>
    <row r="74">
      <c r="A74" s="17" t="n"/>
      <c r="B74" s="14" t="n"/>
      <c r="C74" s="17" t="n"/>
      <c r="D74" s="14" t="n"/>
      <c r="E74" s="17" t="n"/>
      <c r="F74" s="57" t="n"/>
      <c r="G74" s="251" t="n"/>
      <c r="H74" s="252" t="n"/>
      <c r="I74" s="252" t="n"/>
      <c r="J74" s="252" t="n"/>
      <c r="K74" s="13" t="n"/>
      <c r="L74" s="69" t="n"/>
      <c r="M74" s="66" t="n"/>
      <c r="N74" s="73" t="n"/>
      <c r="O74" s="19" t="n"/>
      <c r="P74" s="2" t="n"/>
    </row>
    <row r="75">
      <c r="A75" s="17" t="n"/>
      <c r="B75" s="14" t="n"/>
      <c r="C75" s="17" t="n"/>
      <c r="D75" s="14" t="n"/>
      <c r="E75" s="17" t="n"/>
      <c r="F75" s="57" t="n"/>
      <c r="G75" s="251" t="n"/>
      <c r="H75" s="252" t="n"/>
      <c r="I75" s="252" t="n"/>
      <c r="J75" s="252" t="n"/>
      <c r="K75" s="13" t="n"/>
      <c r="L75" s="69" t="n"/>
      <c r="M75" s="66" t="n"/>
      <c r="N75" s="73" t="n"/>
      <c r="O75" s="19" t="n"/>
      <c r="P75" s="2" t="n"/>
    </row>
    <row r="76">
      <c r="A76" s="17" t="n"/>
      <c r="B76" s="14" t="n"/>
      <c r="C76" s="17" t="n"/>
      <c r="D76" s="14" t="n"/>
      <c r="E76" s="17" t="n"/>
      <c r="F76" s="57" t="n"/>
      <c r="G76" s="251" t="n"/>
      <c r="H76" s="252" t="n"/>
      <c r="I76" s="252" t="n"/>
      <c r="J76" s="252" t="n"/>
      <c r="K76" s="13" t="n"/>
      <c r="L76" s="69" t="n"/>
      <c r="M76" s="66" t="n"/>
      <c r="N76" s="73" t="n"/>
      <c r="O76" s="19" t="n"/>
      <c r="P76" s="2" t="n"/>
    </row>
    <row r="77">
      <c r="A77" s="17" t="n"/>
      <c r="B77" s="14" t="n"/>
      <c r="C77" s="17" t="n"/>
      <c r="D77" s="14" t="n"/>
      <c r="E77" s="17" t="n"/>
      <c r="F77" s="57" t="n"/>
      <c r="G77" s="251" t="n"/>
      <c r="H77" s="252" t="n"/>
      <c r="I77" s="252" t="n"/>
      <c r="J77" s="252" t="n"/>
      <c r="K77" s="13" t="n"/>
      <c r="L77" s="69" t="n"/>
      <c r="M77" s="66" t="n"/>
      <c r="N77" s="73" t="n"/>
      <c r="O77" s="19" t="n"/>
      <c r="P77" s="2" t="n"/>
    </row>
    <row r="78">
      <c r="A78" s="17" t="n"/>
      <c r="B78" s="14" t="n"/>
      <c r="C78" s="17" t="n"/>
      <c r="D78" s="14" t="n"/>
      <c r="E78" s="17" t="n"/>
      <c r="F78" s="57" t="n"/>
      <c r="G78" s="251" t="n"/>
      <c r="H78" s="252" t="n"/>
      <c r="I78" s="252" t="n"/>
      <c r="J78" s="252" t="n"/>
      <c r="K78" s="13" t="n"/>
      <c r="L78" s="69" t="n"/>
      <c r="M78" s="66" t="n"/>
      <c r="N78" s="73" t="n"/>
      <c r="O78" s="19" t="n"/>
      <c r="P78" s="2" t="n"/>
    </row>
    <row r="79">
      <c r="A79" s="17" t="n"/>
      <c r="B79" s="14" t="n"/>
      <c r="C79" s="17" t="n"/>
      <c r="D79" s="14" t="n"/>
      <c r="E79" s="17" t="n"/>
      <c r="F79" s="57" t="n"/>
      <c r="G79" s="251" t="n"/>
      <c r="H79" s="252" t="n"/>
      <c r="I79" s="252" t="n"/>
      <c r="J79" s="252" t="n"/>
      <c r="K79" s="13" t="n"/>
      <c r="L79" s="69" t="n"/>
      <c r="M79" s="66" t="n"/>
      <c r="N79" s="73" t="n"/>
      <c r="O79" s="19" t="n"/>
      <c r="P79" s="2" t="n"/>
    </row>
    <row r="80">
      <c r="A80" s="17" t="n"/>
      <c r="B80" s="14" t="n"/>
      <c r="C80" s="17" t="n"/>
      <c r="D80" s="14" t="n"/>
      <c r="E80" s="17" t="n"/>
      <c r="F80" s="57" t="n"/>
      <c r="G80" s="251" t="n"/>
      <c r="H80" s="252" t="n"/>
      <c r="I80" s="252" t="n"/>
      <c r="J80" s="252" t="n"/>
      <c r="K80" s="13" t="n"/>
      <c r="L80" s="69" t="n"/>
      <c r="M80" s="66" t="n"/>
      <c r="N80" s="73" t="n"/>
      <c r="O80" s="19" t="n"/>
      <c r="P80" s="2" t="n"/>
    </row>
    <row r="81">
      <c r="A81" s="17" t="n"/>
      <c r="B81" s="14" t="n"/>
      <c r="C81" s="17" t="n"/>
      <c r="D81" s="14" t="n"/>
      <c r="E81" s="17" t="n"/>
      <c r="F81" s="57" t="n"/>
      <c r="G81" s="251" t="n"/>
      <c r="H81" s="252" t="n"/>
      <c r="I81" s="252" t="n"/>
      <c r="J81" s="252" t="n"/>
      <c r="K81" s="13" t="n"/>
      <c r="L81" s="69" t="n"/>
      <c r="M81" s="66" t="n"/>
      <c r="N81" s="73" t="n"/>
      <c r="O81" s="19" t="n"/>
      <c r="P81" s="2" t="n"/>
    </row>
    <row r="82">
      <c r="A82" s="17" t="n"/>
      <c r="B82" s="14" t="n"/>
      <c r="C82" s="17" t="n"/>
      <c r="D82" s="14" t="n"/>
      <c r="E82" s="17" t="n"/>
      <c r="F82" s="57" t="n"/>
      <c r="G82" s="251" t="n"/>
      <c r="H82" s="252" t="n"/>
      <c r="I82" s="252" t="n"/>
      <c r="J82" s="252" t="n"/>
      <c r="K82" s="13" t="n"/>
      <c r="L82" s="69" t="n"/>
      <c r="M82" s="66" t="n"/>
      <c r="N82" s="73" t="n"/>
      <c r="O82" s="19" t="n"/>
      <c r="P82" s="2" t="n"/>
    </row>
    <row r="83">
      <c r="A83" s="17" t="n"/>
      <c r="B83" s="14" t="n"/>
      <c r="C83" s="17" t="n"/>
      <c r="D83" s="14" t="n"/>
      <c r="E83" s="17" t="n"/>
      <c r="F83" s="57" t="n"/>
      <c r="G83" s="251" t="n"/>
      <c r="H83" s="252" t="n"/>
      <c r="I83" s="252" t="n"/>
      <c r="J83" s="252" t="n"/>
      <c r="K83" s="13" t="n"/>
      <c r="L83" s="69" t="n"/>
      <c r="M83" s="66" t="n"/>
      <c r="N83" s="73" t="n"/>
      <c r="O83" s="19" t="n"/>
      <c r="P83" s="2" t="n"/>
    </row>
    <row r="84">
      <c r="A84" s="17" t="n"/>
      <c r="B84" s="14" t="n"/>
      <c r="C84" s="17" t="n"/>
      <c r="D84" s="14" t="n"/>
      <c r="E84" s="17" t="n"/>
      <c r="F84" s="57" t="n"/>
      <c r="G84" s="251" t="n"/>
      <c r="H84" s="252" t="n"/>
      <c r="I84" s="252" t="n"/>
      <c r="J84" s="252" t="n"/>
      <c r="K84" s="13" t="n"/>
      <c r="L84" s="69" t="n"/>
      <c r="M84" s="66" t="n"/>
      <c r="N84" s="73" t="n"/>
      <c r="O84" s="19" t="n"/>
      <c r="P84" s="2" t="n"/>
    </row>
    <row r="85">
      <c r="A85" s="17" t="n"/>
      <c r="B85" s="14" t="n"/>
      <c r="C85" s="17" t="n"/>
      <c r="D85" s="14" t="n"/>
      <c r="E85" s="17" t="n"/>
      <c r="F85" s="57" t="n"/>
      <c r="G85" s="251" t="n"/>
      <c r="H85" s="252" t="n"/>
      <c r="I85" s="252" t="n"/>
      <c r="J85" s="252" t="n"/>
      <c r="K85" s="13" t="n"/>
      <c r="L85" s="69" t="n"/>
      <c r="M85" s="66" t="n"/>
      <c r="N85" s="73" t="n"/>
      <c r="O85" s="19" t="n"/>
      <c r="P85" s="2" t="n"/>
    </row>
    <row r="86">
      <c r="A86" s="17" t="n"/>
      <c r="B86" s="14" t="n"/>
      <c r="C86" s="17" t="n"/>
      <c r="D86" s="14" t="n"/>
      <c r="E86" s="17" t="n"/>
      <c r="F86" s="57" t="n"/>
      <c r="G86" s="251" t="n"/>
      <c r="H86" s="252" t="n"/>
      <c r="I86" s="252" t="n"/>
      <c r="J86" s="252" t="n"/>
      <c r="K86" s="13" t="n"/>
      <c r="L86" s="69" t="n"/>
      <c r="M86" s="66" t="n"/>
      <c r="N86" s="73" t="n"/>
      <c r="O86" s="19" t="n"/>
      <c r="P86" s="2" t="n"/>
    </row>
    <row r="87">
      <c r="A87" s="17" t="n"/>
      <c r="B87" s="14" t="n"/>
      <c r="C87" s="17" t="n"/>
      <c r="D87" s="14" t="n"/>
      <c r="E87" s="17" t="n"/>
      <c r="F87" s="57" t="n"/>
      <c r="G87" s="251" t="n"/>
      <c r="H87" s="252" t="n"/>
      <c r="I87" s="252" t="n"/>
      <c r="J87" s="252" t="n"/>
      <c r="K87" s="13" t="n"/>
      <c r="L87" s="69" t="n"/>
      <c r="M87" s="66" t="n"/>
      <c r="N87" s="73" t="n"/>
      <c r="O87" s="19" t="n"/>
      <c r="P87" s="2" t="n"/>
    </row>
    <row r="88">
      <c r="A88" s="17" t="n"/>
      <c r="B88" s="14" t="n"/>
      <c r="C88" s="17" t="n"/>
      <c r="D88" s="14" t="n"/>
      <c r="E88" s="17" t="n"/>
      <c r="F88" s="57" t="n"/>
      <c r="G88" s="251" t="n"/>
      <c r="H88" s="252" t="n"/>
      <c r="I88" s="252" t="n"/>
      <c r="J88" s="252" t="n"/>
      <c r="K88" s="13" t="n"/>
      <c r="L88" s="69" t="n"/>
      <c r="M88" s="66" t="n"/>
      <c r="N88" s="73" t="n"/>
      <c r="O88" s="19" t="n"/>
      <c r="P88" s="2" t="n"/>
    </row>
    <row r="89">
      <c r="A89" s="17" t="n"/>
      <c r="B89" s="14" t="n"/>
      <c r="C89" s="17" t="n"/>
      <c r="D89" s="14" t="n"/>
      <c r="E89" s="17" t="n"/>
      <c r="F89" s="57" t="n"/>
      <c r="G89" s="251" t="n"/>
      <c r="H89" s="252" t="n"/>
      <c r="I89" s="252" t="n"/>
      <c r="J89" s="252" t="n"/>
      <c r="K89" s="13" t="n"/>
      <c r="L89" s="69" t="n"/>
      <c r="M89" s="66" t="n"/>
      <c r="N89" s="73" t="n"/>
      <c r="O89" s="19" t="n"/>
      <c r="P89" s="2" t="n"/>
    </row>
    <row r="90">
      <c r="A90" s="17" t="n"/>
      <c r="B90" s="14" t="n"/>
      <c r="C90" s="17" t="n"/>
      <c r="D90" s="14" t="n"/>
      <c r="E90" s="17" t="n"/>
      <c r="F90" s="57" t="n"/>
      <c r="G90" s="251" t="n"/>
      <c r="H90" s="252" t="n"/>
      <c r="I90" s="252" t="n"/>
      <c r="J90" s="252" t="n"/>
      <c r="K90" s="13" t="n"/>
      <c r="L90" s="69" t="n"/>
      <c r="M90" s="66" t="n"/>
      <c r="N90" s="73" t="n"/>
      <c r="O90" s="19" t="n"/>
      <c r="P90" s="2" t="n"/>
    </row>
    <row r="91">
      <c r="A91" s="17" t="n"/>
      <c r="B91" s="14" t="n"/>
      <c r="C91" s="17" t="n"/>
      <c r="D91" s="14" t="n"/>
      <c r="E91" s="17" t="n"/>
      <c r="F91" s="57" t="n"/>
      <c r="G91" s="251" t="n"/>
      <c r="H91" s="252" t="n"/>
      <c r="I91" s="252" t="n"/>
      <c r="J91" s="252" t="n"/>
      <c r="K91" s="13" t="n"/>
      <c r="L91" s="69" t="n"/>
      <c r="M91" s="66" t="n"/>
      <c r="N91" s="73" t="n"/>
      <c r="O91" s="19" t="n"/>
      <c r="P91" s="2" t="n"/>
    </row>
    <row r="92">
      <c r="A92" s="17" t="n"/>
      <c r="B92" s="14" t="n"/>
      <c r="C92" s="17" t="n"/>
      <c r="D92" s="14" t="n"/>
      <c r="E92" s="17" t="n"/>
      <c r="F92" s="57" t="n"/>
      <c r="G92" s="251" t="n"/>
      <c r="H92" s="252" t="n"/>
      <c r="I92" s="252" t="n"/>
      <c r="J92" s="252" t="n"/>
      <c r="K92" s="13" t="n"/>
      <c r="L92" s="69" t="n"/>
      <c r="M92" s="66" t="n"/>
      <c r="N92" s="73" t="n"/>
      <c r="O92" s="19" t="n"/>
      <c r="P92" s="2" t="n"/>
    </row>
    <row r="93">
      <c r="A93" s="17" t="n"/>
      <c r="B93" s="14" t="n"/>
      <c r="C93" s="17" t="n"/>
      <c r="D93" s="14" t="n"/>
      <c r="E93" s="17" t="n"/>
      <c r="F93" s="57" t="n"/>
      <c r="G93" s="251" t="n"/>
      <c r="H93" s="252" t="n"/>
      <c r="I93" s="252" t="n"/>
      <c r="J93" s="252" t="n"/>
      <c r="K93" s="13" t="n"/>
      <c r="L93" s="69" t="n"/>
      <c r="M93" s="66" t="n"/>
      <c r="N93" s="73" t="n"/>
      <c r="O93" s="19" t="n"/>
      <c r="P93" s="2" t="n"/>
    </row>
    <row r="94">
      <c r="A94" s="17" t="n"/>
      <c r="B94" s="14" t="n"/>
      <c r="C94" s="17" t="n"/>
      <c r="D94" s="14" t="n"/>
      <c r="E94" s="17" t="n"/>
      <c r="F94" s="57" t="n"/>
      <c r="G94" s="251" t="n"/>
      <c r="H94" s="252" t="n"/>
      <c r="I94" s="252" t="n"/>
      <c r="J94" s="252" t="n"/>
      <c r="K94" s="13" t="n"/>
      <c r="L94" s="69" t="n"/>
      <c r="M94" s="66" t="n"/>
      <c r="N94" s="73" t="n"/>
      <c r="O94" s="19" t="n"/>
      <c r="P94" s="2" t="n"/>
    </row>
    <row r="95">
      <c r="A95" s="17" t="n"/>
      <c r="B95" s="14" t="n"/>
      <c r="C95" s="17" t="n"/>
      <c r="D95" s="14" t="n"/>
      <c r="E95" s="17" t="n"/>
      <c r="F95" s="57" t="n"/>
      <c r="G95" s="251" t="n"/>
      <c r="H95" s="252" t="n"/>
      <c r="I95" s="252" t="n"/>
      <c r="J95" s="252" t="n"/>
      <c r="K95" s="13" t="n"/>
      <c r="L95" s="69" t="n"/>
      <c r="M95" s="66" t="n"/>
      <c r="N95" s="73" t="n"/>
      <c r="O95" s="19" t="n"/>
      <c r="P95" s="2" t="n"/>
    </row>
    <row r="96">
      <c r="A96" s="17" t="n"/>
      <c r="B96" s="14" t="n"/>
      <c r="C96" s="17" t="n"/>
      <c r="D96" s="14" t="n"/>
      <c r="E96" s="17" t="n"/>
      <c r="F96" s="57" t="n"/>
      <c r="G96" s="251" t="n"/>
      <c r="H96" s="252" t="n"/>
      <c r="I96" s="252" t="n"/>
      <c r="J96" s="252" t="n"/>
      <c r="K96" s="13" t="n"/>
      <c r="L96" s="69" t="n"/>
      <c r="M96" s="66" t="n"/>
      <c r="N96" s="73" t="n"/>
      <c r="O96" s="19" t="n"/>
      <c r="P96" s="2" t="n"/>
    </row>
    <row r="97">
      <c r="A97" s="17" t="n"/>
      <c r="B97" s="14" t="n"/>
      <c r="C97" s="17" t="n"/>
      <c r="D97" s="14" t="n"/>
      <c r="E97" s="17" t="n"/>
      <c r="F97" s="57" t="n"/>
      <c r="G97" s="251" t="n"/>
      <c r="H97" s="252" t="n"/>
      <c r="I97" s="252" t="n"/>
      <c r="J97" s="252" t="n"/>
      <c r="K97" s="13" t="n"/>
      <c r="L97" s="69" t="n"/>
      <c r="M97" s="66" t="n"/>
      <c r="N97" s="73" t="n"/>
      <c r="O97" s="19" t="n"/>
      <c r="P97" s="2" t="n"/>
    </row>
    <row r="98">
      <c r="A98" s="17" t="n"/>
      <c r="B98" s="14" t="n"/>
      <c r="C98" s="17" t="n"/>
      <c r="D98" s="14" t="n"/>
      <c r="E98" s="17" t="n"/>
      <c r="F98" s="57" t="n"/>
      <c r="G98" s="251" t="n"/>
      <c r="H98" s="252" t="n"/>
      <c r="I98" s="252" t="n"/>
      <c r="J98" s="252" t="n"/>
      <c r="K98" s="13" t="n"/>
      <c r="L98" s="69" t="n"/>
      <c r="M98" s="66" t="n"/>
      <c r="N98" s="73" t="n"/>
      <c r="O98" s="19" t="n"/>
      <c r="P98" s="2" t="n"/>
    </row>
    <row r="99">
      <c r="A99" s="17" t="n"/>
      <c r="B99" s="14" t="n"/>
      <c r="C99" s="17" t="n"/>
      <c r="D99" s="14" t="n"/>
      <c r="E99" s="17" t="n"/>
      <c r="F99" s="57" t="n"/>
      <c r="G99" s="251" t="n"/>
      <c r="H99" s="252" t="n"/>
      <c r="I99" s="252" t="n"/>
      <c r="J99" s="252" t="n"/>
      <c r="K99" s="13" t="n"/>
      <c r="L99" s="69" t="n"/>
      <c r="M99" s="66" t="n"/>
      <c r="N99" s="73" t="n"/>
      <c r="O99" s="19" t="n"/>
      <c r="P99" s="2" t="n"/>
    </row>
    <row r="100">
      <c r="A100" s="17" t="n"/>
      <c r="B100" s="14" t="n"/>
      <c r="C100" s="17" t="n"/>
      <c r="D100" s="14" t="n"/>
      <c r="E100" s="17" t="n"/>
      <c r="F100" s="57" t="n"/>
      <c r="G100" s="251" t="n"/>
      <c r="H100" s="252" t="n"/>
      <c r="I100" s="252" t="n"/>
      <c r="J100" s="252" t="n"/>
      <c r="K100" s="13" t="n"/>
      <c r="L100" s="69" t="n"/>
      <c r="M100" s="66" t="n"/>
      <c r="N100" s="73" t="n"/>
      <c r="O100" s="19" t="n"/>
      <c r="P100" s="2" t="n"/>
    </row>
    <row r="101">
      <c r="A101" s="17" t="n"/>
      <c r="B101" s="14" t="n"/>
      <c r="C101" s="17" t="n"/>
      <c r="D101" s="14" t="n"/>
      <c r="E101" s="17" t="n"/>
      <c r="F101" s="57" t="n"/>
      <c r="G101" s="251" t="n"/>
      <c r="H101" s="252" t="n"/>
      <c r="I101" s="252" t="n"/>
      <c r="J101" s="252" t="n"/>
      <c r="K101" s="13" t="n"/>
      <c r="L101" s="69" t="n"/>
      <c r="M101" s="66" t="n"/>
      <c r="N101" s="73" t="n"/>
      <c r="O101" s="19" t="n"/>
      <c r="P101" s="2" t="n"/>
    </row>
    <row r="102">
      <c r="A102" s="17" t="n"/>
      <c r="B102" s="14" t="n"/>
      <c r="C102" s="17" t="n"/>
      <c r="D102" s="14" t="n"/>
      <c r="E102" s="17" t="n"/>
      <c r="F102" s="57" t="n"/>
      <c r="G102" s="251" t="n"/>
      <c r="H102" s="252" t="n"/>
      <c r="I102" s="252" t="n"/>
      <c r="J102" s="252" t="n"/>
      <c r="K102" s="13" t="n"/>
      <c r="L102" s="69" t="n"/>
      <c r="M102" s="66" t="n"/>
      <c r="N102" s="73" t="n"/>
      <c r="O102" s="19" t="n"/>
      <c r="P102" s="2" t="n"/>
    </row>
    <row r="103">
      <c r="A103" s="17" t="n"/>
      <c r="B103" s="14" t="n"/>
      <c r="C103" s="17" t="n"/>
      <c r="D103" s="14" t="n"/>
      <c r="E103" s="17" t="n"/>
      <c r="F103" s="57" t="n"/>
      <c r="G103" s="251" t="n"/>
      <c r="H103" s="252" t="n"/>
      <c r="I103" s="252" t="n"/>
      <c r="J103" s="252" t="n"/>
      <c r="K103" s="13" t="n"/>
      <c r="L103" s="69" t="n"/>
      <c r="M103" s="66" t="n"/>
      <c r="N103" s="73" t="n"/>
      <c r="O103" s="19" t="n"/>
      <c r="P103" s="2" t="n"/>
    </row>
    <row r="104">
      <c r="A104" s="17" t="n"/>
      <c r="B104" s="14" t="n"/>
      <c r="C104" s="17" t="n"/>
      <c r="D104" s="14" t="n"/>
      <c r="E104" s="17" t="n"/>
      <c r="F104" s="57" t="n"/>
      <c r="G104" s="251" t="n"/>
      <c r="H104" s="252" t="n"/>
      <c r="I104" s="252" t="n"/>
      <c r="J104" s="252" t="n"/>
      <c r="K104" s="13" t="n"/>
      <c r="L104" s="69" t="n"/>
      <c r="M104" s="66" t="n"/>
      <c r="N104" s="73" t="n"/>
      <c r="O104" s="19" t="n"/>
      <c r="P104" s="2" t="n"/>
    </row>
    <row r="105">
      <c r="A105" s="17" t="n"/>
      <c r="B105" s="14" t="n"/>
      <c r="C105" s="17" t="n"/>
      <c r="D105" s="14" t="n"/>
      <c r="E105" s="17" t="n"/>
      <c r="F105" s="57" t="n"/>
      <c r="G105" s="251" t="n"/>
      <c r="H105" s="252" t="n"/>
      <c r="I105" s="252" t="n"/>
      <c r="J105" s="252" t="n"/>
      <c r="K105" s="13" t="n"/>
      <c r="L105" s="69" t="n"/>
      <c r="M105" s="66" t="n"/>
      <c r="N105" s="73" t="n"/>
      <c r="O105" s="19" t="n"/>
      <c r="P105" s="2" t="n"/>
    </row>
    <row r="106" ht="17.25" customHeight="1" s="185" thickBot="1">
      <c r="A106" s="18" t="n"/>
      <c r="B106" s="16" t="n"/>
      <c r="C106" s="18" t="n"/>
      <c r="D106" s="16" t="n"/>
      <c r="E106" s="18" t="n"/>
      <c r="F106" s="77" t="n"/>
      <c r="G106" s="253" t="n"/>
      <c r="H106" s="254" t="n"/>
      <c r="I106" s="254" t="n"/>
      <c r="J106" s="254" t="n"/>
      <c r="K106" s="15" t="n"/>
      <c r="L106" s="71" t="n"/>
      <c r="M106" s="67" t="n"/>
      <c r="N106" s="74" t="n"/>
      <c r="O106" s="20" t="n"/>
      <c r="P106" s="4" t="n"/>
    </row>
  </sheetData>
  <mergeCells count="8">
    <mergeCell ref="M3:P3"/>
    <mergeCell ref="C3:C4"/>
    <mergeCell ref="A3:A4"/>
    <mergeCell ref="B3:B4"/>
    <mergeCell ref="E3:E4"/>
    <mergeCell ref="F3:F4"/>
    <mergeCell ref="G3:L3"/>
    <mergeCell ref="D3:D4"/>
  </mergeCells>
  <dataValidations count="3">
    <dataValidation sqref="K5:K106" showDropDown="0" showInputMessage="1" showErrorMessage="1" allowBlank="1" type="list">
      <formula1>"미진행,정상,단순오류,개선사항,치명적오류"</formula1>
    </dataValidation>
    <dataValidation sqref="I5:I106" showDropDown="0" showInputMessage="1" showErrorMessage="1" allowBlank="1" type="list">
      <formula1>"Web,Mobile"</formula1>
    </dataValidation>
    <dataValidation sqref="M5:M106" showDropDown="0" showInputMessage="1" showErrorMessage="1" allowBlank="1" type="list">
      <formula1>"'-,확인중,조치중,조치완료,협의필요"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06"/>
  <sheetViews>
    <sheetView zoomScaleNormal="100" workbookViewId="0">
      <pane xSplit="6" ySplit="4" topLeftCell="G5" activePane="bottomRight" state="frozen"/>
      <selection activeCell="N20" sqref="N20"/>
      <selection pane="topRight" activeCell="N20" sqref="N20"/>
      <selection pane="bottomLeft" activeCell="N20" sqref="N20"/>
      <selection pane="bottomRight" activeCell="N20" sqref="N20"/>
    </sheetView>
  </sheetViews>
  <sheetFormatPr baseColWidth="8" defaultRowHeight="16.5"/>
  <cols>
    <col width="14" customWidth="1" style="11" min="1" max="1"/>
    <col width="17.125" customWidth="1" style="1" min="2" max="2"/>
    <col width="14" customWidth="1" style="1" min="3" max="3"/>
    <col width="20.5" bestFit="1" customWidth="1" style="1" min="4" max="4"/>
    <col width="14" customWidth="1" style="11" min="5" max="5"/>
    <col width="71.75" customWidth="1" style="1" min="6" max="6"/>
    <col width="10.625" customWidth="1" style="1" min="7" max="7"/>
    <col width="7.75" customWidth="1" style="1" min="8" max="8"/>
    <col width="7.375" customWidth="1" style="1" min="9" max="9"/>
    <col width="7.5" customWidth="1" style="1" min="10" max="10"/>
    <col width="10.875" customWidth="1" style="1" min="11" max="11"/>
    <col width="34.875" customWidth="1" style="1" min="12" max="12"/>
    <col width="9" customWidth="1" style="1" min="13" max="13"/>
    <col width="11.625" customWidth="1" style="1" min="14" max="14"/>
    <col width="9" customWidth="1" style="1" min="15" max="15"/>
    <col width="64.25" customWidth="1" style="1" min="16" max="16"/>
    <col width="9" customWidth="1" style="1" min="17" max="16384"/>
  </cols>
  <sheetData>
    <row r="1" ht="20.25" customHeight="1" s="185">
      <c r="A1" s="238" t="inlineStr">
        <is>
          <t>03.문안대조및대체</t>
        </is>
      </c>
      <c r="C1" s="12" t="n"/>
    </row>
    <row r="2" ht="17.25" customHeight="1" s="185" thickBot="1"/>
    <row r="3">
      <c r="A3" s="239" t="inlineStr">
        <is>
          <t>테스트시나리오ID</t>
        </is>
      </c>
      <c r="B3" s="240" t="inlineStr">
        <is>
          <t>시나리오명</t>
        </is>
      </c>
      <c r="C3" s="239" t="inlineStr">
        <is>
          <t>테스트케이스ID</t>
        </is>
      </c>
      <c r="D3" s="240" t="inlineStr">
        <is>
          <t>케이스명</t>
        </is>
      </c>
      <c r="E3" s="239" t="inlineStr">
        <is>
          <t>화면ID</t>
        </is>
      </c>
      <c r="F3" s="241" t="inlineStr">
        <is>
          <t>예상결과</t>
        </is>
      </c>
      <c r="G3" s="167" t="inlineStr">
        <is>
          <t>테스트결과</t>
        </is>
      </c>
      <c r="H3" s="199" t="n"/>
      <c r="I3" s="199" t="n"/>
      <c r="J3" s="199" t="n"/>
      <c r="K3" s="199" t="n"/>
      <c r="L3" s="255" t="n"/>
      <c r="M3" s="157" t="inlineStr">
        <is>
          <t>조치사항</t>
        </is>
      </c>
      <c r="N3" s="243" t="n"/>
      <c r="O3" s="243" t="n"/>
      <c r="P3" s="243" t="n"/>
    </row>
    <row r="4" ht="17.25" customHeight="1" s="185" thickBot="1">
      <c r="A4" s="244" t="n"/>
      <c r="B4" s="245" t="n"/>
      <c r="C4" s="244" t="n"/>
      <c r="D4" s="245" t="n"/>
      <c r="E4" s="244" t="n"/>
      <c r="F4" s="246" t="n"/>
      <c r="G4" s="55" t="inlineStr">
        <is>
          <t>테스트날짜</t>
        </is>
      </c>
      <c r="H4" s="56" t="inlineStr">
        <is>
          <t>수행자</t>
        </is>
      </c>
      <c r="I4" s="65" t="inlineStr">
        <is>
          <t>구분</t>
        </is>
      </c>
      <c r="J4" s="65" t="inlineStr">
        <is>
          <t>실패여부</t>
        </is>
      </c>
      <c r="K4" s="65" t="inlineStr">
        <is>
          <t>결과구분</t>
        </is>
      </c>
      <c r="L4" s="85" t="inlineStr">
        <is>
          <t>실제결과</t>
        </is>
      </c>
      <c r="M4" s="86" t="inlineStr">
        <is>
          <t>조치여부</t>
        </is>
      </c>
      <c r="N4" s="87" t="inlineStr">
        <is>
          <t>조치일자</t>
        </is>
      </c>
      <c r="O4" s="88" t="inlineStr">
        <is>
          <t>조치담당자</t>
        </is>
      </c>
      <c r="P4" s="88" t="inlineStr">
        <is>
          <t>담당자 의견</t>
        </is>
      </c>
    </row>
    <row r="5">
      <c r="A5" s="247" t="inlineStr">
        <is>
          <t>TS_SUB_0100</t>
        </is>
      </c>
      <c r="B5" s="248" t="inlineStr">
        <is>
          <t>Side-by-Side 대조</t>
        </is>
      </c>
      <c r="C5" s="247" t="inlineStr">
        <is>
          <t>TC_SUB_0101</t>
        </is>
      </c>
      <c r="D5" s="248" t="inlineStr">
        <is>
          <t>원본 시안 ↔ 추출 문장 동기화</t>
        </is>
      </c>
      <c r="E5" s="247" t="inlineStr">
        <is>
          <t>SCR_REV_02</t>
        </is>
      </c>
      <c r="F5" s="248" t="inlineStr">
        <is>
          <t>좌측 시안 영역과 우측 문장 카드가 1:1 수평 대응 렌더링</t>
        </is>
      </c>
      <c r="G5" s="249" t="inlineStr">
        <is>
          <t>2026-10-16</t>
        </is>
      </c>
      <c r="H5" s="249" t="inlineStr">
        <is>
          <t>EMPASY QA팀</t>
        </is>
      </c>
      <c r="I5" s="249" t="inlineStr">
        <is>
          <t>Web</t>
        </is>
      </c>
      <c r="J5" s="249">
        <f>IFERROR(_xlfn.IFS($K5="정상","P",$K5="단순오류","F",$K5="개선사항","F",$K5="치명적오류","F",$K5="미진행","N"),"")</f>
        <v/>
      </c>
      <c r="K5" s="250" t="inlineStr">
        <is>
          <t>정상</t>
        </is>
      </c>
      <c r="L5" s="248" t="inlineStr">
        <is>
          <t>정상 패스</t>
        </is>
      </c>
      <c r="M5" s="76" t="n"/>
      <c r="N5" s="72" t="n"/>
      <c r="O5" s="24" t="n"/>
      <c r="P5" s="3" t="n"/>
    </row>
    <row r="6">
      <c r="A6" s="247" t="inlineStr">
        <is>
          <t>TS_SUB_0100</t>
        </is>
      </c>
      <c r="B6" s="248" t="inlineStr">
        <is>
          <t>Side-by-Side 대조</t>
        </is>
      </c>
      <c r="C6" s="247" t="inlineStr">
        <is>
          <t>TC_SUB_0102</t>
        </is>
      </c>
      <c r="D6" s="248" t="inlineStr">
        <is>
          <t>위험 등급별 컬러 뱃지 표시</t>
        </is>
      </c>
      <c r="E6" s="247" t="inlineStr">
        <is>
          <t>SCR_REV_02</t>
        </is>
      </c>
      <c r="F6" s="248" t="inlineStr">
        <is>
          <t>위험(Red), 주의(Yellow), 안전(Green) 뱃지 직관적 표기</t>
        </is>
      </c>
      <c r="G6" s="249" t="inlineStr">
        <is>
          <t>2026-10-16</t>
        </is>
      </c>
      <c r="H6" s="249" t="inlineStr">
        <is>
          <t>EMPASY QA팀</t>
        </is>
      </c>
      <c r="I6" s="249" t="inlineStr">
        <is>
          <t>Web</t>
        </is>
      </c>
      <c r="J6" s="249">
        <f>IFERROR(_xlfn.IFS($K6="정상","P",$K6="단순오류","F",$K6="개선사항","F",$K6="치명적오류","F",$K6="미진행","N"),"")</f>
        <v/>
      </c>
      <c r="K6" s="250" t="inlineStr">
        <is>
          <t>정상</t>
        </is>
      </c>
      <c r="L6" s="248" t="inlineStr">
        <is>
          <t>정상 패스</t>
        </is>
      </c>
      <c r="M6" s="66" t="n"/>
      <c r="N6" s="73" t="n"/>
      <c r="O6" s="19" t="n"/>
      <c r="P6" s="2" t="n"/>
    </row>
    <row r="7">
      <c r="A7" s="247" t="inlineStr">
        <is>
          <t>TS_SUB_0100</t>
        </is>
      </c>
      <c r="B7" s="248" t="inlineStr">
        <is>
          <t>Side-by-Side 대조</t>
        </is>
      </c>
      <c r="C7" s="247" t="inlineStr">
        <is>
          <t>TC_SUB_0103</t>
        </is>
      </c>
      <c r="D7" s="248" t="inlineStr">
        <is>
          <t>바운딩 박스 포커스 스크롤</t>
        </is>
      </c>
      <c r="E7" s="247" t="inlineStr">
        <is>
          <t>SCR_REV_02</t>
        </is>
      </c>
      <c r="F7" s="248" t="inlineStr">
        <is>
          <t>우측 문장 클릭 시 좌측 시안 내 해당 영역으로 부드럽게 스크롤</t>
        </is>
      </c>
      <c r="G7" s="249" t="inlineStr">
        <is>
          <t>2026-10-16</t>
        </is>
      </c>
      <c r="H7" s="249" t="inlineStr">
        <is>
          <t>EMPASY QA팀</t>
        </is>
      </c>
      <c r="I7" s="249" t="inlineStr">
        <is>
          <t>Web</t>
        </is>
      </c>
      <c r="J7" s="249">
        <f>IFERROR(_xlfn.IFS($K7="정상","P",$K7="단순오류","F",$K7="개선사항","F",$K7="치명적오류","F",$K7="미진행","N"),"")</f>
        <v/>
      </c>
      <c r="K7" s="250" t="inlineStr">
        <is>
          <t>정상</t>
        </is>
      </c>
      <c r="L7" s="248" t="inlineStr">
        <is>
          <t>정상 패스</t>
        </is>
      </c>
      <c r="M7" s="75" t="n"/>
      <c r="N7" s="73" t="n"/>
      <c r="O7" s="19" t="n"/>
      <c r="P7" s="2" t="n"/>
    </row>
    <row r="8">
      <c r="A8" s="247" t="inlineStr">
        <is>
          <t>TS_SUB_0100</t>
        </is>
      </c>
      <c r="B8" s="248" t="inlineStr">
        <is>
          <t>Side-by-Side 대조</t>
        </is>
      </c>
      <c r="C8" s="247" t="inlineStr">
        <is>
          <t>TC_SUB_0104</t>
        </is>
      </c>
      <c r="D8" s="248" t="inlineStr">
        <is>
          <t>시안 확대/축소 및 패닝 조작</t>
        </is>
      </c>
      <c r="E8" s="247" t="inlineStr">
        <is>
          <t>SCR_REV_02</t>
        </is>
      </c>
      <c r="F8" s="248" t="inlineStr">
        <is>
          <t>마우스 휠 확대/축소 및 드래그 이동 시 바운딩 박스 정렬 유지</t>
        </is>
      </c>
      <c r="G8" s="249" t="inlineStr">
        <is>
          <t>2026-10-16</t>
        </is>
      </c>
      <c r="H8" s="249" t="inlineStr">
        <is>
          <t>EMPASY QA팀</t>
        </is>
      </c>
      <c r="I8" s="249" t="inlineStr">
        <is>
          <t>Web</t>
        </is>
      </c>
      <c r="J8" s="249">
        <f>IFERROR(_xlfn.IFS($K8="정상","P",$K8="단순오류","F",$K8="개선사항","F",$K8="치명적오류","F",$K8="미진행","N"),"")</f>
        <v/>
      </c>
      <c r="K8" s="250" t="inlineStr">
        <is>
          <t>정상</t>
        </is>
      </c>
      <c r="L8" s="248" t="inlineStr">
        <is>
          <t>정상 패스</t>
        </is>
      </c>
      <c r="M8" s="66" t="n"/>
      <c r="N8" s="73" t="n"/>
      <c r="O8" s="19" t="n"/>
      <c r="P8" s="2" t="n"/>
    </row>
    <row r="9">
      <c r="A9" s="247" t="inlineStr">
        <is>
          <t>TS_SUB_0200</t>
        </is>
      </c>
      <c r="B9" s="248" t="inlineStr">
        <is>
          <t>대체 표현 추천</t>
        </is>
      </c>
      <c r="C9" s="247" t="inlineStr">
        <is>
          <t>TC_SUB_0201</t>
        </is>
      </c>
      <c r="D9" s="248" t="inlineStr">
        <is>
          <t>안전 대체 문안 3종 제시</t>
        </is>
      </c>
      <c r="E9" s="247" t="inlineStr">
        <is>
          <t>SCR_REV_02</t>
        </is>
      </c>
      <c r="F9" s="248" t="inlineStr">
        <is>
          <t>식약처 심의 승인 완료된 안전 대체 카피 3건 추천</t>
        </is>
      </c>
      <c r="G9" s="249" t="inlineStr">
        <is>
          <t>2026-10-16</t>
        </is>
      </c>
      <c r="H9" s="249" t="inlineStr">
        <is>
          <t>EMPASY QA팀</t>
        </is>
      </c>
      <c r="I9" s="249" t="inlineStr">
        <is>
          <t>AI</t>
        </is>
      </c>
      <c r="J9" s="249">
        <f>IFERROR(_xlfn.IFS($K9="정상","P",$K9="단순오류","F",$K9="개선사항","F",$K9="치명적오류","F",$K9="미진행","N"),"")</f>
        <v/>
      </c>
      <c r="K9" s="250" t="inlineStr">
        <is>
          <t>정상</t>
        </is>
      </c>
      <c r="L9" s="248" t="inlineStr">
        <is>
          <t>정상 패스</t>
        </is>
      </c>
      <c r="M9" s="66" t="n"/>
      <c r="N9" s="73" t="n"/>
      <c r="O9" s="19" t="n"/>
      <c r="P9" s="2" t="n"/>
    </row>
    <row r="10">
      <c r="A10" s="247" t="inlineStr">
        <is>
          <t>TS_SUB_0200</t>
        </is>
      </c>
      <c r="B10" s="248" t="inlineStr">
        <is>
          <t>대체 표현 추천</t>
        </is>
      </c>
      <c r="C10" s="247" t="inlineStr">
        <is>
          <t>TC_SUB_0202</t>
        </is>
      </c>
      <c r="D10" s="248" t="inlineStr">
        <is>
          <t>대체어 원클릭 치환 반영</t>
        </is>
      </c>
      <c r="E10" s="247" t="inlineStr">
        <is>
          <t>SCR_REV_02</t>
        </is>
      </c>
      <c r="F10" s="248" t="inlineStr">
        <is>
          <t>추천 문안 클릭 시 본문 즉시 변경 및 AI 실시간 재판정</t>
        </is>
      </c>
      <c r="G10" s="249" t="inlineStr">
        <is>
          <t>2026-10-16</t>
        </is>
      </c>
      <c r="H10" s="249" t="inlineStr">
        <is>
          <t>EMPASY QA팀</t>
        </is>
      </c>
      <c r="I10" s="249" t="inlineStr">
        <is>
          <t>Web</t>
        </is>
      </c>
      <c r="J10" s="249">
        <f>IFERROR(_xlfn.IFS($K10="정상","P",$K10="단순오류","F",$K10="개선사항","F",$K10="치명적오류","F",$K10="미진행","N"),"")</f>
        <v/>
      </c>
      <c r="K10" s="250" t="inlineStr">
        <is>
          <t>정상</t>
        </is>
      </c>
      <c r="L10" s="248" t="inlineStr">
        <is>
          <t>정상 패스</t>
        </is>
      </c>
      <c r="M10" s="66" t="n"/>
      <c r="N10" s="73" t="n"/>
      <c r="O10" s="19" t="n"/>
      <c r="P10" s="2" t="n"/>
    </row>
    <row r="11">
      <c r="A11" s="247" t="inlineStr">
        <is>
          <t>TS_SUB_0200</t>
        </is>
      </c>
      <c r="B11" s="248" t="inlineStr">
        <is>
          <t>대체 표현 추천</t>
        </is>
      </c>
      <c r="C11" s="247" t="inlineStr">
        <is>
          <t>TC_SUB_0203</t>
        </is>
      </c>
      <c r="D11" s="248" t="inlineStr">
        <is>
          <t>사용자 수동 문안 직접 수정</t>
        </is>
      </c>
      <c r="E11" s="247" t="inlineStr">
        <is>
          <t>SCR_REV_02</t>
        </is>
      </c>
      <c r="F11" s="248" t="inlineStr">
        <is>
          <t>마케터가 텍스트 직접 타이핑 수정 후 재심의 호출</t>
        </is>
      </c>
      <c r="G11" s="249" t="inlineStr">
        <is>
          <t>2026-10-16</t>
        </is>
      </c>
      <c r="H11" s="249" t="inlineStr">
        <is>
          <t>EMPASY QA팀</t>
        </is>
      </c>
      <c r="I11" s="249" t="inlineStr">
        <is>
          <t>Web</t>
        </is>
      </c>
      <c r="J11" s="249">
        <f>IFERROR(_xlfn.IFS($K11="정상","P",$K11="단순오류","F",$K11="개선사항","F",$K11="치명적오류","F",$K11="미진행","N"),"")</f>
        <v/>
      </c>
      <c r="K11" s="250" t="inlineStr">
        <is>
          <t>정상</t>
        </is>
      </c>
      <c r="L11" s="248" t="inlineStr">
        <is>
          <t>정상 패스</t>
        </is>
      </c>
      <c r="M11" s="66" t="n"/>
      <c r="N11" s="73" t="n"/>
      <c r="O11" s="19" t="n"/>
      <c r="P11" s="3" t="n"/>
    </row>
    <row r="12">
      <c r="A12" s="247" t="inlineStr">
        <is>
          <t>TS_SUB_0300</t>
        </is>
      </c>
      <c r="B12" s="248" t="inlineStr">
        <is>
          <t>실증 자료 및 소명</t>
        </is>
      </c>
      <c r="C12" s="247" t="inlineStr">
        <is>
          <t>TC_SUB_0301</t>
        </is>
      </c>
      <c r="D12" s="248" t="inlineStr">
        <is>
          <t>ProductLab 실증문서 연계 뷰어</t>
        </is>
      </c>
      <c r="E12" s="247" t="inlineStr">
        <is>
          <t>SCR_REV_02</t>
        </is>
      </c>
      <c r="F12" s="248" t="inlineStr">
        <is>
          <t>연결된 인체적용시험 성적서 요약 모달 팝업 표시</t>
        </is>
      </c>
      <c r="G12" s="249" t="inlineStr">
        <is>
          <t>2026-10-16</t>
        </is>
      </c>
      <c r="H12" s="249" t="inlineStr">
        <is>
          <t>EMPASY QA팀</t>
        </is>
      </c>
      <c r="I12" s="249" t="inlineStr">
        <is>
          <t>Web</t>
        </is>
      </c>
      <c r="J12" s="249">
        <f>IFERROR(_xlfn.IFS($K12="정상","P",$K12="단순오류","F",$K12="개선사항","F",$K12="치명적오류","F",$K12="미진행","N"),"")</f>
        <v/>
      </c>
      <c r="K12" s="250" t="inlineStr">
        <is>
          <t>정상</t>
        </is>
      </c>
      <c r="L12" s="248" t="inlineStr">
        <is>
          <t>정상 패스</t>
        </is>
      </c>
      <c r="M12" s="75" t="n"/>
      <c r="N12" s="73" t="n"/>
      <c r="O12" s="19" t="n"/>
      <c r="P12" s="2" t="n"/>
    </row>
    <row r="13">
      <c r="A13" s="247" t="inlineStr">
        <is>
          <t>TS_SUB_0300</t>
        </is>
      </c>
      <c r="B13" s="248" t="inlineStr">
        <is>
          <t>실증 자료 및 소명</t>
        </is>
      </c>
      <c r="C13" s="247" t="inlineStr">
        <is>
          <t>TC_SUB_0302</t>
        </is>
      </c>
      <c r="D13" s="248" t="inlineStr">
        <is>
          <t>추가 소명 파일 첨부</t>
        </is>
      </c>
      <c r="E13" s="247" t="inlineStr">
        <is>
          <t>SCR_REV_02</t>
        </is>
      </c>
      <c r="F13" s="248" t="inlineStr">
        <is>
          <t>마케터가 신규 시험성적서(PDF) 업로드 및 소명 사유 입력</t>
        </is>
      </c>
      <c r="G13" s="249" t="inlineStr">
        <is>
          <t>2026-10-16</t>
        </is>
      </c>
      <c r="H13" s="249" t="inlineStr">
        <is>
          <t>EMPASY QA팀</t>
        </is>
      </c>
      <c r="I13" s="249" t="inlineStr">
        <is>
          <t>Web</t>
        </is>
      </c>
      <c r="J13" s="249">
        <f>IFERROR(_xlfn.IFS($K13="정상","P",$K13="단순오류","F",$K13="개선사항","F",$K13="치명적오류","F",$K13="미진행","N"),"")</f>
        <v/>
      </c>
      <c r="K13" s="250" t="inlineStr">
        <is>
          <t>정상</t>
        </is>
      </c>
      <c r="L13" s="248" t="inlineStr">
        <is>
          <t>정상 패스</t>
        </is>
      </c>
      <c r="M13" s="66" t="n"/>
      <c r="N13" s="73" t="n"/>
      <c r="O13" s="19" t="n"/>
      <c r="P13" s="2" t="n"/>
    </row>
    <row r="14">
      <c r="A14" s="247" t="inlineStr">
        <is>
          <t>TS_SUB_0300</t>
        </is>
      </c>
      <c r="B14" s="248" t="inlineStr">
        <is>
          <t>실증 자료 및 소명</t>
        </is>
      </c>
      <c r="C14" s="247" t="inlineStr">
        <is>
          <t>TC_SUB_0303</t>
        </is>
      </c>
      <c r="D14" s="248" t="inlineStr">
        <is>
          <t>심의 의뢰 제출 및 유효성 체크</t>
        </is>
      </c>
      <c r="E14" s="247" t="inlineStr">
        <is>
          <t>SCR_REV_02</t>
        </is>
      </c>
      <c r="F14" s="248" t="inlineStr">
        <is>
          <t>필수 입력값 누락 시 안내 및 완료 시 RA 접수 큐 전송</t>
        </is>
      </c>
      <c r="G14" s="249" t="inlineStr">
        <is>
          <t>2026-10-16</t>
        </is>
      </c>
      <c r="H14" s="249" t="inlineStr">
        <is>
          <t>EMPASY QA팀</t>
        </is>
      </c>
      <c r="I14" s="249" t="inlineStr">
        <is>
          <t>Web</t>
        </is>
      </c>
      <c r="J14" s="249">
        <f>IFERROR(_xlfn.IFS($K14="정상","P",$K14="단순오류","F",$K14="개선사항","F",$K14="치명적오류","F",$K14="미진행","N"),"")</f>
        <v/>
      </c>
      <c r="K14" s="250" t="inlineStr">
        <is>
          <t>정상</t>
        </is>
      </c>
      <c r="L14" s="248" t="inlineStr">
        <is>
          <t>정상 패스</t>
        </is>
      </c>
      <c r="M14" s="66" t="n"/>
      <c r="N14" s="73" t="n"/>
      <c r="O14" s="19" t="n"/>
      <c r="P14" s="2" t="n"/>
    </row>
    <row r="15">
      <c r="A15" s="247" t="inlineStr">
        <is>
          <t>TS_SUB_0300</t>
        </is>
      </c>
      <c r="B15" s="248" t="inlineStr">
        <is>
          <t>실증 자료 및 소명</t>
        </is>
      </c>
      <c r="C15" s="247" t="inlineStr">
        <is>
          <t>TC_SUB_0304</t>
        </is>
      </c>
      <c r="D15" s="248" t="inlineStr">
        <is>
          <t>임시 저장 및 불러오기</t>
        </is>
      </c>
      <c r="E15" s="247" t="inlineStr">
        <is>
          <t>SCR_REV_02</t>
        </is>
      </c>
      <c r="F15" s="248" t="inlineStr">
        <is>
          <t>작업 중 브라우저 종료 후 재접속 시 작성 중 데이터 자동 복원</t>
        </is>
      </c>
      <c r="G15" s="249" t="inlineStr">
        <is>
          <t>2026-10-16</t>
        </is>
      </c>
      <c r="H15" s="249" t="inlineStr">
        <is>
          <t>EMPASY QA팀</t>
        </is>
      </c>
      <c r="I15" s="249" t="inlineStr">
        <is>
          <t>Web</t>
        </is>
      </c>
      <c r="J15" s="249">
        <f>IFERROR(_xlfn.IFS($K15="정상","P",$K15="단순오류","F",$K15="개선사항","F",$K15="치명적오류","F",$K15="미진행","N"),"")</f>
        <v/>
      </c>
      <c r="K15" s="250" t="inlineStr">
        <is>
          <t>정상</t>
        </is>
      </c>
      <c r="L15" s="248" t="inlineStr">
        <is>
          <t>정상 패스</t>
        </is>
      </c>
      <c r="M15" s="66" t="n"/>
      <c r="N15" s="73" t="n"/>
      <c r="O15" s="19" t="n"/>
      <c r="P15" s="2" t="n"/>
    </row>
    <row r="16">
      <c r="A16" s="21" t="n"/>
      <c r="B16" s="14" t="n"/>
      <c r="C16" s="17" t="n"/>
      <c r="D16" s="14" t="n"/>
      <c r="E16" s="21" t="n"/>
      <c r="F16" s="57" t="n"/>
      <c r="G16" s="251" t="n"/>
      <c r="H16" s="252" t="n"/>
      <c r="I16" s="252" t="n"/>
      <c r="J16" s="252" t="n"/>
      <c r="K16" s="13" t="n"/>
      <c r="L16" s="69" t="n"/>
      <c r="M16" s="75" t="n"/>
      <c r="N16" s="73" t="n"/>
      <c r="O16" s="19" t="n"/>
      <c r="P16" s="2" t="n"/>
    </row>
    <row r="17">
      <c r="A17" s="17" t="n"/>
      <c r="B17" s="14" t="n"/>
      <c r="C17" s="17" t="n"/>
      <c r="D17" s="14" t="n"/>
      <c r="E17" s="21" t="n"/>
      <c r="F17" s="57" t="n"/>
      <c r="G17" s="251" t="n"/>
      <c r="H17" s="252" t="n"/>
      <c r="I17" s="252" t="n"/>
      <c r="J17" s="252" t="n"/>
      <c r="K17" s="13" t="n"/>
      <c r="L17" s="69" t="n"/>
      <c r="M17" s="66" t="n"/>
      <c r="N17" s="73" t="n"/>
      <c r="O17" s="19" t="n"/>
      <c r="P17" s="2" t="n"/>
    </row>
    <row r="18">
      <c r="A18" s="17" t="n"/>
      <c r="B18" s="14" t="n"/>
      <c r="C18" s="17" t="n"/>
      <c r="D18" s="14" t="n"/>
      <c r="E18" s="21" t="n"/>
      <c r="F18" s="57" t="n"/>
      <c r="G18" s="251" t="n"/>
      <c r="H18" s="252" t="n"/>
      <c r="I18" s="252" t="n"/>
      <c r="J18" s="252" t="n"/>
      <c r="K18" s="13" t="n"/>
      <c r="L18" s="69" t="n"/>
      <c r="M18" s="66" t="n"/>
      <c r="N18" s="73" t="n"/>
      <c r="O18" s="19" t="n"/>
      <c r="P18" s="2" t="n"/>
    </row>
    <row r="19">
      <c r="A19" s="17" t="n"/>
      <c r="B19" s="14" t="n"/>
      <c r="C19" s="17" t="n"/>
      <c r="D19" s="14" t="n"/>
      <c r="E19" s="21" t="n"/>
      <c r="F19" s="57" t="n"/>
      <c r="G19" s="251" t="n"/>
      <c r="H19" s="252" t="n"/>
      <c r="I19" s="252" t="n"/>
      <c r="J19" s="252" t="n"/>
      <c r="K19" s="13" t="n"/>
      <c r="L19" s="69" t="n"/>
      <c r="M19" s="66" t="n"/>
      <c r="N19" s="73" t="n"/>
      <c r="O19" s="19" t="n"/>
      <c r="P19" s="2" t="n"/>
    </row>
    <row r="20">
      <c r="A20" s="17" t="n"/>
      <c r="B20" s="14" t="n"/>
      <c r="C20" s="17" t="n"/>
      <c r="D20" s="14" t="n"/>
      <c r="E20" s="21" t="n"/>
      <c r="F20" s="57" t="n"/>
      <c r="G20" s="251" t="n"/>
      <c r="H20" s="252" t="n"/>
      <c r="I20" s="252" t="n"/>
      <c r="J20" s="252" t="n"/>
      <c r="K20" s="13" t="n"/>
      <c r="L20" s="69" t="n"/>
      <c r="M20" s="75" t="n"/>
      <c r="N20" s="73" t="n"/>
      <c r="O20" s="19" t="n"/>
      <c r="P20" s="2" t="n"/>
    </row>
    <row r="21">
      <c r="A21" s="17" t="n"/>
      <c r="B21" s="14" t="n"/>
      <c r="C21" s="17" t="n"/>
      <c r="D21" s="14" t="n"/>
      <c r="E21" s="21" t="n"/>
      <c r="F21" s="57" t="n"/>
      <c r="G21" s="251" t="n"/>
      <c r="H21" s="252" t="n"/>
      <c r="I21" s="252" t="n"/>
      <c r="J21" s="252" t="n"/>
      <c r="K21" s="13" t="n"/>
      <c r="L21" s="69" t="n"/>
      <c r="M21" s="66" t="n"/>
      <c r="N21" s="73" t="n"/>
      <c r="O21" s="19" t="n"/>
      <c r="P21" s="2" t="n"/>
    </row>
    <row r="22">
      <c r="A22" s="17" t="n"/>
      <c r="B22" s="14" t="n"/>
      <c r="C22" s="17" t="n"/>
      <c r="D22" s="14" t="n"/>
      <c r="E22" s="21" t="n"/>
      <c r="F22" s="57" t="n"/>
      <c r="G22" s="251" t="n"/>
      <c r="H22" s="252" t="n"/>
      <c r="I22" s="252" t="n"/>
      <c r="J22" s="252" t="n"/>
      <c r="K22" s="13" t="n"/>
      <c r="L22" s="69" t="n"/>
      <c r="M22" s="66" t="n"/>
      <c r="N22" s="73" t="n"/>
      <c r="O22" s="19" t="n"/>
      <c r="P22" s="2" t="n"/>
    </row>
    <row r="23">
      <c r="A23" s="17" t="n"/>
      <c r="B23" s="14" t="n"/>
      <c r="C23" s="17" t="n"/>
      <c r="D23" s="14" t="n"/>
      <c r="E23" s="21" t="n"/>
      <c r="F23" s="57" t="n"/>
      <c r="G23" s="251" t="n"/>
      <c r="H23" s="252" t="n"/>
      <c r="I23" s="252" t="n"/>
      <c r="J23" s="252" t="n"/>
      <c r="K23" s="13" t="n"/>
      <c r="L23" s="69" t="n"/>
      <c r="M23" s="66" t="n"/>
      <c r="N23" s="73" t="n"/>
      <c r="O23" s="19" t="n"/>
      <c r="P23" s="2" t="n"/>
    </row>
    <row r="24">
      <c r="A24" s="17" t="n"/>
      <c r="B24" s="14" t="n"/>
      <c r="C24" s="17" t="n"/>
      <c r="D24" s="14" t="n"/>
      <c r="E24" s="21" t="n"/>
      <c r="F24" s="57" t="n"/>
      <c r="G24" s="251" t="n"/>
      <c r="H24" s="252" t="n"/>
      <c r="I24" s="252" t="n"/>
      <c r="J24" s="252" t="n"/>
      <c r="K24" s="13" t="n"/>
      <c r="L24" s="68" t="n"/>
      <c r="M24" s="66" t="n"/>
      <c r="N24" s="73" t="n"/>
      <c r="O24" s="19" t="n"/>
      <c r="P24" s="3" t="n"/>
    </row>
    <row r="25">
      <c r="A25" s="17" t="n"/>
      <c r="B25" s="14" t="n"/>
      <c r="C25" s="17" t="n"/>
      <c r="D25" s="14" t="n"/>
      <c r="E25" s="21" t="n"/>
      <c r="F25" s="57" t="n"/>
      <c r="G25" s="251" t="n"/>
      <c r="H25" s="252" t="n"/>
      <c r="I25" s="252" t="n"/>
      <c r="J25" s="252" t="n"/>
      <c r="K25" s="13" t="n"/>
      <c r="L25" s="68" t="n"/>
      <c r="M25" s="66" t="n"/>
      <c r="N25" s="73" t="n"/>
      <c r="O25" s="19" t="n"/>
      <c r="P25" s="3" t="n"/>
    </row>
    <row r="26">
      <c r="A26" s="17" t="n"/>
      <c r="B26" s="14" t="n"/>
      <c r="C26" s="17" t="n"/>
      <c r="D26" s="14" t="n"/>
      <c r="E26" s="21" t="n"/>
      <c r="F26" s="57" t="n"/>
      <c r="G26" s="251" t="n"/>
      <c r="H26" s="252" t="n"/>
      <c r="I26" s="252" t="n"/>
      <c r="J26" s="252" t="n"/>
      <c r="K26" s="13" t="n"/>
      <c r="L26" s="69" t="n"/>
      <c r="M26" s="75" t="n"/>
      <c r="N26" s="73" t="n"/>
      <c r="O26" s="19" t="n"/>
      <c r="P26" s="2" t="n"/>
    </row>
    <row r="27">
      <c r="A27" s="17" t="n"/>
      <c r="B27" s="14" t="n"/>
      <c r="C27" s="17" t="n"/>
      <c r="D27" s="14" t="n"/>
      <c r="E27" s="21" t="n"/>
      <c r="F27" s="57" t="n"/>
      <c r="G27" s="251" t="n"/>
      <c r="H27" s="252" t="n"/>
      <c r="I27" s="252" t="n"/>
      <c r="J27" s="252" t="n"/>
      <c r="K27" s="13" t="n"/>
      <c r="L27" s="69" t="n"/>
      <c r="M27" s="75" t="n"/>
      <c r="N27" s="73" t="n"/>
      <c r="O27" s="19" t="n"/>
      <c r="P27" s="2" t="n"/>
    </row>
    <row r="28">
      <c r="A28" s="17" t="n"/>
      <c r="B28" s="14" t="n"/>
      <c r="C28" s="17" t="n"/>
      <c r="D28" s="14" t="n"/>
      <c r="E28" s="21" t="n"/>
      <c r="F28" s="57" t="n"/>
      <c r="G28" s="251" t="n"/>
      <c r="H28" s="252" t="n"/>
      <c r="I28" s="252" t="n"/>
      <c r="J28" s="252" t="n"/>
      <c r="K28" s="13" t="n"/>
      <c r="L28" s="69" t="n"/>
      <c r="M28" s="75" t="n"/>
      <c r="N28" s="73" t="n"/>
      <c r="O28" s="19" t="n"/>
      <c r="P28" s="2" t="n"/>
    </row>
    <row r="29">
      <c r="A29" s="17" t="n"/>
      <c r="B29" s="14" t="n"/>
      <c r="C29" s="17" t="n"/>
      <c r="D29" s="14" t="n"/>
      <c r="E29" s="21" t="n"/>
      <c r="F29" s="57" t="n"/>
      <c r="G29" s="251" t="n"/>
      <c r="H29" s="252" t="n"/>
      <c r="I29" s="252" t="n"/>
      <c r="J29" s="252" t="n"/>
      <c r="K29" s="13" t="n"/>
      <c r="L29" s="69" t="n"/>
      <c r="M29" s="66" t="n"/>
      <c r="N29" s="73" t="n"/>
      <c r="O29" s="19" t="n"/>
      <c r="P29" s="2" t="n"/>
    </row>
    <row r="30">
      <c r="A30" s="17" t="n"/>
      <c r="B30" s="14" t="n"/>
      <c r="C30" s="17" t="n"/>
      <c r="D30" s="14" t="n"/>
      <c r="E30" s="21" t="n"/>
      <c r="F30" s="57" t="n"/>
      <c r="G30" s="251" t="n"/>
      <c r="H30" s="252" t="n"/>
      <c r="I30" s="252" t="n"/>
      <c r="J30" s="252" t="n"/>
      <c r="K30" s="13" t="n"/>
      <c r="L30" s="68" t="n"/>
      <c r="M30" s="66" t="n"/>
      <c r="N30" s="73" t="n"/>
      <c r="O30" s="19" t="n"/>
      <c r="P30" s="3" t="n"/>
    </row>
    <row r="31">
      <c r="A31" s="17" t="n"/>
      <c r="B31" s="14" t="n"/>
      <c r="C31" s="17" t="n"/>
      <c r="D31" s="14" t="n"/>
      <c r="E31" s="21" t="n"/>
      <c r="F31" s="57" t="n"/>
      <c r="G31" s="251" t="n"/>
      <c r="H31" s="252" t="n"/>
      <c r="I31" s="252" t="n"/>
      <c r="J31" s="252" t="n"/>
      <c r="K31" s="13" t="n"/>
      <c r="L31" s="68" t="n"/>
      <c r="M31" s="66" t="n"/>
      <c r="N31" s="73" t="n"/>
      <c r="O31" s="19" t="n"/>
      <c r="P31" s="3" t="n"/>
    </row>
    <row r="32">
      <c r="A32" s="17" t="n"/>
      <c r="B32" s="14" t="n"/>
      <c r="C32" s="17" t="n"/>
      <c r="D32" s="14" t="n"/>
      <c r="E32" s="17" t="n"/>
      <c r="F32" s="57" t="n"/>
      <c r="G32" s="251" t="n"/>
      <c r="H32" s="252" t="n"/>
      <c r="I32" s="252" t="n"/>
      <c r="J32" s="252" t="n"/>
      <c r="K32" s="13" t="n"/>
      <c r="L32" s="69" t="n"/>
      <c r="M32" s="66" t="n"/>
      <c r="N32" s="73" t="n"/>
      <c r="O32" s="19" t="n"/>
      <c r="P32" s="2" t="n"/>
    </row>
    <row r="33">
      <c r="A33" s="17" t="n"/>
      <c r="B33" s="14" t="n"/>
      <c r="C33" s="17" t="n"/>
      <c r="D33" s="14" t="n"/>
      <c r="E33" s="17" t="n"/>
      <c r="F33" s="57" t="n"/>
      <c r="G33" s="251" t="n"/>
      <c r="H33" s="252" t="n"/>
      <c r="I33" s="252" t="n"/>
      <c r="J33" s="252" t="n"/>
      <c r="K33" s="13" t="n"/>
      <c r="L33" s="69" t="n"/>
      <c r="M33" s="66" t="n"/>
      <c r="N33" s="73" t="n"/>
      <c r="O33" s="19" t="n"/>
      <c r="P33" s="2" t="n"/>
    </row>
    <row r="34">
      <c r="A34" s="17" t="n"/>
      <c r="B34" s="14" t="n"/>
      <c r="C34" s="17" t="n"/>
      <c r="D34" s="14" t="n"/>
      <c r="E34" s="17" t="n"/>
      <c r="F34" s="57" t="n"/>
      <c r="G34" s="251" t="n"/>
      <c r="H34" s="252" t="n"/>
      <c r="I34" s="252" t="n"/>
      <c r="J34" s="252" t="n"/>
      <c r="K34" s="13" t="n"/>
      <c r="L34" s="69" t="n"/>
      <c r="M34" s="66" t="n"/>
      <c r="N34" s="73" t="n"/>
      <c r="O34" s="19" t="n"/>
      <c r="P34" s="2" t="n"/>
    </row>
    <row r="35">
      <c r="A35" s="17" t="n"/>
      <c r="B35" s="14" t="n"/>
      <c r="C35" s="17" t="n"/>
      <c r="D35" s="14" t="n"/>
      <c r="E35" s="17" t="n"/>
      <c r="F35" s="57" t="n"/>
      <c r="G35" s="251" t="n"/>
      <c r="H35" s="252" t="n"/>
      <c r="I35" s="252" t="n"/>
      <c r="J35" s="252" t="n"/>
      <c r="K35" s="13" t="n"/>
      <c r="L35" s="69" t="n"/>
      <c r="M35" s="66" t="n"/>
      <c r="N35" s="73" t="n"/>
      <c r="O35" s="19" t="n"/>
      <c r="P35" s="2" t="n"/>
    </row>
    <row r="36">
      <c r="A36" s="17" t="n"/>
      <c r="B36" s="14" t="n"/>
      <c r="C36" s="17" t="n"/>
      <c r="D36" s="14" t="n"/>
      <c r="E36" s="17" t="n"/>
      <c r="F36" s="57" t="n"/>
      <c r="G36" s="251" t="n"/>
      <c r="H36" s="252" t="n"/>
      <c r="I36" s="252" t="n"/>
      <c r="J36" s="252" t="n"/>
      <c r="K36" s="13" t="n"/>
      <c r="L36" s="69" t="n"/>
      <c r="M36" s="66" t="n"/>
      <c r="N36" s="73" t="n"/>
      <c r="O36" s="19" t="n"/>
      <c r="P36" s="2" t="n"/>
    </row>
    <row r="37">
      <c r="A37" s="17" t="n"/>
      <c r="B37" s="14" t="n"/>
      <c r="C37" s="17" t="n"/>
      <c r="D37" s="14" t="n"/>
      <c r="E37" s="17" t="n"/>
      <c r="F37" s="57" t="n"/>
      <c r="G37" s="251" t="n"/>
      <c r="H37" s="252" t="n"/>
      <c r="I37" s="252" t="n"/>
      <c r="J37" s="252" t="n"/>
      <c r="K37" s="13" t="n"/>
      <c r="L37" s="69" t="n"/>
      <c r="M37" s="66" t="n"/>
      <c r="N37" s="73" t="n"/>
      <c r="O37" s="19" t="n"/>
      <c r="P37" s="2" t="n"/>
    </row>
    <row r="38">
      <c r="A38" s="17" t="n"/>
      <c r="B38" s="14" t="n"/>
      <c r="C38" s="17" t="n"/>
      <c r="D38" s="14" t="n"/>
      <c r="E38" s="17" t="n"/>
      <c r="F38" s="57" t="n"/>
      <c r="G38" s="251" t="n"/>
      <c r="H38" s="252" t="n"/>
      <c r="I38" s="252" t="n"/>
      <c r="J38" s="252" t="n"/>
      <c r="K38" s="13" t="n"/>
      <c r="L38" s="69" t="n"/>
      <c r="M38" s="66" t="n"/>
      <c r="N38" s="73" t="n"/>
      <c r="O38" s="19" t="n"/>
      <c r="P38" s="2" t="n"/>
    </row>
    <row r="39">
      <c r="A39" s="17" t="n"/>
      <c r="B39" s="14" t="n"/>
      <c r="C39" s="17" t="n"/>
      <c r="D39" s="14" t="n"/>
      <c r="E39" s="17" t="n"/>
      <c r="F39" s="57" t="n"/>
      <c r="G39" s="251" t="n"/>
      <c r="H39" s="252" t="n"/>
      <c r="I39" s="252" t="n"/>
      <c r="J39" s="252" t="n"/>
      <c r="K39" s="13" t="n"/>
      <c r="L39" s="69" t="n"/>
      <c r="M39" s="66" t="n"/>
      <c r="N39" s="73" t="n"/>
      <c r="O39" s="19" t="n"/>
      <c r="P39" s="2" t="n"/>
    </row>
    <row r="40">
      <c r="A40" s="17" t="n"/>
      <c r="B40" s="14" t="n"/>
      <c r="C40" s="17" t="n"/>
      <c r="D40" s="14" t="n"/>
      <c r="E40" s="17" t="n"/>
      <c r="F40" s="57" t="n"/>
      <c r="G40" s="251" t="n"/>
      <c r="H40" s="252" t="n"/>
      <c r="I40" s="252" t="n"/>
      <c r="J40" s="252" t="n"/>
      <c r="K40" s="13" t="n"/>
      <c r="L40" s="69" t="n"/>
      <c r="M40" s="66" t="n"/>
      <c r="N40" s="73" t="n"/>
      <c r="O40" s="19" t="n"/>
      <c r="P40" s="2" t="n"/>
    </row>
    <row r="41">
      <c r="A41" s="17" t="n"/>
      <c r="B41" s="14" t="n"/>
      <c r="C41" s="17" t="n"/>
      <c r="D41" s="14" t="n"/>
      <c r="E41" s="17" t="n"/>
      <c r="F41" s="57" t="n"/>
      <c r="G41" s="251" t="n"/>
      <c r="H41" s="252" t="n"/>
      <c r="I41" s="252" t="n"/>
      <c r="J41" s="252" t="n"/>
      <c r="K41" s="13" t="n"/>
      <c r="L41" s="69" t="n"/>
      <c r="M41" s="66" t="n"/>
      <c r="N41" s="73" t="n"/>
      <c r="O41" s="19" t="n"/>
      <c r="P41" s="2" t="n"/>
    </row>
    <row r="42">
      <c r="A42" s="17" t="n"/>
      <c r="B42" s="14" t="n"/>
      <c r="C42" s="17" t="n"/>
      <c r="D42" s="14" t="n"/>
      <c r="E42" s="17" t="n"/>
      <c r="F42" s="57" t="n"/>
      <c r="G42" s="251" t="n"/>
      <c r="H42" s="252" t="n"/>
      <c r="I42" s="252" t="n"/>
      <c r="J42" s="252" t="n"/>
      <c r="K42" s="13" t="n"/>
      <c r="L42" s="69" t="n"/>
      <c r="M42" s="66" t="n"/>
      <c r="N42" s="73" t="n"/>
      <c r="O42" s="19" t="n"/>
      <c r="P42" s="2" t="n"/>
    </row>
    <row r="43">
      <c r="A43" s="17" t="n"/>
      <c r="B43" s="14" t="n"/>
      <c r="C43" s="17" t="n"/>
      <c r="D43" s="14" t="n"/>
      <c r="E43" s="17" t="n"/>
      <c r="F43" s="57" t="n"/>
      <c r="G43" s="251" t="n"/>
      <c r="H43" s="252" t="n"/>
      <c r="I43" s="252" t="n"/>
      <c r="J43" s="252" t="n"/>
      <c r="K43" s="13" t="n"/>
      <c r="L43" s="69" t="n"/>
      <c r="M43" s="66" t="n"/>
      <c r="N43" s="73" t="n"/>
      <c r="O43" s="19" t="n"/>
      <c r="P43" s="2" t="n"/>
    </row>
    <row r="44">
      <c r="A44" s="17" t="n"/>
      <c r="B44" s="14" t="n"/>
      <c r="C44" s="17" t="n"/>
      <c r="D44" s="14" t="n"/>
      <c r="E44" s="17" t="n"/>
      <c r="F44" s="57" t="n"/>
      <c r="G44" s="251" t="n"/>
      <c r="H44" s="252" t="n"/>
      <c r="I44" s="252" t="n"/>
      <c r="J44" s="252" t="n"/>
      <c r="K44" s="13" t="n"/>
      <c r="L44" s="69" t="n"/>
      <c r="M44" s="66" t="n"/>
      <c r="N44" s="73" t="n"/>
      <c r="O44" s="19" t="n"/>
      <c r="P44" s="2" t="n"/>
    </row>
    <row r="45">
      <c r="A45" s="17" t="n"/>
      <c r="B45" s="14" t="n"/>
      <c r="C45" s="17" t="n"/>
      <c r="D45" s="14" t="n"/>
      <c r="E45" s="17" t="n"/>
      <c r="F45" s="57" t="n"/>
      <c r="G45" s="251" t="n"/>
      <c r="H45" s="252" t="n"/>
      <c r="I45" s="252" t="n"/>
      <c r="J45" s="252" t="n"/>
      <c r="K45" s="13" t="n"/>
      <c r="L45" s="69" t="n"/>
      <c r="M45" s="66" t="n"/>
      <c r="N45" s="73" t="n"/>
      <c r="O45" s="19" t="n"/>
      <c r="P45" s="2" t="n"/>
    </row>
    <row r="46">
      <c r="A46" s="17" t="n"/>
      <c r="B46" s="14" t="n"/>
      <c r="C46" s="17" t="n"/>
      <c r="D46" s="14" t="n"/>
      <c r="E46" s="17" t="n"/>
      <c r="F46" s="57" t="n"/>
      <c r="G46" s="251" t="n"/>
      <c r="H46" s="252" t="n"/>
      <c r="I46" s="252" t="n"/>
      <c r="J46" s="252" t="n"/>
      <c r="K46" s="13" t="n"/>
      <c r="L46" s="69" t="n"/>
      <c r="M46" s="66" t="n"/>
      <c r="N46" s="73" t="n"/>
      <c r="O46" s="19" t="n"/>
      <c r="P46" s="2" t="n"/>
    </row>
    <row r="47">
      <c r="A47" s="17" t="n"/>
      <c r="B47" s="14" t="n"/>
      <c r="C47" s="17" t="n"/>
      <c r="D47" s="14" t="n"/>
      <c r="E47" s="17" t="n"/>
      <c r="F47" s="57" t="n"/>
      <c r="G47" s="251" t="n"/>
      <c r="H47" s="252" t="n"/>
      <c r="I47" s="252" t="n"/>
      <c r="J47" s="252" t="n"/>
      <c r="K47" s="13" t="n"/>
      <c r="L47" s="69" t="n"/>
      <c r="M47" s="66" t="n"/>
      <c r="N47" s="73" t="n"/>
      <c r="O47" s="19" t="n"/>
      <c r="P47" s="2" t="n"/>
    </row>
    <row r="48">
      <c r="A48" s="17" t="n"/>
      <c r="B48" s="14" t="n"/>
      <c r="C48" s="17" t="n"/>
      <c r="D48" s="14" t="n"/>
      <c r="E48" s="17" t="n"/>
      <c r="F48" s="57" t="n"/>
      <c r="G48" s="251" t="n"/>
      <c r="H48" s="252" t="n"/>
      <c r="I48" s="252" t="n"/>
      <c r="J48" s="252" t="n"/>
      <c r="K48" s="13" t="n"/>
      <c r="L48" s="69" t="n"/>
      <c r="M48" s="66" t="n"/>
      <c r="N48" s="73" t="n"/>
      <c r="O48" s="19" t="n"/>
      <c r="P48" s="2" t="n"/>
    </row>
    <row r="49">
      <c r="A49" s="17" t="n"/>
      <c r="B49" s="14" t="n"/>
      <c r="C49" s="17" t="n"/>
      <c r="D49" s="14" t="n"/>
      <c r="E49" s="17" t="n"/>
      <c r="F49" s="57" t="n"/>
      <c r="G49" s="251" t="n"/>
      <c r="H49" s="252" t="n"/>
      <c r="I49" s="252" t="n"/>
      <c r="J49" s="252" t="n"/>
      <c r="K49" s="13" t="n"/>
      <c r="L49" s="69" t="n"/>
      <c r="M49" s="66" t="n"/>
      <c r="N49" s="73" t="n"/>
      <c r="O49" s="19" t="n"/>
      <c r="P49" s="2" t="n"/>
    </row>
    <row r="50">
      <c r="A50" s="17" t="n"/>
      <c r="B50" s="14" t="n"/>
      <c r="C50" s="17" t="n"/>
      <c r="D50" s="14" t="n"/>
      <c r="E50" s="17" t="n"/>
      <c r="F50" s="57" t="n"/>
      <c r="G50" s="251" t="n"/>
      <c r="H50" s="252" t="n"/>
      <c r="I50" s="252" t="n"/>
      <c r="J50" s="252" t="n"/>
      <c r="K50" s="13" t="n"/>
      <c r="L50" s="69" t="n"/>
      <c r="M50" s="66" t="n"/>
      <c r="N50" s="73" t="n"/>
      <c r="O50" s="19" t="n"/>
      <c r="P50" s="2" t="n"/>
    </row>
    <row r="51">
      <c r="A51" s="17" t="n"/>
      <c r="B51" s="14" t="n"/>
      <c r="C51" s="17" t="n"/>
      <c r="D51" s="14" t="n"/>
      <c r="E51" s="17" t="n"/>
      <c r="F51" s="57" t="n"/>
      <c r="G51" s="251" t="n"/>
      <c r="H51" s="252" t="n"/>
      <c r="I51" s="252" t="n"/>
      <c r="J51" s="252" t="n"/>
      <c r="K51" s="13" t="n"/>
      <c r="L51" s="69" t="n"/>
      <c r="M51" s="66" t="n"/>
      <c r="N51" s="73" t="n"/>
      <c r="O51" s="19" t="n"/>
      <c r="P51" s="2" t="n"/>
    </row>
    <row r="52">
      <c r="A52" s="17" t="n"/>
      <c r="B52" s="14" t="n"/>
      <c r="C52" s="17" t="n"/>
      <c r="D52" s="14" t="n"/>
      <c r="E52" s="17" t="n"/>
      <c r="F52" s="57" t="n"/>
      <c r="G52" s="251" t="n"/>
      <c r="H52" s="252" t="n"/>
      <c r="I52" s="252" t="n"/>
      <c r="J52" s="252" t="n"/>
      <c r="K52" s="13" t="n"/>
      <c r="L52" s="69" t="n"/>
      <c r="M52" s="66" t="n"/>
      <c r="N52" s="73" t="n"/>
      <c r="O52" s="19" t="n"/>
      <c r="P52" s="2" t="n"/>
    </row>
    <row r="53">
      <c r="A53" s="17" t="n"/>
      <c r="B53" s="14" t="n"/>
      <c r="C53" s="17" t="n"/>
      <c r="D53" s="14" t="n"/>
      <c r="E53" s="17" t="n"/>
      <c r="F53" s="57" t="n"/>
      <c r="G53" s="251" t="n"/>
      <c r="H53" s="252" t="n"/>
      <c r="I53" s="252" t="n"/>
      <c r="J53" s="252" t="n"/>
      <c r="K53" s="13" t="n"/>
      <c r="L53" s="69" t="n"/>
      <c r="M53" s="66" t="n"/>
      <c r="N53" s="73" t="n"/>
      <c r="O53" s="19" t="n"/>
      <c r="P53" s="2" t="n"/>
    </row>
    <row r="54">
      <c r="A54" s="17" t="n"/>
      <c r="B54" s="14" t="n"/>
      <c r="C54" s="17" t="n"/>
      <c r="D54" s="14" t="n"/>
      <c r="E54" s="17" t="n"/>
      <c r="F54" s="57" t="n"/>
      <c r="G54" s="251" t="n"/>
      <c r="H54" s="252" t="n"/>
      <c r="I54" s="252" t="n"/>
      <c r="J54" s="252" t="n"/>
      <c r="K54" s="13" t="n"/>
      <c r="L54" s="69" t="n"/>
      <c r="M54" s="66" t="n"/>
      <c r="N54" s="73" t="n"/>
      <c r="O54" s="19" t="n"/>
      <c r="P54" s="2" t="n"/>
    </row>
    <row r="55">
      <c r="A55" s="17" t="n"/>
      <c r="B55" s="14" t="n"/>
      <c r="C55" s="17" t="n"/>
      <c r="D55" s="14" t="n"/>
      <c r="E55" s="17" t="n"/>
      <c r="F55" s="57" t="n"/>
      <c r="G55" s="251" t="n"/>
      <c r="H55" s="252" t="n"/>
      <c r="I55" s="252" t="n"/>
      <c r="J55" s="252" t="n"/>
      <c r="K55" s="13" t="n"/>
      <c r="L55" s="69" t="n"/>
      <c r="M55" s="66" t="n"/>
      <c r="N55" s="73" t="n"/>
      <c r="O55" s="19" t="n"/>
      <c r="P55" s="2" t="n"/>
    </row>
    <row r="56">
      <c r="A56" s="17" t="n"/>
      <c r="B56" s="14" t="n"/>
      <c r="C56" s="17" t="n"/>
      <c r="D56" s="14" t="n"/>
      <c r="E56" s="17" t="n"/>
      <c r="F56" s="57" t="n"/>
      <c r="G56" s="251" t="n"/>
      <c r="H56" s="252" t="n"/>
      <c r="I56" s="252" t="n"/>
      <c r="J56" s="252" t="n"/>
      <c r="K56" s="13" t="n"/>
      <c r="L56" s="69" t="n"/>
      <c r="M56" s="66" t="n"/>
      <c r="N56" s="73" t="n"/>
      <c r="O56" s="19" t="n"/>
      <c r="P56" s="2" t="n"/>
    </row>
    <row r="57">
      <c r="A57" s="17" t="n"/>
      <c r="B57" s="14" t="n"/>
      <c r="C57" s="17" t="n"/>
      <c r="D57" s="14" t="n"/>
      <c r="E57" s="17" t="n"/>
      <c r="F57" s="57" t="n"/>
      <c r="G57" s="251" t="n"/>
      <c r="H57" s="252" t="n"/>
      <c r="I57" s="252" t="n"/>
      <c r="J57" s="252" t="n"/>
      <c r="K57" s="13" t="n"/>
      <c r="L57" s="69" t="n"/>
      <c r="M57" s="66" t="n"/>
      <c r="N57" s="73" t="n"/>
      <c r="O57" s="19" t="n"/>
      <c r="P57" s="2" t="n"/>
    </row>
    <row r="58">
      <c r="A58" s="17" t="n"/>
      <c r="B58" s="14" t="n"/>
      <c r="C58" s="17" t="n"/>
      <c r="D58" s="14" t="n"/>
      <c r="E58" s="17" t="n"/>
      <c r="F58" s="57" t="n"/>
      <c r="G58" s="251" t="n"/>
      <c r="H58" s="252" t="n"/>
      <c r="I58" s="252" t="n"/>
      <c r="J58" s="252" t="n"/>
      <c r="K58" s="13" t="n"/>
      <c r="L58" s="69" t="n"/>
      <c r="M58" s="66" t="n"/>
      <c r="N58" s="73" t="n"/>
      <c r="O58" s="19" t="n"/>
      <c r="P58" s="2" t="n"/>
    </row>
    <row r="59">
      <c r="A59" s="17" t="n"/>
      <c r="B59" s="14" t="n"/>
      <c r="C59" s="17" t="n"/>
      <c r="D59" s="14" t="n"/>
      <c r="E59" s="17" t="n"/>
      <c r="F59" s="57" t="n"/>
      <c r="G59" s="251" t="n"/>
      <c r="H59" s="252" t="n"/>
      <c r="I59" s="252" t="n"/>
      <c r="J59" s="252" t="n"/>
      <c r="K59" s="13" t="n"/>
      <c r="L59" s="69" t="n"/>
      <c r="M59" s="66" t="n"/>
      <c r="N59" s="73" t="n"/>
      <c r="O59" s="19" t="n"/>
      <c r="P59" s="2" t="n"/>
    </row>
    <row r="60">
      <c r="A60" s="17" t="n"/>
      <c r="B60" s="14" t="n"/>
      <c r="C60" s="17" t="n"/>
      <c r="D60" s="14" t="n"/>
      <c r="E60" s="17" t="n"/>
      <c r="F60" s="57" t="n"/>
      <c r="G60" s="251" t="n"/>
      <c r="H60" s="252" t="n"/>
      <c r="I60" s="252" t="n"/>
      <c r="J60" s="252" t="n"/>
      <c r="K60" s="13" t="n"/>
      <c r="L60" s="69" t="n"/>
      <c r="M60" s="66" t="n"/>
      <c r="N60" s="73" t="n"/>
      <c r="O60" s="19" t="n"/>
      <c r="P60" s="2" t="n"/>
    </row>
    <row r="61">
      <c r="A61" s="17" t="n"/>
      <c r="B61" s="14" t="n"/>
      <c r="C61" s="17" t="n"/>
      <c r="D61" s="14" t="n"/>
      <c r="E61" s="17" t="n"/>
      <c r="F61" s="57" t="n"/>
      <c r="G61" s="251" t="n"/>
      <c r="H61" s="252" t="n"/>
      <c r="I61" s="252" t="n"/>
      <c r="J61" s="252" t="n"/>
      <c r="K61" s="13" t="n"/>
      <c r="L61" s="69" t="n"/>
      <c r="M61" s="66" t="n"/>
      <c r="N61" s="73" t="n"/>
      <c r="O61" s="19" t="n"/>
      <c r="P61" s="2" t="n"/>
    </row>
    <row r="62">
      <c r="A62" s="17" t="n"/>
      <c r="B62" s="14" t="n"/>
      <c r="C62" s="17" t="n"/>
      <c r="D62" s="14" t="n"/>
      <c r="E62" s="17" t="n"/>
      <c r="F62" s="57" t="n"/>
      <c r="G62" s="251" t="n"/>
      <c r="H62" s="252" t="n"/>
      <c r="I62" s="252" t="n"/>
      <c r="J62" s="252" t="n"/>
      <c r="K62" s="13" t="n"/>
      <c r="L62" s="69" t="n"/>
      <c r="M62" s="66" t="n"/>
      <c r="N62" s="73" t="n"/>
      <c r="O62" s="19" t="n"/>
      <c r="P62" s="2" t="n"/>
    </row>
    <row r="63">
      <c r="A63" s="17" t="n"/>
      <c r="B63" s="14" t="n"/>
      <c r="C63" s="17" t="n"/>
      <c r="D63" s="14" t="n"/>
      <c r="E63" s="17" t="n"/>
      <c r="F63" s="57" t="n"/>
      <c r="G63" s="251" t="n"/>
      <c r="H63" s="252" t="n"/>
      <c r="I63" s="252" t="n"/>
      <c r="J63" s="252" t="n"/>
      <c r="K63" s="13" t="n"/>
      <c r="L63" s="69" t="n"/>
      <c r="M63" s="66" t="n"/>
      <c r="N63" s="73" t="n"/>
      <c r="O63" s="19" t="n"/>
      <c r="P63" s="2" t="n"/>
    </row>
    <row r="64">
      <c r="A64" s="17" t="n"/>
      <c r="B64" s="14" t="n"/>
      <c r="C64" s="17" t="n"/>
      <c r="D64" s="14" t="n"/>
      <c r="E64" s="17" t="n"/>
      <c r="F64" s="57" t="n"/>
      <c r="G64" s="251" t="n"/>
      <c r="H64" s="252" t="n"/>
      <c r="I64" s="252" t="n"/>
      <c r="J64" s="252" t="n"/>
      <c r="K64" s="13" t="n"/>
      <c r="L64" s="69" t="n"/>
      <c r="M64" s="66" t="n"/>
      <c r="N64" s="73" t="n"/>
      <c r="O64" s="19" t="n"/>
      <c r="P64" s="2" t="n"/>
    </row>
    <row r="65">
      <c r="A65" s="17" t="n"/>
      <c r="B65" s="14" t="n"/>
      <c r="C65" s="17" t="n"/>
      <c r="D65" s="14" t="n"/>
      <c r="E65" s="17" t="n"/>
      <c r="F65" s="57" t="n"/>
      <c r="G65" s="251" t="n"/>
      <c r="H65" s="252" t="n"/>
      <c r="I65" s="252" t="n"/>
      <c r="J65" s="252" t="n"/>
      <c r="K65" s="13" t="n"/>
      <c r="L65" s="69" t="n"/>
      <c r="M65" s="66" t="n"/>
      <c r="N65" s="73" t="n"/>
      <c r="O65" s="19" t="n"/>
      <c r="P65" s="2" t="n"/>
    </row>
    <row r="66">
      <c r="A66" s="17" t="n"/>
      <c r="B66" s="14" t="n"/>
      <c r="C66" s="17" t="n"/>
      <c r="D66" s="14" t="n"/>
      <c r="E66" s="17" t="n"/>
      <c r="F66" s="57" t="n"/>
      <c r="G66" s="251" t="n"/>
      <c r="H66" s="252" t="n"/>
      <c r="I66" s="252" t="n"/>
      <c r="J66" s="252" t="n"/>
      <c r="K66" s="13" t="n"/>
      <c r="L66" s="69" t="n"/>
      <c r="M66" s="66" t="n"/>
      <c r="N66" s="73" t="n"/>
      <c r="O66" s="19" t="n"/>
      <c r="P66" s="2" t="n"/>
    </row>
    <row r="67">
      <c r="A67" s="17" t="n"/>
      <c r="B67" s="14" t="n"/>
      <c r="C67" s="17" t="n"/>
      <c r="D67" s="14" t="n"/>
      <c r="E67" s="17" t="n"/>
      <c r="F67" s="57" t="n"/>
      <c r="G67" s="251" t="n"/>
      <c r="H67" s="252" t="n"/>
      <c r="I67" s="252" t="n"/>
      <c r="J67" s="252" t="n"/>
      <c r="K67" s="13" t="n"/>
      <c r="L67" s="69" t="n"/>
      <c r="M67" s="66" t="n"/>
      <c r="N67" s="73" t="n"/>
      <c r="O67" s="19" t="n"/>
      <c r="P67" s="2" t="n"/>
    </row>
    <row r="68">
      <c r="A68" s="17" t="n"/>
      <c r="B68" s="14" t="n"/>
      <c r="C68" s="17" t="n"/>
      <c r="D68" s="14" t="n"/>
      <c r="E68" s="17" t="n"/>
      <c r="F68" s="57" t="n"/>
      <c r="G68" s="251" t="n"/>
      <c r="H68" s="252" t="n"/>
      <c r="I68" s="252" t="n"/>
      <c r="J68" s="252" t="n"/>
      <c r="K68" s="13" t="n"/>
      <c r="L68" s="69" t="n"/>
      <c r="M68" s="66" t="n"/>
      <c r="N68" s="73" t="n"/>
      <c r="O68" s="19" t="n"/>
      <c r="P68" s="2" t="n"/>
    </row>
    <row r="69">
      <c r="A69" s="17" t="n"/>
      <c r="B69" s="14" t="n"/>
      <c r="C69" s="17" t="n"/>
      <c r="D69" s="14" t="n"/>
      <c r="E69" s="17" t="n"/>
      <c r="F69" s="57" t="n"/>
      <c r="G69" s="251" t="n"/>
      <c r="H69" s="252" t="n"/>
      <c r="I69" s="252" t="n"/>
      <c r="J69" s="252" t="n"/>
      <c r="K69" s="13" t="n"/>
      <c r="L69" s="69" t="n"/>
      <c r="M69" s="66" t="n"/>
      <c r="N69" s="73" t="n"/>
      <c r="O69" s="19" t="n"/>
      <c r="P69" s="2" t="n"/>
    </row>
    <row r="70">
      <c r="A70" s="17" t="n"/>
      <c r="B70" s="14" t="n"/>
      <c r="C70" s="17" t="n"/>
      <c r="D70" s="14" t="n"/>
      <c r="E70" s="17" t="n"/>
      <c r="F70" s="57" t="n"/>
      <c r="G70" s="251" t="n"/>
      <c r="H70" s="252" t="n"/>
      <c r="I70" s="252" t="n"/>
      <c r="J70" s="252" t="n"/>
      <c r="K70" s="13" t="n"/>
      <c r="L70" s="69" t="n"/>
      <c r="M70" s="66" t="n"/>
      <c r="N70" s="73" t="n"/>
      <c r="O70" s="19" t="n"/>
      <c r="P70" s="2" t="n"/>
    </row>
    <row r="71">
      <c r="A71" s="17" t="n"/>
      <c r="B71" s="14" t="n"/>
      <c r="C71" s="17" t="n"/>
      <c r="D71" s="14" t="n"/>
      <c r="E71" s="17" t="n"/>
      <c r="F71" s="57" t="n"/>
      <c r="G71" s="251" t="n"/>
      <c r="H71" s="252" t="n"/>
      <c r="I71" s="252" t="n"/>
      <c r="J71" s="252" t="n"/>
      <c r="K71" s="13" t="n"/>
      <c r="L71" s="69" t="n"/>
      <c r="M71" s="66" t="n"/>
      <c r="N71" s="73" t="n"/>
      <c r="O71" s="19" t="n"/>
      <c r="P71" s="2" t="n"/>
    </row>
    <row r="72">
      <c r="A72" s="17" t="n"/>
      <c r="B72" s="14" t="n"/>
      <c r="C72" s="17" t="n"/>
      <c r="D72" s="14" t="n"/>
      <c r="E72" s="17" t="n"/>
      <c r="F72" s="57" t="n"/>
      <c r="G72" s="251" t="n"/>
      <c r="H72" s="252" t="n"/>
      <c r="I72" s="252" t="n"/>
      <c r="J72" s="252" t="n"/>
      <c r="K72" s="13" t="n"/>
      <c r="L72" s="69" t="n"/>
      <c r="M72" s="66" t="n"/>
      <c r="N72" s="73" t="n"/>
      <c r="O72" s="19" t="n"/>
      <c r="P72" s="2" t="n"/>
    </row>
    <row r="73">
      <c r="A73" s="17" t="n"/>
      <c r="B73" s="14" t="n"/>
      <c r="C73" s="17" t="n"/>
      <c r="D73" s="14" t="n"/>
      <c r="E73" s="17" t="n"/>
      <c r="F73" s="57" t="n"/>
      <c r="G73" s="251" t="n"/>
      <c r="H73" s="252" t="n"/>
      <c r="I73" s="252" t="n"/>
      <c r="J73" s="252" t="n"/>
      <c r="K73" s="13" t="n"/>
      <c r="L73" s="69" t="n"/>
      <c r="M73" s="66" t="n"/>
      <c r="N73" s="73" t="n"/>
      <c r="O73" s="19" t="n"/>
      <c r="P73" s="2" t="n"/>
    </row>
    <row r="74">
      <c r="A74" s="17" t="n"/>
      <c r="B74" s="14" t="n"/>
      <c r="C74" s="17" t="n"/>
      <c r="D74" s="14" t="n"/>
      <c r="E74" s="17" t="n"/>
      <c r="F74" s="57" t="n"/>
      <c r="G74" s="251" t="n"/>
      <c r="H74" s="252" t="n"/>
      <c r="I74" s="252" t="n"/>
      <c r="J74" s="252" t="n"/>
      <c r="K74" s="13" t="n"/>
      <c r="L74" s="69" t="n"/>
      <c r="M74" s="66" t="n"/>
      <c r="N74" s="73" t="n"/>
      <c r="O74" s="19" t="n"/>
      <c r="P74" s="2" t="n"/>
    </row>
    <row r="75">
      <c r="A75" s="17" t="n"/>
      <c r="B75" s="14" t="n"/>
      <c r="C75" s="17" t="n"/>
      <c r="D75" s="14" t="n"/>
      <c r="E75" s="17" t="n"/>
      <c r="F75" s="57" t="n"/>
      <c r="G75" s="251" t="n"/>
      <c r="H75" s="252" t="n"/>
      <c r="I75" s="252" t="n"/>
      <c r="J75" s="252" t="n"/>
      <c r="K75" s="13" t="n"/>
      <c r="L75" s="69" t="n"/>
      <c r="M75" s="66" t="n"/>
      <c r="N75" s="73" t="n"/>
      <c r="O75" s="19" t="n"/>
      <c r="P75" s="2" t="n"/>
    </row>
    <row r="76">
      <c r="A76" s="17" t="n"/>
      <c r="B76" s="14" t="n"/>
      <c r="C76" s="17" t="n"/>
      <c r="D76" s="14" t="n"/>
      <c r="E76" s="17" t="n"/>
      <c r="F76" s="57" t="n"/>
      <c r="G76" s="251" t="n"/>
      <c r="H76" s="252" t="n"/>
      <c r="I76" s="252" t="n"/>
      <c r="J76" s="252" t="n"/>
      <c r="K76" s="13" t="n"/>
      <c r="L76" s="69" t="n"/>
      <c r="M76" s="66" t="n"/>
      <c r="N76" s="73" t="n"/>
      <c r="O76" s="19" t="n"/>
      <c r="P76" s="2" t="n"/>
    </row>
    <row r="77">
      <c r="A77" s="17" t="n"/>
      <c r="B77" s="14" t="n"/>
      <c r="C77" s="17" t="n"/>
      <c r="D77" s="14" t="n"/>
      <c r="E77" s="17" t="n"/>
      <c r="F77" s="57" t="n"/>
      <c r="G77" s="251" t="n"/>
      <c r="H77" s="252" t="n"/>
      <c r="I77" s="252" t="n"/>
      <c r="J77" s="252" t="n"/>
      <c r="K77" s="13" t="n"/>
      <c r="L77" s="69" t="n"/>
      <c r="M77" s="66" t="n"/>
      <c r="N77" s="73" t="n"/>
      <c r="O77" s="19" t="n"/>
      <c r="P77" s="2" t="n"/>
    </row>
    <row r="78">
      <c r="A78" s="17" t="n"/>
      <c r="B78" s="14" t="n"/>
      <c r="C78" s="17" t="n"/>
      <c r="D78" s="14" t="n"/>
      <c r="E78" s="17" t="n"/>
      <c r="F78" s="57" t="n"/>
      <c r="G78" s="251" t="n"/>
      <c r="H78" s="252" t="n"/>
      <c r="I78" s="252" t="n"/>
      <c r="J78" s="252" t="n"/>
      <c r="K78" s="13" t="n"/>
      <c r="L78" s="69" t="n"/>
      <c r="M78" s="66" t="n"/>
      <c r="N78" s="73" t="n"/>
      <c r="O78" s="19" t="n"/>
      <c r="P78" s="2" t="n"/>
    </row>
    <row r="79">
      <c r="A79" s="17" t="n"/>
      <c r="B79" s="14" t="n"/>
      <c r="C79" s="17" t="n"/>
      <c r="D79" s="14" t="n"/>
      <c r="E79" s="17" t="n"/>
      <c r="F79" s="57" t="n"/>
      <c r="G79" s="251" t="n"/>
      <c r="H79" s="252" t="n"/>
      <c r="I79" s="252" t="n"/>
      <c r="J79" s="252" t="n"/>
      <c r="K79" s="13" t="n"/>
      <c r="L79" s="69" t="n"/>
      <c r="M79" s="66" t="n"/>
      <c r="N79" s="73" t="n"/>
      <c r="O79" s="19" t="n"/>
      <c r="P79" s="2" t="n"/>
    </row>
    <row r="80">
      <c r="A80" s="17" t="n"/>
      <c r="B80" s="14" t="n"/>
      <c r="C80" s="17" t="n"/>
      <c r="D80" s="14" t="n"/>
      <c r="E80" s="17" t="n"/>
      <c r="F80" s="57" t="n"/>
      <c r="G80" s="251" t="n"/>
      <c r="H80" s="252" t="n"/>
      <c r="I80" s="252" t="n"/>
      <c r="J80" s="252" t="n"/>
      <c r="K80" s="13" t="n"/>
      <c r="L80" s="69" t="n"/>
      <c r="M80" s="66" t="n"/>
      <c r="N80" s="73" t="n"/>
      <c r="O80" s="19" t="n"/>
      <c r="P80" s="2" t="n"/>
    </row>
    <row r="81">
      <c r="A81" s="17" t="n"/>
      <c r="B81" s="14" t="n"/>
      <c r="C81" s="17" t="n"/>
      <c r="D81" s="14" t="n"/>
      <c r="E81" s="17" t="n"/>
      <c r="F81" s="57" t="n"/>
      <c r="G81" s="251" t="n"/>
      <c r="H81" s="252" t="n"/>
      <c r="I81" s="252" t="n"/>
      <c r="J81" s="252" t="n"/>
      <c r="K81" s="13" t="n"/>
      <c r="L81" s="69" t="n"/>
      <c r="M81" s="66" t="n"/>
      <c r="N81" s="73" t="n"/>
      <c r="O81" s="19" t="n"/>
      <c r="P81" s="2" t="n"/>
    </row>
    <row r="82">
      <c r="A82" s="17" t="n"/>
      <c r="B82" s="14" t="n"/>
      <c r="C82" s="17" t="n"/>
      <c r="D82" s="14" t="n"/>
      <c r="E82" s="17" t="n"/>
      <c r="F82" s="57" t="n"/>
      <c r="G82" s="251" t="n"/>
      <c r="H82" s="252" t="n"/>
      <c r="I82" s="252" t="n"/>
      <c r="J82" s="252" t="n"/>
      <c r="K82" s="13" t="n"/>
      <c r="L82" s="69" t="n"/>
      <c r="M82" s="66" t="n"/>
      <c r="N82" s="73" t="n"/>
      <c r="O82" s="19" t="n"/>
      <c r="P82" s="2" t="n"/>
    </row>
    <row r="83">
      <c r="A83" s="17" t="n"/>
      <c r="B83" s="14" t="n"/>
      <c r="C83" s="17" t="n"/>
      <c r="D83" s="14" t="n"/>
      <c r="E83" s="17" t="n"/>
      <c r="F83" s="57" t="n"/>
      <c r="G83" s="251" t="n"/>
      <c r="H83" s="252" t="n"/>
      <c r="I83" s="252" t="n"/>
      <c r="J83" s="252" t="n"/>
      <c r="K83" s="13" t="n"/>
      <c r="L83" s="69" t="n"/>
      <c r="M83" s="66" t="n"/>
      <c r="N83" s="73" t="n"/>
      <c r="O83" s="19" t="n"/>
      <c r="P83" s="2" t="n"/>
    </row>
    <row r="84">
      <c r="A84" s="17" t="n"/>
      <c r="B84" s="14" t="n"/>
      <c r="C84" s="17" t="n"/>
      <c r="D84" s="14" t="n"/>
      <c r="E84" s="17" t="n"/>
      <c r="F84" s="57" t="n"/>
      <c r="G84" s="251" t="n"/>
      <c r="H84" s="252" t="n"/>
      <c r="I84" s="252" t="n"/>
      <c r="J84" s="252" t="n"/>
      <c r="K84" s="13" t="n"/>
      <c r="L84" s="69" t="n"/>
      <c r="M84" s="66" t="n"/>
      <c r="N84" s="73" t="n"/>
      <c r="O84" s="19" t="n"/>
      <c r="P84" s="2" t="n"/>
    </row>
    <row r="85">
      <c r="A85" s="17" t="n"/>
      <c r="B85" s="14" t="n"/>
      <c r="C85" s="17" t="n"/>
      <c r="D85" s="14" t="n"/>
      <c r="E85" s="17" t="n"/>
      <c r="F85" s="57" t="n"/>
      <c r="G85" s="251" t="n"/>
      <c r="H85" s="252" t="n"/>
      <c r="I85" s="252" t="n"/>
      <c r="J85" s="252" t="n"/>
      <c r="K85" s="13" t="n"/>
      <c r="L85" s="69" t="n"/>
      <c r="M85" s="66" t="n"/>
      <c r="N85" s="73" t="n"/>
      <c r="O85" s="19" t="n"/>
      <c r="P85" s="2" t="n"/>
    </row>
    <row r="86">
      <c r="A86" s="17" t="n"/>
      <c r="B86" s="14" t="n"/>
      <c r="C86" s="17" t="n"/>
      <c r="D86" s="14" t="n"/>
      <c r="E86" s="17" t="n"/>
      <c r="F86" s="57" t="n"/>
      <c r="G86" s="251" t="n"/>
      <c r="H86" s="252" t="n"/>
      <c r="I86" s="252" t="n"/>
      <c r="J86" s="252" t="n"/>
      <c r="K86" s="13" t="n"/>
      <c r="L86" s="69" t="n"/>
      <c r="M86" s="66" t="n"/>
      <c r="N86" s="73" t="n"/>
      <c r="O86" s="19" t="n"/>
      <c r="P86" s="2" t="n"/>
    </row>
    <row r="87">
      <c r="A87" s="17" t="n"/>
      <c r="B87" s="14" t="n"/>
      <c r="C87" s="17" t="n"/>
      <c r="D87" s="14" t="n"/>
      <c r="E87" s="17" t="n"/>
      <c r="F87" s="57" t="n"/>
      <c r="G87" s="251" t="n"/>
      <c r="H87" s="252" t="n"/>
      <c r="I87" s="252" t="n"/>
      <c r="J87" s="252" t="n"/>
      <c r="K87" s="13" t="n"/>
      <c r="L87" s="69" t="n"/>
      <c r="M87" s="66" t="n"/>
      <c r="N87" s="73" t="n"/>
      <c r="O87" s="19" t="n"/>
      <c r="P87" s="2" t="n"/>
    </row>
    <row r="88">
      <c r="A88" s="17" t="n"/>
      <c r="B88" s="14" t="n"/>
      <c r="C88" s="17" t="n"/>
      <c r="D88" s="14" t="n"/>
      <c r="E88" s="17" t="n"/>
      <c r="F88" s="57" t="n"/>
      <c r="G88" s="251" t="n"/>
      <c r="H88" s="252" t="n"/>
      <c r="I88" s="252" t="n"/>
      <c r="J88" s="252" t="n"/>
      <c r="K88" s="13" t="n"/>
      <c r="L88" s="69" t="n"/>
      <c r="M88" s="66" t="n"/>
      <c r="N88" s="73" t="n"/>
      <c r="O88" s="19" t="n"/>
      <c r="P88" s="2" t="n"/>
    </row>
    <row r="89">
      <c r="A89" s="17" t="n"/>
      <c r="B89" s="14" t="n"/>
      <c r="C89" s="17" t="n"/>
      <c r="D89" s="14" t="n"/>
      <c r="E89" s="17" t="n"/>
      <c r="F89" s="57" t="n"/>
      <c r="G89" s="251" t="n"/>
      <c r="H89" s="252" t="n"/>
      <c r="I89" s="252" t="n"/>
      <c r="J89" s="252" t="n"/>
      <c r="K89" s="13" t="n"/>
      <c r="L89" s="69" t="n"/>
      <c r="M89" s="66" t="n"/>
      <c r="N89" s="73" t="n"/>
      <c r="O89" s="19" t="n"/>
      <c r="P89" s="2" t="n"/>
    </row>
    <row r="90">
      <c r="A90" s="17" t="n"/>
      <c r="B90" s="14" t="n"/>
      <c r="C90" s="17" t="n"/>
      <c r="D90" s="14" t="n"/>
      <c r="E90" s="17" t="n"/>
      <c r="F90" s="57" t="n"/>
      <c r="G90" s="251" t="n"/>
      <c r="H90" s="252" t="n"/>
      <c r="I90" s="252" t="n"/>
      <c r="J90" s="252" t="n"/>
      <c r="K90" s="13" t="n"/>
      <c r="L90" s="69" t="n"/>
      <c r="M90" s="66" t="n"/>
      <c r="N90" s="73" t="n"/>
      <c r="O90" s="19" t="n"/>
      <c r="P90" s="2" t="n"/>
    </row>
    <row r="91">
      <c r="A91" s="17" t="n"/>
      <c r="B91" s="14" t="n"/>
      <c r="C91" s="17" t="n"/>
      <c r="D91" s="14" t="n"/>
      <c r="E91" s="17" t="n"/>
      <c r="F91" s="57" t="n"/>
      <c r="G91" s="251" t="n"/>
      <c r="H91" s="252" t="n"/>
      <c r="I91" s="252" t="n"/>
      <c r="J91" s="252" t="n"/>
      <c r="K91" s="13" t="n"/>
      <c r="L91" s="69" t="n"/>
      <c r="M91" s="66" t="n"/>
      <c r="N91" s="73" t="n"/>
      <c r="O91" s="19" t="n"/>
      <c r="P91" s="2" t="n"/>
    </row>
    <row r="92">
      <c r="A92" s="17" t="n"/>
      <c r="B92" s="14" t="n"/>
      <c r="C92" s="17" t="n"/>
      <c r="D92" s="14" t="n"/>
      <c r="E92" s="17" t="n"/>
      <c r="F92" s="57" t="n"/>
      <c r="G92" s="251" t="n"/>
      <c r="H92" s="252" t="n"/>
      <c r="I92" s="252" t="n"/>
      <c r="J92" s="252" t="n"/>
      <c r="K92" s="13" t="n"/>
      <c r="L92" s="69" t="n"/>
      <c r="M92" s="66" t="n"/>
      <c r="N92" s="73" t="n"/>
      <c r="O92" s="19" t="n"/>
      <c r="P92" s="2" t="n"/>
    </row>
    <row r="93">
      <c r="A93" s="17" t="n"/>
      <c r="B93" s="14" t="n"/>
      <c r="C93" s="17" t="n"/>
      <c r="D93" s="14" t="n"/>
      <c r="E93" s="17" t="n"/>
      <c r="F93" s="57" t="n"/>
      <c r="G93" s="251" t="n"/>
      <c r="H93" s="252" t="n"/>
      <c r="I93" s="252" t="n"/>
      <c r="J93" s="252" t="n"/>
      <c r="K93" s="13" t="n"/>
      <c r="L93" s="69" t="n"/>
      <c r="M93" s="66" t="n"/>
      <c r="N93" s="73" t="n"/>
      <c r="O93" s="19" t="n"/>
      <c r="P93" s="2" t="n"/>
    </row>
    <row r="94">
      <c r="A94" s="17" t="n"/>
      <c r="B94" s="14" t="n"/>
      <c r="C94" s="17" t="n"/>
      <c r="D94" s="14" t="n"/>
      <c r="E94" s="17" t="n"/>
      <c r="F94" s="57" t="n"/>
      <c r="G94" s="251" t="n"/>
      <c r="H94" s="252" t="n"/>
      <c r="I94" s="252" t="n"/>
      <c r="J94" s="252" t="n"/>
      <c r="K94" s="13" t="n"/>
      <c r="L94" s="69" t="n"/>
      <c r="M94" s="66" t="n"/>
      <c r="N94" s="73" t="n"/>
      <c r="O94" s="19" t="n"/>
      <c r="P94" s="2" t="n"/>
    </row>
    <row r="95">
      <c r="A95" s="17" t="n"/>
      <c r="B95" s="14" t="n"/>
      <c r="C95" s="17" t="n"/>
      <c r="D95" s="14" t="n"/>
      <c r="E95" s="17" t="n"/>
      <c r="F95" s="57" t="n"/>
      <c r="G95" s="251" t="n"/>
      <c r="H95" s="252" t="n"/>
      <c r="I95" s="252" t="n"/>
      <c r="J95" s="252" t="n"/>
      <c r="K95" s="13" t="n"/>
      <c r="L95" s="69" t="n"/>
      <c r="M95" s="66" t="n"/>
      <c r="N95" s="73" t="n"/>
      <c r="O95" s="19" t="n"/>
      <c r="P95" s="2" t="n"/>
    </row>
    <row r="96">
      <c r="A96" s="17" t="n"/>
      <c r="B96" s="14" t="n"/>
      <c r="C96" s="17" t="n"/>
      <c r="D96" s="14" t="n"/>
      <c r="E96" s="17" t="n"/>
      <c r="F96" s="57" t="n"/>
      <c r="G96" s="251" t="n"/>
      <c r="H96" s="252" t="n"/>
      <c r="I96" s="252" t="n"/>
      <c r="J96" s="252" t="n"/>
      <c r="K96" s="13" t="n"/>
      <c r="L96" s="69" t="n"/>
      <c r="M96" s="66" t="n"/>
      <c r="N96" s="73" t="n"/>
      <c r="O96" s="19" t="n"/>
      <c r="P96" s="2" t="n"/>
    </row>
    <row r="97">
      <c r="A97" s="17" t="n"/>
      <c r="B97" s="14" t="n"/>
      <c r="C97" s="17" t="n"/>
      <c r="D97" s="14" t="n"/>
      <c r="E97" s="17" t="n"/>
      <c r="F97" s="57" t="n"/>
      <c r="G97" s="251" t="n"/>
      <c r="H97" s="252" t="n"/>
      <c r="I97" s="252" t="n"/>
      <c r="J97" s="252" t="n"/>
      <c r="K97" s="13" t="n"/>
      <c r="L97" s="69" t="n"/>
      <c r="M97" s="66" t="n"/>
      <c r="N97" s="73" t="n"/>
      <c r="O97" s="19" t="n"/>
      <c r="P97" s="2" t="n"/>
    </row>
    <row r="98">
      <c r="A98" s="17" t="n"/>
      <c r="B98" s="14" t="n"/>
      <c r="C98" s="17" t="n"/>
      <c r="D98" s="14" t="n"/>
      <c r="E98" s="17" t="n"/>
      <c r="F98" s="57" t="n"/>
      <c r="G98" s="251" t="n"/>
      <c r="H98" s="252" t="n"/>
      <c r="I98" s="252" t="n"/>
      <c r="J98" s="252" t="n"/>
      <c r="K98" s="13" t="n"/>
      <c r="L98" s="69" t="n"/>
      <c r="M98" s="66" t="n"/>
      <c r="N98" s="73" t="n"/>
      <c r="O98" s="19" t="n"/>
      <c r="P98" s="2" t="n"/>
    </row>
    <row r="99">
      <c r="A99" s="17" t="n"/>
      <c r="B99" s="14" t="n"/>
      <c r="C99" s="17" t="n"/>
      <c r="D99" s="14" t="n"/>
      <c r="E99" s="17" t="n"/>
      <c r="F99" s="57" t="n"/>
      <c r="G99" s="251" t="n"/>
      <c r="H99" s="252" t="n"/>
      <c r="I99" s="252" t="n"/>
      <c r="J99" s="252" t="n"/>
      <c r="K99" s="13" t="n"/>
      <c r="L99" s="69" t="n"/>
      <c r="M99" s="66" t="n"/>
      <c r="N99" s="73" t="n"/>
      <c r="O99" s="19" t="n"/>
      <c r="P99" s="2" t="n"/>
    </row>
    <row r="100">
      <c r="A100" s="17" t="n"/>
      <c r="B100" s="14" t="n"/>
      <c r="C100" s="17" t="n"/>
      <c r="D100" s="14" t="n"/>
      <c r="E100" s="17" t="n"/>
      <c r="F100" s="57" t="n"/>
      <c r="G100" s="251" t="n"/>
      <c r="H100" s="252" t="n"/>
      <c r="I100" s="252" t="n"/>
      <c r="J100" s="252" t="n"/>
      <c r="K100" s="13" t="n"/>
      <c r="L100" s="69" t="n"/>
      <c r="M100" s="66" t="n"/>
      <c r="N100" s="73" t="n"/>
      <c r="O100" s="19" t="n"/>
      <c r="P100" s="2" t="n"/>
    </row>
    <row r="101">
      <c r="A101" s="17" t="n"/>
      <c r="B101" s="14" t="n"/>
      <c r="C101" s="17" t="n"/>
      <c r="D101" s="14" t="n"/>
      <c r="E101" s="17" t="n"/>
      <c r="F101" s="57" t="n"/>
      <c r="G101" s="251" t="n"/>
      <c r="H101" s="252" t="n"/>
      <c r="I101" s="252" t="n"/>
      <c r="J101" s="252" t="n"/>
      <c r="K101" s="13" t="n"/>
      <c r="L101" s="69" t="n"/>
      <c r="M101" s="66" t="n"/>
      <c r="N101" s="73" t="n"/>
      <c r="O101" s="19" t="n"/>
      <c r="P101" s="2" t="n"/>
    </row>
    <row r="102">
      <c r="A102" s="17" t="n"/>
      <c r="B102" s="14" t="n"/>
      <c r="C102" s="17" t="n"/>
      <c r="D102" s="14" t="n"/>
      <c r="E102" s="17" t="n"/>
      <c r="F102" s="57" t="n"/>
      <c r="G102" s="251" t="n"/>
      <c r="H102" s="252" t="n"/>
      <c r="I102" s="252" t="n"/>
      <c r="J102" s="252" t="n"/>
      <c r="K102" s="13" t="n"/>
      <c r="L102" s="69" t="n"/>
      <c r="M102" s="66" t="n"/>
      <c r="N102" s="73" t="n"/>
      <c r="O102" s="19" t="n"/>
      <c r="P102" s="2" t="n"/>
    </row>
    <row r="103">
      <c r="A103" s="17" t="n"/>
      <c r="B103" s="14" t="n"/>
      <c r="C103" s="17" t="n"/>
      <c r="D103" s="14" t="n"/>
      <c r="E103" s="17" t="n"/>
      <c r="F103" s="57" t="n"/>
      <c r="G103" s="251" t="n"/>
      <c r="H103" s="252" t="n"/>
      <c r="I103" s="252" t="n"/>
      <c r="J103" s="252" t="n"/>
      <c r="K103" s="13" t="n"/>
      <c r="L103" s="69" t="n"/>
      <c r="M103" s="66" t="n"/>
      <c r="N103" s="73" t="n"/>
      <c r="O103" s="19" t="n"/>
      <c r="P103" s="2" t="n"/>
    </row>
    <row r="104">
      <c r="A104" s="17" t="n"/>
      <c r="B104" s="14" t="n"/>
      <c r="C104" s="17" t="n"/>
      <c r="D104" s="14" t="n"/>
      <c r="E104" s="17" t="n"/>
      <c r="F104" s="57" t="n"/>
      <c r="G104" s="251" t="n"/>
      <c r="H104" s="252" t="n"/>
      <c r="I104" s="252" t="n"/>
      <c r="J104" s="252" t="n"/>
      <c r="K104" s="13" t="n"/>
      <c r="L104" s="69" t="n"/>
      <c r="M104" s="66" t="n"/>
      <c r="N104" s="73" t="n"/>
      <c r="O104" s="19" t="n"/>
      <c r="P104" s="2" t="n"/>
    </row>
    <row r="105">
      <c r="A105" s="17" t="n"/>
      <c r="B105" s="14" t="n"/>
      <c r="C105" s="17" t="n"/>
      <c r="D105" s="14" t="n"/>
      <c r="E105" s="17" t="n"/>
      <c r="F105" s="57" t="n"/>
      <c r="G105" s="251" t="n"/>
      <c r="H105" s="252" t="n"/>
      <c r="I105" s="252" t="n"/>
      <c r="J105" s="252" t="n"/>
      <c r="K105" s="13" t="n"/>
      <c r="L105" s="69" t="n"/>
      <c r="M105" s="66" t="n"/>
      <c r="N105" s="73" t="n"/>
      <c r="O105" s="19" t="n"/>
      <c r="P105" s="2" t="n"/>
    </row>
    <row r="106" ht="17.25" customHeight="1" s="185" thickBot="1">
      <c r="A106" s="18" t="n"/>
      <c r="B106" s="16" t="n"/>
      <c r="C106" s="18" t="n"/>
      <c r="D106" s="16" t="n"/>
      <c r="E106" s="18" t="n"/>
      <c r="F106" s="77" t="n"/>
      <c r="G106" s="253" t="n"/>
      <c r="H106" s="254" t="n"/>
      <c r="I106" s="254" t="n"/>
      <c r="J106" s="254" t="n"/>
      <c r="K106" s="15" t="n"/>
      <c r="L106" s="71" t="n"/>
      <c r="M106" s="67" t="n"/>
      <c r="N106" s="74" t="n"/>
      <c r="O106" s="20" t="n"/>
      <c r="P106" s="4" t="n"/>
    </row>
  </sheetData>
  <mergeCells count="8">
    <mergeCell ref="M3:P3"/>
    <mergeCell ref="C3:C4"/>
    <mergeCell ref="A3:A4"/>
    <mergeCell ref="B3:B4"/>
    <mergeCell ref="E3:E4"/>
    <mergeCell ref="F3:F4"/>
    <mergeCell ref="G3:L3"/>
    <mergeCell ref="D3:D4"/>
  </mergeCells>
  <dataValidations count="3">
    <dataValidation sqref="M5:M106" showDropDown="0" showInputMessage="1" showErrorMessage="1" allowBlank="1" type="list">
      <formula1>"'-,확인중,조치중,조치완료,협의필요"</formula1>
    </dataValidation>
    <dataValidation sqref="I5:I106" showDropDown="0" showInputMessage="1" showErrorMessage="1" allowBlank="1" type="list">
      <formula1>"Web,Mobile"</formula1>
    </dataValidation>
    <dataValidation sqref="K5:K106" showDropDown="0" showInputMessage="1" showErrorMessage="1" allowBlank="1" type="list">
      <formula1>"미진행,정상,단순오류,개선사항,치명적오류"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06"/>
  <sheetViews>
    <sheetView zoomScaleNormal="100" workbookViewId="0">
      <pane xSplit="6" ySplit="4" topLeftCell="G5" activePane="bottomRight" state="frozen"/>
      <selection activeCell="N20" sqref="N20"/>
      <selection pane="topRight" activeCell="N20" sqref="N20"/>
      <selection pane="bottomLeft" activeCell="N20" sqref="N20"/>
      <selection pane="bottomRight" activeCell="N20" sqref="N20"/>
    </sheetView>
  </sheetViews>
  <sheetFormatPr baseColWidth="8" defaultRowHeight="16.5"/>
  <cols>
    <col width="14" customWidth="1" style="11" min="1" max="1"/>
    <col width="17.125" customWidth="1" style="1" min="2" max="2"/>
    <col width="14" customWidth="1" style="1" min="3" max="3"/>
    <col width="20.5" bestFit="1" customWidth="1" style="1" min="4" max="4"/>
    <col width="14" customWidth="1" style="11" min="5" max="5"/>
    <col width="71.75" customWidth="1" style="1" min="6" max="6"/>
    <col width="10.625" customWidth="1" style="1" min="7" max="7"/>
    <col width="7.75" customWidth="1" style="1" min="8" max="8"/>
    <col width="7.375" customWidth="1" style="1" min="9" max="9"/>
    <col width="7.5" customWidth="1" style="1" min="10" max="10"/>
    <col width="10.875" customWidth="1" style="1" min="11" max="11"/>
    <col width="34.875" customWidth="1" style="1" min="12" max="12"/>
    <col width="9" customWidth="1" style="1" min="13" max="13"/>
    <col width="11.625" customWidth="1" style="1" min="14" max="14"/>
    <col width="9" customWidth="1" style="1" min="15" max="15"/>
    <col width="64.25" customWidth="1" style="1" min="16" max="16"/>
    <col width="9" customWidth="1" style="1" min="17" max="16384"/>
  </cols>
  <sheetData>
    <row r="1" ht="20.25" customHeight="1" s="185">
      <c r="A1" s="238" t="inlineStr">
        <is>
          <t>04.RA전문심의</t>
        </is>
      </c>
      <c r="C1" s="12" t="n"/>
    </row>
    <row r="2" ht="17.25" customHeight="1" s="185" thickBot="1"/>
    <row r="3">
      <c r="A3" s="239" t="inlineStr">
        <is>
          <t>테스트시나리오ID</t>
        </is>
      </c>
      <c r="B3" s="240" t="inlineStr">
        <is>
          <t>시나리오명</t>
        </is>
      </c>
      <c r="C3" s="239" t="inlineStr">
        <is>
          <t>테스트케이스ID</t>
        </is>
      </c>
      <c r="D3" s="240" t="inlineStr">
        <is>
          <t>케이스명</t>
        </is>
      </c>
      <c r="E3" s="239" t="inlineStr">
        <is>
          <t>화면ID</t>
        </is>
      </c>
      <c r="F3" s="241" t="inlineStr">
        <is>
          <t>예상결과</t>
        </is>
      </c>
      <c r="G3" s="167" t="inlineStr">
        <is>
          <t>테스트결과</t>
        </is>
      </c>
      <c r="H3" s="199" t="n"/>
      <c r="I3" s="199" t="n"/>
      <c r="J3" s="199" t="n"/>
      <c r="K3" s="199" t="n"/>
      <c r="L3" s="255" t="n"/>
      <c r="M3" s="157" t="inlineStr">
        <is>
          <t>조치사항</t>
        </is>
      </c>
      <c r="N3" s="243" t="n"/>
      <c r="O3" s="243" t="n"/>
      <c r="P3" s="243" t="n"/>
    </row>
    <row r="4" ht="17.25" customHeight="1" s="185" thickBot="1">
      <c r="A4" s="244" t="n"/>
      <c r="B4" s="245" t="n"/>
      <c r="C4" s="244" t="n"/>
      <c r="D4" s="245" t="n"/>
      <c r="E4" s="244" t="n"/>
      <c r="F4" s="246" t="n"/>
      <c r="G4" s="55" t="inlineStr">
        <is>
          <t>테스트날짜</t>
        </is>
      </c>
      <c r="H4" s="56" t="inlineStr">
        <is>
          <t>수행자</t>
        </is>
      </c>
      <c r="I4" s="65" t="inlineStr">
        <is>
          <t>구분</t>
        </is>
      </c>
      <c r="J4" s="65" t="inlineStr">
        <is>
          <t>실패여부</t>
        </is>
      </c>
      <c r="K4" s="65" t="inlineStr">
        <is>
          <t>결과구분</t>
        </is>
      </c>
      <c r="L4" s="85" t="inlineStr">
        <is>
          <t>실제결과</t>
        </is>
      </c>
      <c r="M4" s="86" t="inlineStr">
        <is>
          <t>조치여부</t>
        </is>
      </c>
      <c r="N4" s="87" t="inlineStr">
        <is>
          <t>조치일자</t>
        </is>
      </c>
      <c r="O4" s="88" t="inlineStr">
        <is>
          <t>조치담당자</t>
        </is>
      </c>
      <c r="P4" s="88" t="inlineStr">
        <is>
          <t>담당자 의견</t>
        </is>
      </c>
    </row>
    <row r="5">
      <c r="A5" s="247" t="inlineStr">
        <is>
          <t>TS_RA_0100</t>
        </is>
      </c>
      <c r="B5" s="248" t="inlineStr">
        <is>
          <t>심의 접수 관리</t>
        </is>
      </c>
      <c r="C5" s="247" t="inlineStr">
        <is>
          <t>TC_RA_0101</t>
        </is>
      </c>
      <c r="D5" s="248" t="inlineStr">
        <is>
          <t>심의 대기 그리드 목록 조회</t>
        </is>
      </c>
      <c r="E5" s="247" t="inlineStr">
        <is>
          <t>SCR_RA_01</t>
        </is>
      </c>
      <c r="F5" s="248" t="inlineStr">
        <is>
          <t>브랜드, 의뢰일시, 위험도순 정렬 및 다중 필터링</t>
        </is>
      </c>
      <c r="G5" s="249" t="inlineStr">
        <is>
          <t>2026-10-16</t>
        </is>
      </c>
      <c r="H5" s="249" t="inlineStr">
        <is>
          <t>EMPASY QA팀</t>
        </is>
      </c>
      <c r="I5" s="249" t="inlineStr">
        <is>
          <t>Web</t>
        </is>
      </c>
      <c r="J5" s="249">
        <f>IFERROR(_xlfn.IFS($K5="정상","P",$K5="단순오류","F",$K5="개선사항","F",$K5="치명적오류","F",$K5="미진행","N"),"")</f>
        <v/>
      </c>
      <c r="K5" s="250" t="inlineStr">
        <is>
          <t>정상</t>
        </is>
      </c>
      <c r="L5" s="248" t="inlineStr">
        <is>
          <t>정상 패스</t>
        </is>
      </c>
      <c r="M5" s="76" t="n"/>
      <c r="N5" s="72" t="n"/>
      <c r="O5" s="24" t="n"/>
      <c r="P5" s="3" t="n"/>
    </row>
    <row r="6">
      <c r="A6" s="247" t="inlineStr">
        <is>
          <t>TS_RA_0100</t>
        </is>
      </c>
      <c r="B6" s="248" t="inlineStr">
        <is>
          <t>심의 접수 관리</t>
        </is>
      </c>
      <c r="C6" s="247" t="inlineStr">
        <is>
          <t>TC_RA_0102</t>
        </is>
      </c>
      <c r="D6" s="248" t="inlineStr">
        <is>
          <t>긴급 심의 플래그 처리</t>
        </is>
      </c>
      <c r="E6" s="247" t="inlineStr">
        <is>
          <t>SCR_RA_01</t>
        </is>
      </c>
      <c r="F6" s="248" t="inlineStr">
        <is>
          <t>마케터 긴급 의뢰 건에 대해 최상단 고정 및 빨간색 알림 표시</t>
        </is>
      </c>
      <c r="G6" s="249" t="inlineStr">
        <is>
          <t>2026-10-16</t>
        </is>
      </c>
      <c r="H6" s="249" t="inlineStr">
        <is>
          <t>EMPASY QA팀</t>
        </is>
      </c>
      <c r="I6" s="249" t="inlineStr">
        <is>
          <t>Web</t>
        </is>
      </c>
      <c r="J6" s="249">
        <f>IFERROR(_xlfn.IFS($K6="정상","P",$K6="단순오류","F",$K6="개선사항","F",$K6="치명적오류","F",$K6="미진행","N"),"")</f>
        <v/>
      </c>
      <c r="K6" s="250" t="inlineStr">
        <is>
          <t>정상</t>
        </is>
      </c>
      <c r="L6" s="248" t="inlineStr">
        <is>
          <t>정상 패스</t>
        </is>
      </c>
      <c r="M6" s="66" t="n"/>
      <c r="N6" s="73" t="n"/>
      <c r="O6" s="19" t="n"/>
      <c r="P6" s="2" t="n"/>
    </row>
    <row r="7">
      <c r="A7" s="247" t="inlineStr">
        <is>
          <t>TS_RA_0200</t>
        </is>
      </c>
      <c r="B7" s="248" t="inlineStr">
        <is>
          <t>전문 심의 콘솔</t>
        </is>
      </c>
      <c r="C7" s="247" t="inlineStr">
        <is>
          <t>TC_RA_0201</t>
        </is>
      </c>
      <c r="D7" s="248" t="inlineStr">
        <is>
          <t>전문가 오버라이드 (승인 전환)</t>
        </is>
      </c>
      <c r="E7" s="247" t="inlineStr">
        <is>
          <t>SCR_RA_02</t>
        </is>
      </c>
      <c r="F7" s="248" t="inlineStr">
        <is>
          <t>AI 주의 판정을 시험성적서 근거로 적합(PASS)으로 변경</t>
        </is>
      </c>
      <c r="G7" s="249" t="inlineStr">
        <is>
          <t>2026-10-16</t>
        </is>
      </c>
      <c r="H7" s="249" t="inlineStr">
        <is>
          <t>EMPASY QA팀</t>
        </is>
      </c>
      <c r="I7" s="249" t="inlineStr">
        <is>
          <t>Web</t>
        </is>
      </c>
      <c r="J7" s="249">
        <f>IFERROR(_xlfn.IFS($K7="정상","P",$K7="단순오류","F",$K7="개선사항","F",$K7="치명적오류","F",$K7="미진행","N"),"")</f>
        <v/>
      </c>
      <c r="K7" s="250" t="inlineStr">
        <is>
          <t>정상</t>
        </is>
      </c>
      <c r="L7" s="248" t="inlineStr">
        <is>
          <t>정상 패스</t>
        </is>
      </c>
      <c r="M7" s="75" t="n"/>
      <c r="N7" s="73" t="n"/>
      <c r="O7" s="19" t="n"/>
      <c r="P7" s="2" t="n"/>
    </row>
    <row r="8">
      <c r="A8" s="247" t="inlineStr">
        <is>
          <t>TS_RA_0200</t>
        </is>
      </c>
      <c r="B8" s="248" t="inlineStr">
        <is>
          <t>전문 심의 콘솔</t>
        </is>
      </c>
      <c r="C8" s="247" t="inlineStr">
        <is>
          <t>TC_RA_0202</t>
        </is>
      </c>
      <c r="D8" s="248" t="inlineStr">
        <is>
          <t>전문가 오버라이드 사유 필수 입력</t>
        </is>
      </c>
      <c r="E8" s="247" t="inlineStr">
        <is>
          <t>SCR_RA_02</t>
        </is>
      </c>
      <c r="F8" s="248" t="inlineStr">
        <is>
          <t>오버라이드 시 사유 미입력 상태에서 저장 시도시 필수 경고</t>
        </is>
      </c>
      <c r="G8" s="249" t="inlineStr">
        <is>
          <t>2026-10-16</t>
        </is>
      </c>
      <c r="H8" s="249" t="inlineStr">
        <is>
          <t>EMPASY QA팀</t>
        </is>
      </c>
      <c r="I8" s="249" t="inlineStr">
        <is>
          <t>Web</t>
        </is>
      </c>
      <c r="J8" s="249">
        <f>IFERROR(_xlfn.IFS($K8="정상","P",$K8="단순오류","F",$K8="개선사항","F",$K8="치명적오류","F",$K8="미진행","N"),"")</f>
        <v/>
      </c>
      <c r="K8" s="250" t="inlineStr">
        <is>
          <t>정상</t>
        </is>
      </c>
      <c r="L8" s="248" t="inlineStr">
        <is>
          <t>정상 패스</t>
        </is>
      </c>
      <c r="M8" s="66" t="n"/>
      <c r="N8" s="73" t="n"/>
      <c r="O8" s="19" t="n"/>
      <c r="P8" s="2" t="n"/>
    </row>
    <row r="9">
      <c r="A9" s="247" t="inlineStr">
        <is>
          <t>TS_RA_0200</t>
        </is>
      </c>
      <c r="B9" s="248" t="inlineStr">
        <is>
          <t>전문 심의 콘솔</t>
        </is>
      </c>
      <c r="C9" s="247" t="inlineStr">
        <is>
          <t>TC_RA_0203</t>
        </is>
      </c>
      <c r="D9" s="248" t="inlineStr">
        <is>
          <t>수정 권고 문구 작성 및 반려</t>
        </is>
      </c>
      <c r="E9" s="247" t="inlineStr">
        <is>
          <t>SCR_RA_02</t>
        </is>
      </c>
      <c r="F9" s="248" t="inlineStr">
        <is>
          <t>불가 문안에 대해 마케터 수정 가이드라인 작성 후 반려 전송</t>
        </is>
      </c>
      <c r="G9" s="249" t="inlineStr">
        <is>
          <t>2026-10-16</t>
        </is>
      </c>
      <c r="H9" s="249" t="inlineStr">
        <is>
          <t>EMPASY QA팀</t>
        </is>
      </c>
      <c r="I9" s="249" t="inlineStr">
        <is>
          <t>Web</t>
        </is>
      </c>
      <c r="J9" s="249">
        <f>IFERROR(_xlfn.IFS($K9="정상","P",$K9="단순오류","F",$K9="개선사항","F",$K9="치명적오류","F",$K9="미진행","N"),"")</f>
        <v/>
      </c>
      <c r="K9" s="250" t="inlineStr">
        <is>
          <t>정상</t>
        </is>
      </c>
      <c r="L9" s="248" t="inlineStr">
        <is>
          <t>정상 패스</t>
        </is>
      </c>
      <c r="M9" s="66" t="n"/>
      <c r="N9" s="73" t="n"/>
      <c r="O9" s="19" t="n"/>
      <c r="P9" s="2" t="n"/>
    </row>
    <row r="10">
      <c r="A10" s="247" t="inlineStr">
        <is>
          <t>TS_RA_0200</t>
        </is>
      </c>
      <c r="B10" s="248" t="inlineStr">
        <is>
          <t>전문 심의 콘솔</t>
        </is>
      </c>
      <c r="C10" s="247" t="inlineStr">
        <is>
          <t>TC_RA_0204</t>
        </is>
      </c>
      <c r="D10" s="248" t="inlineStr">
        <is>
          <t>최종 심의 확정 승인 처리</t>
        </is>
      </c>
      <c r="E10" s="247" t="inlineStr">
        <is>
          <t>SCR_RA_02</t>
        </is>
      </c>
      <c r="F10" s="248" t="inlineStr">
        <is>
          <t>전자 서명 검증 및 심의 상태 APPROVED 최종 락 처리</t>
        </is>
      </c>
      <c r="G10" s="249" t="inlineStr">
        <is>
          <t>2026-10-16</t>
        </is>
      </c>
      <c r="H10" s="249" t="inlineStr">
        <is>
          <t>EMPASY QA팀</t>
        </is>
      </c>
      <c r="I10" s="249" t="inlineStr">
        <is>
          <t>Web</t>
        </is>
      </c>
      <c r="J10" s="249">
        <f>IFERROR(_xlfn.IFS($K10="정상","P",$K10="단순오류","F",$K10="개선사항","F",$K10="치명적오류","F",$K10="미진행","N"),"")</f>
        <v/>
      </c>
      <c r="K10" s="250" t="inlineStr">
        <is>
          <t>정상</t>
        </is>
      </c>
      <c r="L10" s="248" t="inlineStr">
        <is>
          <t>정상 패스</t>
        </is>
      </c>
      <c r="M10" s="66" t="n"/>
      <c r="N10" s="73" t="n"/>
      <c r="O10" s="19" t="n"/>
      <c r="P10" s="2" t="n"/>
    </row>
    <row r="11">
      <c r="A11" s="247" t="inlineStr">
        <is>
          <t>TS_RA_0300</t>
        </is>
      </c>
      <c r="B11" s="248" t="inlineStr">
        <is>
          <t>리포트 및 이력</t>
        </is>
      </c>
      <c r="C11" s="247" t="inlineStr">
        <is>
          <t>TC_RA_0301</t>
        </is>
      </c>
      <c r="D11" s="248" t="inlineStr">
        <is>
          <t>심의 결과 공문 PDF 자동 생성</t>
        </is>
      </c>
      <c r="E11" s="247" t="inlineStr">
        <is>
          <t>SCR_RA_02</t>
        </is>
      </c>
      <c r="F11" s="248" t="inlineStr">
        <is>
          <t>A4 공문 양식 표지, 상세 대조표, RA 서명 포함 PDF 생성</t>
        </is>
      </c>
      <c r="G11" s="249" t="inlineStr">
        <is>
          <t>2026-10-16</t>
        </is>
      </c>
      <c r="H11" s="249" t="inlineStr">
        <is>
          <t>EMPASY QA팀</t>
        </is>
      </c>
      <c r="I11" s="249" t="inlineStr">
        <is>
          <t>Report</t>
        </is>
      </c>
      <c r="J11" s="249">
        <f>IFERROR(_xlfn.IFS($K11="정상","P",$K11="단순오류","F",$K11="개선사항","F",$K11="치명적오류","F",$K11="미진행","N"),"")</f>
        <v/>
      </c>
      <c r="K11" s="250" t="inlineStr">
        <is>
          <t>정상</t>
        </is>
      </c>
      <c r="L11" s="248" t="inlineStr">
        <is>
          <t>정상 패스</t>
        </is>
      </c>
      <c r="M11" s="66" t="n"/>
      <c r="N11" s="73" t="n"/>
      <c r="O11" s="19" t="n"/>
      <c r="P11" s="3" t="n"/>
    </row>
    <row r="12">
      <c r="A12" s="247" t="inlineStr">
        <is>
          <t>TS_RA_0300</t>
        </is>
      </c>
      <c r="B12" s="248" t="inlineStr">
        <is>
          <t>리포트 및 이력</t>
        </is>
      </c>
      <c r="C12" s="247" t="inlineStr">
        <is>
          <t>TC_RA_0302</t>
        </is>
      </c>
      <c r="D12" s="248" t="inlineStr">
        <is>
          <t>PDF 리포트 다운로드 및 출력</t>
        </is>
      </c>
      <c r="E12" s="247" t="inlineStr">
        <is>
          <t>SCR_RA_02</t>
        </is>
      </c>
      <c r="F12" s="248" t="inlineStr">
        <is>
          <t>다운로드된 PDF 파일의 레이아웃 및 폰트 깨짐 없음 검증</t>
        </is>
      </c>
      <c r="G12" s="249" t="inlineStr">
        <is>
          <t>2026-10-16</t>
        </is>
      </c>
      <c r="H12" s="249" t="inlineStr">
        <is>
          <t>EMPASY QA팀</t>
        </is>
      </c>
      <c r="I12" s="249" t="inlineStr">
        <is>
          <t>Report</t>
        </is>
      </c>
      <c r="J12" s="249">
        <f>IFERROR(_xlfn.IFS($K12="정상","P",$K12="단순오류","F",$K12="개선사항","F",$K12="치명적오류","F",$K12="미진행","N"),"")</f>
        <v/>
      </c>
      <c r="K12" s="250" t="inlineStr">
        <is>
          <t>정상</t>
        </is>
      </c>
      <c r="L12" s="248" t="inlineStr">
        <is>
          <t>정상 패스</t>
        </is>
      </c>
      <c r="M12" s="75" t="n"/>
      <c r="N12" s="73" t="n"/>
      <c r="O12" s="19" t="n"/>
      <c r="P12" s="2" t="n"/>
    </row>
    <row r="13">
      <c r="A13" s="247" t="inlineStr">
        <is>
          <t>TS_RA_0300</t>
        </is>
      </c>
      <c r="B13" s="248" t="inlineStr">
        <is>
          <t>리포트 및 이력</t>
        </is>
      </c>
      <c r="C13" s="247" t="inlineStr">
        <is>
          <t>TC_RA_0303</t>
        </is>
      </c>
      <c r="D13" s="248" t="inlineStr">
        <is>
          <t>버전별 변경 이력 Diff 뷰어</t>
        </is>
      </c>
      <c r="E13" s="247" t="inlineStr">
        <is>
          <t>SCR_RA_02</t>
        </is>
      </c>
      <c r="F13" s="248" t="inlineStr">
        <is>
          <t>시안 v1.0, v1.1, 최종 확정본 간의 문구 차이점 비교 렌더링</t>
        </is>
      </c>
      <c r="G13" s="249" t="inlineStr">
        <is>
          <t>2026-10-16</t>
        </is>
      </c>
      <c r="H13" s="249" t="inlineStr">
        <is>
          <t>EMPASY QA팀</t>
        </is>
      </c>
      <c r="I13" s="249" t="inlineStr">
        <is>
          <t>Web</t>
        </is>
      </c>
      <c r="J13" s="249">
        <f>IFERROR(_xlfn.IFS($K13="정상","P",$K13="단순오류","F",$K13="개선사항","F",$K13="치명적오류","F",$K13="미진행","N"),"")</f>
        <v/>
      </c>
      <c r="K13" s="250" t="inlineStr">
        <is>
          <t>정상</t>
        </is>
      </c>
      <c r="L13" s="248" t="inlineStr">
        <is>
          <t>정상 패스</t>
        </is>
      </c>
      <c r="M13" s="66" t="n"/>
      <c r="N13" s="73" t="n"/>
      <c r="O13" s="19" t="n"/>
      <c r="P13" s="2" t="n"/>
    </row>
    <row r="14">
      <c r="A14" s="247" t="inlineStr">
        <is>
          <t>TS_RA_0300</t>
        </is>
      </c>
      <c r="B14" s="248" t="inlineStr">
        <is>
          <t>리포트 및 이력</t>
        </is>
      </c>
      <c r="C14" s="247" t="inlineStr">
        <is>
          <t>TC_RA_0304</t>
        </is>
      </c>
      <c r="D14" s="248" t="inlineStr">
        <is>
          <t>일괄 승인(Batch Approve) 기능</t>
        </is>
      </c>
      <c r="E14" s="247" t="inlineStr">
        <is>
          <t>SCR_RA_01</t>
        </is>
      </c>
      <c r="F14" s="248" t="inlineStr">
        <is>
          <t>고위험 문구 0건인 안전 시안에 대한 다건 일괄 승인</t>
        </is>
      </c>
      <c r="G14" s="249" t="inlineStr">
        <is>
          <t>2026-10-16</t>
        </is>
      </c>
      <c r="H14" s="249" t="inlineStr">
        <is>
          <t>EMPASY QA팀</t>
        </is>
      </c>
      <c r="I14" s="249" t="inlineStr">
        <is>
          <t>Web</t>
        </is>
      </c>
      <c r="J14" s="249">
        <f>IFERROR(_xlfn.IFS($K14="정상","P",$K14="단순오류","F",$K14="개선사항","F",$K14="치명적오류","F",$K14="미진행","N"),"")</f>
        <v/>
      </c>
      <c r="K14" s="250" t="inlineStr">
        <is>
          <t>정상</t>
        </is>
      </c>
      <c r="L14" s="248" t="inlineStr">
        <is>
          <t>정상 패스</t>
        </is>
      </c>
      <c r="M14" s="66" t="n"/>
      <c r="N14" s="73" t="n"/>
      <c r="O14" s="19" t="n"/>
      <c r="P14" s="2" t="n"/>
    </row>
    <row r="15">
      <c r="A15" s="247" t="inlineStr">
        <is>
          <t>TS_RA_0300</t>
        </is>
      </c>
      <c r="B15" s="248" t="inlineStr">
        <is>
          <t>리포트 및 이력</t>
        </is>
      </c>
      <c r="C15" s="247" t="inlineStr">
        <is>
          <t>TC_RA_0305</t>
        </is>
      </c>
      <c r="D15" s="248" t="inlineStr">
        <is>
          <t>심의 처리 기한 초과 알림</t>
        </is>
      </c>
      <c r="E15" s="247" t="inlineStr">
        <is>
          <t>SCR_RA_01</t>
        </is>
      </c>
      <c r="F15" s="248" t="inlineStr">
        <is>
          <t>접수 후 48시간 초과 시 지연 경고 뱃지 및 메일 알림 발송</t>
        </is>
      </c>
      <c r="G15" s="249" t="inlineStr">
        <is>
          <t>2026-10-16</t>
        </is>
      </c>
      <c r="H15" s="249" t="inlineStr">
        <is>
          <t>EMPASY QA팀</t>
        </is>
      </c>
      <c r="I15" s="249" t="inlineStr">
        <is>
          <t>Batch</t>
        </is>
      </c>
      <c r="J15" s="249">
        <f>IFERROR(_xlfn.IFS($K15="정상","P",$K15="단순오류","F",$K15="개선사항","F",$K15="치명적오류","F",$K15="미진행","N"),"")</f>
        <v/>
      </c>
      <c r="K15" s="250" t="inlineStr">
        <is>
          <t>정상</t>
        </is>
      </c>
      <c r="L15" s="248" t="inlineStr">
        <is>
          <t>정상 패스</t>
        </is>
      </c>
      <c r="M15" s="66" t="n"/>
      <c r="N15" s="73" t="n"/>
      <c r="O15" s="19" t="n"/>
      <c r="P15" s="2" t="n"/>
    </row>
    <row r="16">
      <c r="A16" s="21" t="n"/>
      <c r="B16" s="14" t="n"/>
      <c r="C16" s="17" t="n"/>
      <c r="D16" s="14" t="n"/>
      <c r="E16" s="21" t="n"/>
      <c r="F16" s="57" t="n"/>
      <c r="G16" s="251" t="n"/>
      <c r="H16" s="252" t="n"/>
      <c r="I16" s="252" t="n"/>
      <c r="J16" s="252" t="n"/>
      <c r="K16" s="13" t="n"/>
      <c r="L16" s="69" t="n"/>
      <c r="M16" s="75" t="n"/>
      <c r="N16" s="73" t="n"/>
      <c r="O16" s="19" t="n"/>
      <c r="P16" s="2" t="n"/>
    </row>
    <row r="17">
      <c r="A17" s="17" t="n"/>
      <c r="B17" s="14" t="n"/>
      <c r="C17" s="17" t="n"/>
      <c r="D17" s="14" t="n"/>
      <c r="E17" s="21" t="n"/>
      <c r="F17" s="57" t="n"/>
      <c r="G17" s="251" t="n"/>
      <c r="H17" s="252" t="n"/>
      <c r="I17" s="252" t="n"/>
      <c r="J17" s="252" t="n"/>
      <c r="K17" s="13" t="n"/>
      <c r="L17" s="69" t="n"/>
      <c r="M17" s="66" t="n"/>
      <c r="N17" s="73" t="n"/>
      <c r="O17" s="19" t="n"/>
      <c r="P17" s="2" t="n"/>
    </row>
    <row r="18">
      <c r="A18" s="17" t="n"/>
      <c r="B18" s="14" t="n"/>
      <c r="C18" s="17" t="n"/>
      <c r="D18" s="14" t="n"/>
      <c r="E18" s="21" t="n"/>
      <c r="F18" s="57" t="n"/>
      <c r="G18" s="251" t="n"/>
      <c r="H18" s="252" t="n"/>
      <c r="I18" s="252" t="n"/>
      <c r="J18" s="252" t="n"/>
      <c r="K18" s="13" t="n"/>
      <c r="L18" s="69" t="n"/>
      <c r="M18" s="66" t="n"/>
      <c r="N18" s="73" t="n"/>
      <c r="O18" s="19" t="n"/>
      <c r="P18" s="2" t="n"/>
    </row>
    <row r="19">
      <c r="A19" s="17" t="n"/>
      <c r="B19" s="14" t="n"/>
      <c r="C19" s="17" t="n"/>
      <c r="D19" s="14" t="n"/>
      <c r="E19" s="21" t="n"/>
      <c r="F19" s="57" t="n"/>
      <c r="G19" s="251" t="n"/>
      <c r="H19" s="252" t="n"/>
      <c r="I19" s="252" t="n"/>
      <c r="J19" s="252" t="n"/>
      <c r="K19" s="13" t="n"/>
      <c r="L19" s="69" t="n"/>
      <c r="M19" s="66" t="n"/>
      <c r="N19" s="73" t="n"/>
      <c r="O19" s="19" t="n"/>
      <c r="P19" s="2" t="n"/>
    </row>
    <row r="20">
      <c r="A20" s="17" t="n"/>
      <c r="B20" s="14" t="n"/>
      <c r="C20" s="17" t="n"/>
      <c r="D20" s="14" t="n"/>
      <c r="E20" s="21" t="n"/>
      <c r="F20" s="57" t="n"/>
      <c r="G20" s="251" t="n"/>
      <c r="H20" s="252" t="n"/>
      <c r="I20" s="252" t="n"/>
      <c r="J20" s="252" t="n"/>
      <c r="K20" s="13" t="n"/>
      <c r="L20" s="69" t="n"/>
      <c r="M20" s="75" t="n"/>
      <c r="N20" s="73" t="n"/>
      <c r="O20" s="19" t="n"/>
      <c r="P20" s="2" t="n"/>
    </row>
    <row r="21">
      <c r="A21" s="17" t="n"/>
      <c r="B21" s="14" t="n"/>
      <c r="C21" s="17" t="n"/>
      <c r="D21" s="14" t="n"/>
      <c r="E21" s="21" t="n"/>
      <c r="F21" s="57" t="n"/>
      <c r="G21" s="251" t="n"/>
      <c r="H21" s="252" t="n"/>
      <c r="I21" s="252" t="n"/>
      <c r="J21" s="252" t="n"/>
      <c r="K21" s="13" t="n"/>
      <c r="L21" s="69" t="n"/>
      <c r="M21" s="66" t="n"/>
      <c r="N21" s="73" t="n"/>
      <c r="O21" s="19" t="n"/>
      <c r="P21" s="2" t="n"/>
    </row>
    <row r="22">
      <c r="A22" s="17" t="n"/>
      <c r="B22" s="14" t="n"/>
      <c r="C22" s="17" t="n"/>
      <c r="D22" s="14" t="n"/>
      <c r="E22" s="21" t="n"/>
      <c r="F22" s="57" t="n"/>
      <c r="G22" s="251" t="n"/>
      <c r="H22" s="252" t="n"/>
      <c r="I22" s="252" t="n"/>
      <c r="J22" s="252" t="n"/>
      <c r="K22" s="13" t="n"/>
      <c r="L22" s="69" t="n"/>
      <c r="M22" s="66" t="n"/>
      <c r="N22" s="73" t="n"/>
      <c r="O22" s="19" t="n"/>
      <c r="P22" s="2" t="n"/>
    </row>
    <row r="23">
      <c r="A23" s="17" t="n"/>
      <c r="B23" s="14" t="n"/>
      <c r="C23" s="17" t="n"/>
      <c r="D23" s="14" t="n"/>
      <c r="E23" s="21" t="n"/>
      <c r="F23" s="57" t="n"/>
      <c r="G23" s="251" t="n"/>
      <c r="H23" s="252" t="n"/>
      <c r="I23" s="252" t="n"/>
      <c r="J23" s="252" t="n"/>
      <c r="K23" s="13" t="n"/>
      <c r="L23" s="69" t="n"/>
      <c r="M23" s="66" t="n"/>
      <c r="N23" s="73" t="n"/>
      <c r="O23" s="19" t="n"/>
      <c r="P23" s="2" t="n"/>
    </row>
    <row r="24">
      <c r="A24" s="17" t="n"/>
      <c r="B24" s="14" t="n"/>
      <c r="C24" s="17" t="n"/>
      <c r="D24" s="14" t="n"/>
      <c r="E24" s="21" t="n"/>
      <c r="F24" s="57" t="n"/>
      <c r="G24" s="251" t="n"/>
      <c r="H24" s="252" t="n"/>
      <c r="I24" s="252" t="n"/>
      <c r="J24" s="252" t="n"/>
      <c r="K24" s="13" t="n"/>
      <c r="L24" s="68" t="n"/>
      <c r="M24" s="66" t="n"/>
      <c r="N24" s="73" t="n"/>
      <c r="O24" s="19" t="n"/>
      <c r="P24" s="3" t="n"/>
    </row>
    <row r="25">
      <c r="A25" s="17" t="n"/>
      <c r="B25" s="14" t="n"/>
      <c r="C25" s="17" t="n"/>
      <c r="D25" s="14" t="n"/>
      <c r="E25" s="21" t="n"/>
      <c r="F25" s="57" t="n"/>
      <c r="G25" s="251" t="n"/>
      <c r="H25" s="252" t="n"/>
      <c r="I25" s="252" t="n"/>
      <c r="J25" s="252" t="n"/>
      <c r="K25" s="13" t="n"/>
      <c r="L25" s="68" t="n"/>
      <c r="M25" s="66" t="n"/>
      <c r="N25" s="73" t="n"/>
      <c r="O25" s="19" t="n"/>
      <c r="P25" s="3" t="n"/>
    </row>
    <row r="26">
      <c r="A26" s="17" t="n"/>
      <c r="B26" s="14" t="n"/>
      <c r="C26" s="17" t="n"/>
      <c r="D26" s="14" t="n"/>
      <c r="E26" s="21" t="n"/>
      <c r="F26" s="57" t="n"/>
      <c r="G26" s="251" t="n"/>
      <c r="H26" s="252" t="n"/>
      <c r="I26" s="252" t="n"/>
      <c r="J26" s="252" t="n"/>
      <c r="K26" s="13" t="n"/>
      <c r="L26" s="69" t="n"/>
      <c r="M26" s="75" t="n"/>
      <c r="N26" s="73" t="n"/>
      <c r="O26" s="19" t="n"/>
      <c r="P26" s="2" t="n"/>
    </row>
    <row r="27">
      <c r="A27" s="17" t="n"/>
      <c r="B27" s="14" t="n"/>
      <c r="C27" s="17" t="n"/>
      <c r="D27" s="14" t="n"/>
      <c r="E27" s="21" t="n"/>
      <c r="F27" s="57" t="n"/>
      <c r="G27" s="251" t="n"/>
      <c r="H27" s="252" t="n"/>
      <c r="I27" s="252" t="n"/>
      <c r="J27" s="252" t="n"/>
      <c r="K27" s="13" t="n"/>
      <c r="L27" s="69" t="n"/>
      <c r="M27" s="75" t="n"/>
      <c r="N27" s="73" t="n"/>
      <c r="O27" s="19" t="n"/>
      <c r="P27" s="2" t="n"/>
    </row>
    <row r="28">
      <c r="A28" s="17" t="n"/>
      <c r="B28" s="14" t="n"/>
      <c r="C28" s="17" t="n"/>
      <c r="D28" s="14" t="n"/>
      <c r="E28" s="21" t="n"/>
      <c r="F28" s="57" t="n"/>
      <c r="G28" s="251" t="n"/>
      <c r="H28" s="252" t="n"/>
      <c r="I28" s="252" t="n"/>
      <c r="J28" s="252" t="n"/>
      <c r="K28" s="13" t="n"/>
      <c r="L28" s="69" t="n"/>
      <c r="M28" s="75" t="n"/>
      <c r="N28" s="73" t="n"/>
      <c r="O28" s="19" t="n"/>
      <c r="P28" s="2" t="n"/>
    </row>
    <row r="29">
      <c r="A29" s="17" t="n"/>
      <c r="B29" s="14" t="n"/>
      <c r="C29" s="17" t="n"/>
      <c r="D29" s="14" t="n"/>
      <c r="E29" s="21" t="n"/>
      <c r="F29" s="57" t="n"/>
      <c r="G29" s="251" t="n"/>
      <c r="H29" s="252" t="n"/>
      <c r="I29" s="252" t="n"/>
      <c r="J29" s="252" t="n"/>
      <c r="K29" s="13" t="n"/>
      <c r="L29" s="69" t="n"/>
      <c r="M29" s="66" t="n"/>
      <c r="N29" s="73" t="n"/>
      <c r="O29" s="19" t="n"/>
      <c r="P29" s="2" t="n"/>
    </row>
    <row r="30">
      <c r="A30" s="17" t="n"/>
      <c r="B30" s="14" t="n"/>
      <c r="C30" s="17" t="n"/>
      <c r="D30" s="14" t="n"/>
      <c r="E30" s="21" t="n"/>
      <c r="F30" s="57" t="n"/>
      <c r="G30" s="251" t="n"/>
      <c r="H30" s="252" t="n"/>
      <c r="I30" s="252" t="n"/>
      <c r="J30" s="252" t="n"/>
      <c r="K30" s="13" t="n"/>
      <c r="L30" s="68" t="n"/>
      <c r="M30" s="66" t="n"/>
      <c r="N30" s="73" t="n"/>
      <c r="O30" s="19" t="n"/>
      <c r="P30" s="3" t="n"/>
    </row>
    <row r="31">
      <c r="A31" s="17" t="n"/>
      <c r="B31" s="14" t="n"/>
      <c r="C31" s="17" t="n"/>
      <c r="D31" s="14" t="n"/>
      <c r="E31" s="21" t="n"/>
      <c r="F31" s="57" t="n"/>
      <c r="G31" s="251" t="n"/>
      <c r="H31" s="252" t="n"/>
      <c r="I31" s="252" t="n"/>
      <c r="J31" s="252" t="n"/>
      <c r="K31" s="13" t="n"/>
      <c r="L31" s="68" t="n"/>
      <c r="M31" s="66" t="n"/>
      <c r="N31" s="73" t="n"/>
      <c r="O31" s="19" t="n"/>
      <c r="P31" s="3" t="n"/>
    </row>
    <row r="32">
      <c r="A32" s="17" t="n"/>
      <c r="B32" s="14" t="n"/>
      <c r="C32" s="17" t="n"/>
      <c r="D32" s="14" t="n"/>
      <c r="E32" s="17" t="n"/>
      <c r="F32" s="57" t="n"/>
      <c r="G32" s="251" t="n"/>
      <c r="H32" s="252" t="n"/>
      <c r="I32" s="252" t="n"/>
      <c r="J32" s="252" t="n"/>
      <c r="K32" s="13" t="n"/>
      <c r="L32" s="69" t="n"/>
      <c r="M32" s="66" t="n"/>
      <c r="N32" s="73" t="n"/>
      <c r="O32" s="19" t="n"/>
      <c r="P32" s="2" t="n"/>
    </row>
    <row r="33">
      <c r="A33" s="17" t="n"/>
      <c r="B33" s="14" t="n"/>
      <c r="C33" s="17" t="n"/>
      <c r="D33" s="14" t="n"/>
      <c r="E33" s="17" t="n"/>
      <c r="F33" s="57" t="n"/>
      <c r="G33" s="251" t="n"/>
      <c r="H33" s="252" t="n"/>
      <c r="I33" s="252" t="n"/>
      <c r="J33" s="252" t="n"/>
      <c r="K33" s="13" t="n"/>
      <c r="L33" s="69" t="n"/>
      <c r="M33" s="66" t="n"/>
      <c r="N33" s="73" t="n"/>
      <c r="O33" s="19" t="n"/>
      <c r="P33" s="2" t="n"/>
    </row>
    <row r="34">
      <c r="A34" s="17" t="n"/>
      <c r="B34" s="14" t="n"/>
      <c r="C34" s="17" t="n"/>
      <c r="D34" s="14" t="n"/>
      <c r="E34" s="17" t="n"/>
      <c r="F34" s="57" t="n"/>
      <c r="G34" s="251" t="n"/>
      <c r="H34" s="252" t="n"/>
      <c r="I34" s="252" t="n"/>
      <c r="J34" s="252" t="n"/>
      <c r="K34" s="13" t="n"/>
      <c r="L34" s="69" t="n"/>
      <c r="M34" s="66" t="n"/>
      <c r="N34" s="73" t="n"/>
      <c r="O34" s="19" t="n"/>
      <c r="P34" s="2" t="n"/>
    </row>
    <row r="35">
      <c r="A35" s="17" t="n"/>
      <c r="B35" s="14" t="n"/>
      <c r="C35" s="17" t="n"/>
      <c r="D35" s="14" t="n"/>
      <c r="E35" s="17" t="n"/>
      <c r="F35" s="57" t="n"/>
      <c r="G35" s="251" t="n"/>
      <c r="H35" s="252" t="n"/>
      <c r="I35" s="252" t="n"/>
      <c r="J35" s="252" t="n"/>
      <c r="K35" s="13" t="n"/>
      <c r="L35" s="69" t="n"/>
      <c r="M35" s="66" t="n"/>
      <c r="N35" s="73" t="n"/>
      <c r="O35" s="19" t="n"/>
      <c r="P35" s="2" t="n"/>
    </row>
    <row r="36">
      <c r="A36" s="17" t="n"/>
      <c r="B36" s="14" t="n"/>
      <c r="C36" s="17" t="n"/>
      <c r="D36" s="14" t="n"/>
      <c r="E36" s="17" t="n"/>
      <c r="F36" s="57" t="n"/>
      <c r="G36" s="251" t="n"/>
      <c r="H36" s="252" t="n"/>
      <c r="I36" s="252" t="n"/>
      <c r="J36" s="252" t="n"/>
      <c r="K36" s="13" t="n"/>
      <c r="L36" s="69" t="n"/>
      <c r="M36" s="66" t="n"/>
      <c r="N36" s="73" t="n"/>
      <c r="O36" s="19" t="n"/>
      <c r="P36" s="2" t="n"/>
    </row>
    <row r="37">
      <c r="A37" s="17" t="n"/>
      <c r="B37" s="14" t="n"/>
      <c r="C37" s="17" t="n"/>
      <c r="D37" s="14" t="n"/>
      <c r="E37" s="17" t="n"/>
      <c r="F37" s="57" t="n"/>
      <c r="G37" s="251" t="n"/>
      <c r="H37" s="252" t="n"/>
      <c r="I37" s="252" t="n"/>
      <c r="J37" s="252" t="n"/>
      <c r="K37" s="13" t="n"/>
      <c r="L37" s="69" t="n"/>
      <c r="M37" s="66" t="n"/>
      <c r="N37" s="73" t="n"/>
      <c r="O37" s="19" t="n"/>
      <c r="P37" s="2" t="n"/>
    </row>
    <row r="38">
      <c r="A38" s="17" t="n"/>
      <c r="B38" s="14" t="n"/>
      <c r="C38" s="17" t="n"/>
      <c r="D38" s="14" t="n"/>
      <c r="E38" s="17" t="n"/>
      <c r="F38" s="57" t="n"/>
      <c r="G38" s="251" t="n"/>
      <c r="H38" s="252" t="n"/>
      <c r="I38" s="252" t="n"/>
      <c r="J38" s="252" t="n"/>
      <c r="K38" s="13" t="n"/>
      <c r="L38" s="69" t="n"/>
      <c r="M38" s="66" t="n"/>
      <c r="N38" s="73" t="n"/>
      <c r="O38" s="19" t="n"/>
      <c r="P38" s="2" t="n"/>
    </row>
    <row r="39">
      <c r="A39" s="17" t="n"/>
      <c r="B39" s="14" t="n"/>
      <c r="C39" s="17" t="n"/>
      <c r="D39" s="14" t="n"/>
      <c r="E39" s="17" t="n"/>
      <c r="F39" s="57" t="n"/>
      <c r="G39" s="251" t="n"/>
      <c r="H39" s="252" t="n"/>
      <c r="I39" s="252" t="n"/>
      <c r="J39" s="252" t="n"/>
      <c r="K39" s="13" t="n"/>
      <c r="L39" s="69" t="n"/>
      <c r="M39" s="66" t="n"/>
      <c r="N39" s="73" t="n"/>
      <c r="O39" s="19" t="n"/>
      <c r="P39" s="2" t="n"/>
    </row>
    <row r="40">
      <c r="A40" s="17" t="n"/>
      <c r="B40" s="14" t="n"/>
      <c r="C40" s="17" t="n"/>
      <c r="D40" s="14" t="n"/>
      <c r="E40" s="17" t="n"/>
      <c r="F40" s="57" t="n"/>
      <c r="G40" s="251" t="n"/>
      <c r="H40" s="252" t="n"/>
      <c r="I40" s="252" t="n"/>
      <c r="J40" s="252" t="n"/>
      <c r="K40" s="13" t="n"/>
      <c r="L40" s="69" t="n"/>
      <c r="M40" s="66" t="n"/>
      <c r="N40" s="73" t="n"/>
      <c r="O40" s="19" t="n"/>
      <c r="P40" s="2" t="n"/>
    </row>
    <row r="41">
      <c r="A41" s="17" t="n"/>
      <c r="B41" s="14" t="n"/>
      <c r="C41" s="17" t="n"/>
      <c r="D41" s="14" t="n"/>
      <c r="E41" s="17" t="n"/>
      <c r="F41" s="57" t="n"/>
      <c r="G41" s="251" t="n"/>
      <c r="H41" s="252" t="n"/>
      <c r="I41" s="252" t="n"/>
      <c r="J41" s="252" t="n"/>
      <c r="K41" s="13" t="n"/>
      <c r="L41" s="69" t="n"/>
      <c r="M41" s="66" t="n"/>
      <c r="N41" s="73" t="n"/>
      <c r="O41" s="19" t="n"/>
      <c r="P41" s="2" t="n"/>
    </row>
    <row r="42">
      <c r="A42" s="17" t="n"/>
      <c r="B42" s="14" t="n"/>
      <c r="C42" s="17" t="n"/>
      <c r="D42" s="14" t="n"/>
      <c r="E42" s="17" t="n"/>
      <c r="F42" s="57" t="n"/>
      <c r="G42" s="251" t="n"/>
      <c r="H42" s="252" t="n"/>
      <c r="I42" s="252" t="n"/>
      <c r="J42" s="252" t="n"/>
      <c r="K42" s="13" t="n"/>
      <c r="L42" s="69" t="n"/>
      <c r="M42" s="66" t="n"/>
      <c r="N42" s="73" t="n"/>
      <c r="O42" s="19" t="n"/>
      <c r="P42" s="2" t="n"/>
    </row>
    <row r="43">
      <c r="A43" s="17" t="n"/>
      <c r="B43" s="14" t="n"/>
      <c r="C43" s="17" t="n"/>
      <c r="D43" s="14" t="n"/>
      <c r="E43" s="17" t="n"/>
      <c r="F43" s="57" t="n"/>
      <c r="G43" s="251" t="n"/>
      <c r="H43" s="252" t="n"/>
      <c r="I43" s="252" t="n"/>
      <c r="J43" s="252" t="n"/>
      <c r="K43" s="13" t="n"/>
      <c r="L43" s="69" t="n"/>
      <c r="M43" s="66" t="n"/>
      <c r="N43" s="73" t="n"/>
      <c r="O43" s="19" t="n"/>
      <c r="P43" s="2" t="n"/>
    </row>
    <row r="44">
      <c r="A44" s="17" t="n"/>
      <c r="B44" s="14" t="n"/>
      <c r="C44" s="17" t="n"/>
      <c r="D44" s="14" t="n"/>
      <c r="E44" s="17" t="n"/>
      <c r="F44" s="57" t="n"/>
      <c r="G44" s="251" t="n"/>
      <c r="H44" s="252" t="n"/>
      <c r="I44" s="252" t="n"/>
      <c r="J44" s="252" t="n"/>
      <c r="K44" s="13" t="n"/>
      <c r="L44" s="69" t="n"/>
      <c r="M44" s="66" t="n"/>
      <c r="N44" s="73" t="n"/>
      <c r="O44" s="19" t="n"/>
      <c r="P44" s="2" t="n"/>
    </row>
    <row r="45">
      <c r="A45" s="17" t="n"/>
      <c r="B45" s="14" t="n"/>
      <c r="C45" s="17" t="n"/>
      <c r="D45" s="14" t="n"/>
      <c r="E45" s="17" t="n"/>
      <c r="F45" s="57" t="n"/>
      <c r="G45" s="251" t="n"/>
      <c r="H45" s="252" t="n"/>
      <c r="I45" s="252" t="n"/>
      <c r="J45" s="252" t="n"/>
      <c r="K45" s="13" t="n"/>
      <c r="L45" s="69" t="n"/>
      <c r="M45" s="66" t="n"/>
      <c r="N45" s="73" t="n"/>
      <c r="O45" s="19" t="n"/>
      <c r="P45" s="2" t="n"/>
    </row>
    <row r="46">
      <c r="A46" s="17" t="n"/>
      <c r="B46" s="14" t="n"/>
      <c r="C46" s="17" t="n"/>
      <c r="D46" s="14" t="n"/>
      <c r="E46" s="17" t="n"/>
      <c r="F46" s="57" t="n"/>
      <c r="G46" s="251" t="n"/>
      <c r="H46" s="252" t="n"/>
      <c r="I46" s="252" t="n"/>
      <c r="J46" s="252" t="n"/>
      <c r="K46" s="13" t="n"/>
      <c r="L46" s="69" t="n"/>
      <c r="M46" s="66" t="n"/>
      <c r="N46" s="73" t="n"/>
      <c r="O46" s="19" t="n"/>
      <c r="P46" s="2" t="n"/>
    </row>
    <row r="47">
      <c r="A47" s="17" t="n"/>
      <c r="B47" s="14" t="n"/>
      <c r="C47" s="17" t="n"/>
      <c r="D47" s="14" t="n"/>
      <c r="E47" s="17" t="n"/>
      <c r="F47" s="57" t="n"/>
      <c r="G47" s="251" t="n"/>
      <c r="H47" s="252" t="n"/>
      <c r="I47" s="252" t="n"/>
      <c r="J47" s="252" t="n"/>
      <c r="K47" s="13" t="n"/>
      <c r="L47" s="69" t="n"/>
      <c r="M47" s="66" t="n"/>
      <c r="N47" s="73" t="n"/>
      <c r="O47" s="19" t="n"/>
      <c r="P47" s="2" t="n"/>
    </row>
    <row r="48">
      <c r="A48" s="17" t="n"/>
      <c r="B48" s="14" t="n"/>
      <c r="C48" s="17" t="n"/>
      <c r="D48" s="14" t="n"/>
      <c r="E48" s="17" t="n"/>
      <c r="F48" s="57" t="n"/>
      <c r="G48" s="251" t="n"/>
      <c r="H48" s="252" t="n"/>
      <c r="I48" s="252" t="n"/>
      <c r="J48" s="252" t="n"/>
      <c r="K48" s="13" t="n"/>
      <c r="L48" s="69" t="n"/>
      <c r="M48" s="66" t="n"/>
      <c r="N48" s="73" t="n"/>
      <c r="O48" s="19" t="n"/>
      <c r="P48" s="2" t="n"/>
    </row>
    <row r="49">
      <c r="A49" s="17" t="n"/>
      <c r="B49" s="14" t="n"/>
      <c r="C49" s="17" t="n"/>
      <c r="D49" s="14" t="n"/>
      <c r="E49" s="17" t="n"/>
      <c r="F49" s="57" t="n"/>
      <c r="G49" s="251" t="n"/>
      <c r="H49" s="252" t="n"/>
      <c r="I49" s="252" t="n"/>
      <c r="J49" s="252" t="n"/>
      <c r="K49" s="13" t="n"/>
      <c r="L49" s="69" t="n"/>
      <c r="M49" s="66" t="n"/>
      <c r="N49" s="73" t="n"/>
      <c r="O49" s="19" t="n"/>
      <c r="P49" s="2" t="n"/>
    </row>
    <row r="50">
      <c r="A50" s="17" t="n"/>
      <c r="B50" s="14" t="n"/>
      <c r="C50" s="17" t="n"/>
      <c r="D50" s="14" t="n"/>
      <c r="E50" s="17" t="n"/>
      <c r="F50" s="57" t="n"/>
      <c r="G50" s="251" t="n"/>
      <c r="H50" s="252" t="n"/>
      <c r="I50" s="252" t="n"/>
      <c r="J50" s="252" t="n"/>
      <c r="K50" s="13" t="n"/>
      <c r="L50" s="69" t="n"/>
      <c r="M50" s="66" t="n"/>
      <c r="N50" s="73" t="n"/>
      <c r="O50" s="19" t="n"/>
      <c r="P50" s="2" t="n"/>
    </row>
    <row r="51">
      <c r="A51" s="17" t="n"/>
      <c r="B51" s="14" t="n"/>
      <c r="C51" s="17" t="n"/>
      <c r="D51" s="14" t="n"/>
      <c r="E51" s="17" t="n"/>
      <c r="F51" s="57" t="n"/>
      <c r="G51" s="251" t="n"/>
      <c r="H51" s="252" t="n"/>
      <c r="I51" s="252" t="n"/>
      <c r="J51" s="252" t="n"/>
      <c r="K51" s="13" t="n"/>
      <c r="L51" s="69" t="n"/>
      <c r="M51" s="66" t="n"/>
      <c r="N51" s="73" t="n"/>
      <c r="O51" s="19" t="n"/>
      <c r="P51" s="2" t="n"/>
    </row>
    <row r="52">
      <c r="A52" s="17" t="n"/>
      <c r="B52" s="14" t="n"/>
      <c r="C52" s="17" t="n"/>
      <c r="D52" s="14" t="n"/>
      <c r="E52" s="17" t="n"/>
      <c r="F52" s="57" t="n"/>
      <c r="G52" s="251" t="n"/>
      <c r="H52" s="252" t="n"/>
      <c r="I52" s="252" t="n"/>
      <c r="J52" s="252" t="n"/>
      <c r="K52" s="13" t="n"/>
      <c r="L52" s="69" t="n"/>
      <c r="M52" s="66" t="n"/>
      <c r="N52" s="73" t="n"/>
      <c r="O52" s="19" t="n"/>
      <c r="P52" s="2" t="n"/>
    </row>
    <row r="53">
      <c r="A53" s="17" t="n"/>
      <c r="B53" s="14" t="n"/>
      <c r="C53" s="17" t="n"/>
      <c r="D53" s="14" t="n"/>
      <c r="E53" s="17" t="n"/>
      <c r="F53" s="57" t="n"/>
      <c r="G53" s="251" t="n"/>
      <c r="H53" s="252" t="n"/>
      <c r="I53" s="252" t="n"/>
      <c r="J53" s="252" t="n"/>
      <c r="K53" s="13" t="n"/>
      <c r="L53" s="69" t="n"/>
      <c r="M53" s="66" t="n"/>
      <c r="N53" s="73" t="n"/>
      <c r="O53" s="19" t="n"/>
      <c r="P53" s="2" t="n"/>
    </row>
    <row r="54">
      <c r="A54" s="17" t="n"/>
      <c r="B54" s="14" t="n"/>
      <c r="C54" s="17" t="n"/>
      <c r="D54" s="14" t="n"/>
      <c r="E54" s="17" t="n"/>
      <c r="F54" s="57" t="n"/>
      <c r="G54" s="251" t="n"/>
      <c r="H54" s="252" t="n"/>
      <c r="I54" s="252" t="n"/>
      <c r="J54" s="252" t="n"/>
      <c r="K54" s="13" t="n"/>
      <c r="L54" s="69" t="n"/>
      <c r="M54" s="66" t="n"/>
      <c r="N54" s="73" t="n"/>
      <c r="O54" s="19" t="n"/>
      <c r="P54" s="2" t="n"/>
    </row>
    <row r="55">
      <c r="A55" s="17" t="n"/>
      <c r="B55" s="14" t="n"/>
      <c r="C55" s="17" t="n"/>
      <c r="D55" s="14" t="n"/>
      <c r="E55" s="17" t="n"/>
      <c r="F55" s="57" t="n"/>
      <c r="G55" s="251" t="n"/>
      <c r="H55" s="252" t="n"/>
      <c r="I55" s="252" t="n"/>
      <c r="J55" s="252" t="n"/>
      <c r="K55" s="13" t="n"/>
      <c r="L55" s="69" t="n"/>
      <c r="M55" s="66" t="n"/>
      <c r="N55" s="73" t="n"/>
      <c r="O55" s="19" t="n"/>
      <c r="P55" s="2" t="n"/>
    </row>
    <row r="56">
      <c r="A56" s="17" t="n"/>
      <c r="B56" s="14" t="n"/>
      <c r="C56" s="17" t="n"/>
      <c r="D56" s="14" t="n"/>
      <c r="E56" s="17" t="n"/>
      <c r="F56" s="57" t="n"/>
      <c r="G56" s="251" t="n"/>
      <c r="H56" s="252" t="n"/>
      <c r="I56" s="252" t="n"/>
      <c r="J56" s="252" t="n"/>
      <c r="K56" s="13" t="n"/>
      <c r="L56" s="69" t="n"/>
      <c r="M56" s="66" t="n"/>
      <c r="N56" s="73" t="n"/>
      <c r="O56" s="19" t="n"/>
      <c r="P56" s="2" t="n"/>
    </row>
    <row r="57">
      <c r="A57" s="17" t="n"/>
      <c r="B57" s="14" t="n"/>
      <c r="C57" s="17" t="n"/>
      <c r="D57" s="14" t="n"/>
      <c r="E57" s="17" t="n"/>
      <c r="F57" s="57" t="n"/>
      <c r="G57" s="251" t="n"/>
      <c r="H57" s="252" t="n"/>
      <c r="I57" s="252" t="n"/>
      <c r="J57" s="252" t="n"/>
      <c r="K57" s="13" t="n"/>
      <c r="L57" s="69" t="n"/>
      <c r="M57" s="66" t="n"/>
      <c r="N57" s="73" t="n"/>
      <c r="O57" s="19" t="n"/>
      <c r="P57" s="2" t="n"/>
    </row>
    <row r="58">
      <c r="A58" s="17" t="n"/>
      <c r="B58" s="14" t="n"/>
      <c r="C58" s="17" t="n"/>
      <c r="D58" s="14" t="n"/>
      <c r="E58" s="17" t="n"/>
      <c r="F58" s="57" t="n"/>
      <c r="G58" s="251" t="n"/>
      <c r="H58" s="252" t="n"/>
      <c r="I58" s="252" t="n"/>
      <c r="J58" s="252" t="n"/>
      <c r="K58" s="13" t="n"/>
      <c r="L58" s="69" t="n"/>
      <c r="M58" s="66" t="n"/>
      <c r="N58" s="73" t="n"/>
      <c r="O58" s="19" t="n"/>
      <c r="P58" s="2" t="n"/>
    </row>
    <row r="59">
      <c r="A59" s="17" t="n"/>
      <c r="B59" s="14" t="n"/>
      <c r="C59" s="17" t="n"/>
      <c r="D59" s="14" t="n"/>
      <c r="E59" s="17" t="n"/>
      <c r="F59" s="57" t="n"/>
      <c r="G59" s="251" t="n"/>
      <c r="H59" s="252" t="n"/>
      <c r="I59" s="252" t="n"/>
      <c r="J59" s="252" t="n"/>
      <c r="K59" s="13" t="n"/>
      <c r="L59" s="69" t="n"/>
      <c r="M59" s="66" t="n"/>
      <c r="N59" s="73" t="n"/>
      <c r="O59" s="19" t="n"/>
      <c r="P59" s="2" t="n"/>
    </row>
    <row r="60">
      <c r="A60" s="17" t="n"/>
      <c r="B60" s="14" t="n"/>
      <c r="C60" s="17" t="n"/>
      <c r="D60" s="14" t="n"/>
      <c r="E60" s="17" t="n"/>
      <c r="F60" s="57" t="n"/>
      <c r="G60" s="251" t="n"/>
      <c r="H60" s="252" t="n"/>
      <c r="I60" s="252" t="n"/>
      <c r="J60" s="252" t="n"/>
      <c r="K60" s="13" t="n"/>
      <c r="L60" s="69" t="n"/>
      <c r="M60" s="66" t="n"/>
      <c r="N60" s="73" t="n"/>
      <c r="O60" s="19" t="n"/>
      <c r="P60" s="2" t="n"/>
    </row>
    <row r="61">
      <c r="A61" s="17" t="n"/>
      <c r="B61" s="14" t="n"/>
      <c r="C61" s="17" t="n"/>
      <c r="D61" s="14" t="n"/>
      <c r="E61" s="17" t="n"/>
      <c r="F61" s="57" t="n"/>
      <c r="G61" s="251" t="n"/>
      <c r="H61" s="252" t="n"/>
      <c r="I61" s="252" t="n"/>
      <c r="J61" s="252" t="n"/>
      <c r="K61" s="13" t="n"/>
      <c r="L61" s="69" t="n"/>
      <c r="M61" s="66" t="n"/>
      <c r="N61" s="73" t="n"/>
      <c r="O61" s="19" t="n"/>
      <c r="P61" s="2" t="n"/>
    </row>
    <row r="62">
      <c r="A62" s="17" t="n"/>
      <c r="B62" s="14" t="n"/>
      <c r="C62" s="17" t="n"/>
      <c r="D62" s="14" t="n"/>
      <c r="E62" s="17" t="n"/>
      <c r="F62" s="57" t="n"/>
      <c r="G62" s="251" t="n"/>
      <c r="H62" s="252" t="n"/>
      <c r="I62" s="252" t="n"/>
      <c r="J62" s="252" t="n"/>
      <c r="K62" s="13" t="n"/>
      <c r="L62" s="69" t="n"/>
      <c r="M62" s="66" t="n"/>
      <c r="N62" s="73" t="n"/>
      <c r="O62" s="19" t="n"/>
      <c r="P62" s="2" t="n"/>
    </row>
    <row r="63">
      <c r="A63" s="17" t="n"/>
      <c r="B63" s="14" t="n"/>
      <c r="C63" s="17" t="n"/>
      <c r="D63" s="14" t="n"/>
      <c r="E63" s="17" t="n"/>
      <c r="F63" s="57" t="n"/>
      <c r="G63" s="251" t="n"/>
      <c r="H63" s="252" t="n"/>
      <c r="I63" s="252" t="n"/>
      <c r="J63" s="252" t="n"/>
      <c r="K63" s="13" t="n"/>
      <c r="L63" s="69" t="n"/>
      <c r="M63" s="66" t="n"/>
      <c r="N63" s="73" t="n"/>
      <c r="O63" s="19" t="n"/>
      <c r="P63" s="2" t="n"/>
    </row>
    <row r="64">
      <c r="A64" s="17" t="n"/>
      <c r="B64" s="14" t="n"/>
      <c r="C64" s="17" t="n"/>
      <c r="D64" s="14" t="n"/>
      <c r="E64" s="17" t="n"/>
      <c r="F64" s="57" t="n"/>
      <c r="G64" s="251" t="n"/>
      <c r="H64" s="252" t="n"/>
      <c r="I64" s="252" t="n"/>
      <c r="J64" s="252" t="n"/>
      <c r="K64" s="13" t="n"/>
      <c r="L64" s="69" t="n"/>
      <c r="M64" s="66" t="n"/>
      <c r="N64" s="73" t="n"/>
      <c r="O64" s="19" t="n"/>
      <c r="P64" s="2" t="n"/>
    </row>
    <row r="65">
      <c r="A65" s="17" t="n"/>
      <c r="B65" s="14" t="n"/>
      <c r="C65" s="17" t="n"/>
      <c r="D65" s="14" t="n"/>
      <c r="E65" s="17" t="n"/>
      <c r="F65" s="57" t="n"/>
      <c r="G65" s="251" t="n"/>
      <c r="H65" s="252" t="n"/>
      <c r="I65" s="252" t="n"/>
      <c r="J65" s="252" t="n"/>
      <c r="K65" s="13" t="n"/>
      <c r="L65" s="69" t="n"/>
      <c r="M65" s="66" t="n"/>
      <c r="N65" s="73" t="n"/>
      <c r="O65" s="19" t="n"/>
      <c r="P65" s="2" t="n"/>
    </row>
    <row r="66">
      <c r="A66" s="17" t="n"/>
      <c r="B66" s="14" t="n"/>
      <c r="C66" s="17" t="n"/>
      <c r="D66" s="14" t="n"/>
      <c r="E66" s="17" t="n"/>
      <c r="F66" s="57" t="n"/>
      <c r="G66" s="251" t="n"/>
      <c r="H66" s="252" t="n"/>
      <c r="I66" s="252" t="n"/>
      <c r="J66" s="252" t="n"/>
      <c r="K66" s="13" t="n"/>
      <c r="L66" s="69" t="n"/>
      <c r="M66" s="66" t="n"/>
      <c r="N66" s="73" t="n"/>
      <c r="O66" s="19" t="n"/>
      <c r="P66" s="2" t="n"/>
    </row>
    <row r="67">
      <c r="A67" s="17" t="n"/>
      <c r="B67" s="14" t="n"/>
      <c r="C67" s="17" t="n"/>
      <c r="D67" s="14" t="n"/>
      <c r="E67" s="17" t="n"/>
      <c r="F67" s="57" t="n"/>
      <c r="G67" s="251" t="n"/>
      <c r="H67" s="252" t="n"/>
      <c r="I67" s="252" t="n"/>
      <c r="J67" s="252" t="n"/>
      <c r="K67" s="13" t="n"/>
      <c r="L67" s="69" t="n"/>
      <c r="M67" s="66" t="n"/>
      <c r="N67" s="73" t="n"/>
      <c r="O67" s="19" t="n"/>
      <c r="P67" s="2" t="n"/>
    </row>
    <row r="68">
      <c r="A68" s="17" t="n"/>
      <c r="B68" s="14" t="n"/>
      <c r="C68" s="17" t="n"/>
      <c r="D68" s="14" t="n"/>
      <c r="E68" s="17" t="n"/>
      <c r="F68" s="57" t="n"/>
      <c r="G68" s="251" t="n"/>
      <c r="H68" s="252" t="n"/>
      <c r="I68" s="252" t="n"/>
      <c r="J68" s="252" t="n"/>
      <c r="K68" s="13" t="n"/>
      <c r="L68" s="69" t="n"/>
      <c r="M68" s="66" t="n"/>
      <c r="N68" s="73" t="n"/>
      <c r="O68" s="19" t="n"/>
      <c r="P68" s="2" t="n"/>
    </row>
    <row r="69">
      <c r="A69" s="17" t="n"/>
      <c r="B69" s="14" t="n"/>
      <c r="C69" s="17" t="n"/>
      <c r="D69" s="14" t="n"/>
      <c r="E69" s="17" t="n"/>
      <c r="F69" s="57" t="n"/>
      <c r="G69" s="251" t="n"/>
      <c r="H69" s="252" t="n"/>
      <c r="I69" s="252" t="n"/>
      <c r="J69" s="252" t="n"/>
      <c r="K69" s="13" t="n"/>
      <c r="L69" s="69" t="n"/>
      <c r="M69" s="66" t="n"/>
      <c r="N69" s="73" t="n"/>
      <c r="O69" s="19" t="n"/>
      <c r="P69" s="2" t="n"/>
    </row>
    <row r="70">
      <c r="A70" s="17" t="n"/>
      <c r="B70" s="14" t="n"/>
      <c r="C70" s="17" t="n"/>
      <c r="D70" s="14" t="n"/>
      <c r="E70" s="17" t="n"/>
      <c r="F70" s="57" t="n"/>
      <c r="G70" s="251" t="n"/>
      <c r="H70" s="252" t="n"/>
      <c r="I70" s="252" t="n"/>
      <c r="J70" s="252" t="n"/>
      <c r="K70" s="13" t="n"/>
      <c r="L70" s="69" t="n"/>
      <c r="M70" s="66" t="n"/>
      <c r="N70" s="73" t="n"/>
      <c r="O70" s="19" t="n"/>
      <c r="P70" s="2" t="n"/>
    </row>
    <row r="71">
      <c r="A71" s="17" t="n"/>
      <c r="B71" s="14" t="n"/>
      <c r="C71" s="17" t="n"/>
      <c r="D71" s="14" t="n"/>
      <c r="E71" s="17" t="n"/>
      <c r="F71" s="57" t="n"/>
      <c r="G71" s="251" t="n"/>
      <c r="H71" s="252" t="n"/>
      <c r="I71" s="252" t="n"/>
      <c r="J71" s="252" t="n"/>
      <c r="K71" s="13" t="n"/>
      <c r="L71" s="69" t="n"/>
      <c r="M71" s="66" t="n"/>
      <c r="N71" s="73" t="n"/>
      <c r="O71" s="19" t="n"/>
      <c r="P71" s="2" t="n"/>
    </row>
    <row r="72">
      <c r="A72" s="17" t="n"/>
      <c r="B72" s="14" t="n"/>
      <c r="C72" s="17" t="n"/>
      <c r="D72" s="14" t="n"/>
      <c r="E72" s="17" t="n"/>
      <c r="F72" s="57" t="n"/>
      <c r="G72" s="251" t="n"/>
      <c r="H72" s="252" t="n"/>
      <c r="I72" s="252" t="n"/>
      <c r="J72" s="252" t="n"/>
      <c r="K72" s="13" t="n"/>
      <c r="L72" s="69" t="n"/>
      <c r="M72" s="66" t="n"/>
      <c r="N72" s="73" t="n"/>
      <c r="O72" s="19" t="n"/>
      <c r="P72" s="2" t="n"/>
    </row>
    <row r="73">
      <c r="A73" s="17" t="n"/>
      <c r="B73" s="14" t="n"/>
      <c r="C73" s="17" t="n"/>
      <c r="D73" s="14" t="n"/>
      <c r="E73" s="17" t="n"/>
      <c r="F73" s="57" t="n"/>
      <c r="G73" s="251" t="n"/>
      <c r="H73" s="252" t="n"/>
      <c r="I73" s="252" t="n"/>
      <c r="J73" s="252" t="n"/>
      <c r="K73" s="13" t="n"/>
      <c r="L73" s="69" t="n"/>
      <c r="M73" s="66" t="n"/>
      <c r="N73" s="73" t="n"/>
      <c r="O73" s="19" t="n"/>
      <c r="P73" s="2" t="n"/>
    </row>
    <row r="74">
      <c r="A74" s="17" t="n"/>
      <c r="B74" s="14" t="n"/>
      <c r="C74" s="17" t="n"/>
      <c r="D74" s="14" t="n"/>
      <c r="E74" s="17" t="n"/>
      <c r="F74" s="57" t="n"/>
      <c r="G74" s="251" t="n"/>
      <c r="H74" s="252" t="n"/>
      <c r="I74" s="252" t="n"/>
      <c r="J74" s="252" t="n"/>
      <c r="K74" s="13" t="n"/>
      <c r="L74" s="69" t="n"/>
      <c r="M74" s="66" t="n"/>
      <c r="N74" s="73" t="n"/>
      <c r="O74" s="19" t="n"/>
      <c r="P74" s="2" t="n"/>
    </row>
    <row r="75">
      <c r="A75" s="17" t="n"/>
      <c r="B75" s="14" t="n"/>
      <c r="C75" s="17" t="n"/>
      <c r="D75" s="14" t="n"/>
      <c r="E75" s="17" t="n"/>
      <c r="F75" s="57" t="n"/>
      <c r="G75" s="251" t="n"/>
      <c r="H75" s="252" t="n"/>
      <c r="I75" s="252" t="n"/>
      <c r="J75" s="252" t="n"/>
      <c r="K75" s="13" t="n"/>
      <c r="L75" s="69" t="n"/>
      <c r="M75" s="66" t="n"/>
      <c r="N75" s="73" t="n"/>
      <c r="O75" s="19" t="n"/>
      <c r="P75" s="2" t="n"/>
    </row>
    <row r="76">
      <c r="A76" s="17" t="n"/>
      <c r="B76" s="14" t="n"/>
      <c r="C76" s="17" t="n"/>
      <c r="D76" s="14" t="n"/>
      <c r="E76" s="17" t="n"/>
      <c r="F76" s="57" t="n"/>
      <c r="G76" s="251" t="n"/>
      <c r="H76" s="252" t="n"/>
      <c r="I76" s="252" t="n"/>
      <c r="J76" s="252" t="n"/>
      <c r="K76" s="13" t="n"/>
      <c r="L76" s="69" t="n"/>
      <c r="M76" s="66" t="n"/>
      <c r="N76" s="73" t="n"/>
      <c r="O76" s="19" t="n"/>
      <c r="P76" s="2" t="n"/>
    </row>
    <row r="77">
      <c r="A77" s="17" t="n"/>
      <c r="B77" s="14" t="n"/>
      <c r="C77" s="17" t="n"/>
      <c r="D77" s="14" t="n"/>
      <c r="E77" s="17" t="n"/>
      <c r="F77" s="57" t="n"/>
      <c r="G77" s="251" t="n"/>
      <c r="H77" s="252" t="n"/>
      <c r="I77" s="252" t="n"/>
      <c r="J77" s="252" t="n"/>
      <c r="K77" s="13" t="n"/>
      <c r="L77" s="69" t="n"/>
      <c r="M77" s="66" t="n"/>
      <c r="N77" s="73" t="n"/>
      <c r="O77" s="19" t="n"/>
      <c r="P77" s="2" t="n"/>
    </row>
    <row r="78">
      <c r="A78" s="17" t="n"/>
      <c r="B78" s="14" t="n"/>
      <c r="C78" s="17" t="n"/>
      <c r="D78" s="14" t="n"/>
      <c r="E78" s="17" t="n"/>
      <c r="F78" s="57" t="n"/>
      <c r="G78" s="251" t="n"/>
      <c r="H78" s="252" t="n"/>
      <c r="I78" s="252" t="n"/>
      <c r="J78" s="252" t="n"/>
      <c r="K78" s="13" t="n"/>
      <c r="L78" s="69" t="n"/>
      <c r="M78" s="66" t="n"/>
      <c r="N78" s="73" t="n"/>
      <c r="O78" s="19" t="n"/>
      <c r="P78" s="2" t="n"/>
    </row>
    <row r="79">
      <c r="A79" s="17" t="n"/>
      <c r="B79" s="14" t="n"/>
      <c r="C79" s="17" t="n"/>
      <c r="D79" s="14" t="n"/>
      <c r="E79" s="17" t="n"/>
      <c r="F79" s="57" t="n"/>
      <c r="G79" s="251" t="n"/>
      <c r="H79" s="252" t="n"/>
      <c r="I79" s="252" t="n"/>
      <c r="J79" s="252" t="n"/>
      <c r="K79" s="13" t="n"/>
      <c r="L79" s="69" t="n"/>
      <c r="M79" s="66" t="n"/>
      <c r="N79" s="73" t="n"/>
      <c r="O79" s="19" t="n"/>
      <c r="P79" s="2" t="n"/>
    </row>
    <row r="80">
      <c r="A80" s="17" t="n"/>
      <c r="B80" s="14" t="n"/>
      <c r="C80" s="17" t="n"/>
      <c r="D80" s="14" t="n"/>
      <c r="E80" s="17" t="n"/>
      <c r="F80" s="57" t="n"/>
      <c r="G80" s="251" t="n"/>
      <c r="H80" s="252" t="n"/>
      <c r="I80" s="252" t="n"/>
      <c r="J80" s="252" t="n"/>
      <c r="K80" s="13" t="n"/>
      <c r="L80" s="69" t="n"/>
      <c r="M80" s="66" t="n"/>
      <c r="N80" s="73" t="n"/>
      <c r="O80" s="19" t="n"/>
      <c r="P80" s="2" t="n"/>
    </row>
    <row r="81">
      <c r="A81" s="17" t="n"/>
      <c r="B81" s="14" t="n"/>
      <c r="C81" s="17" t="n"/>
      <c r="D81" s="14" t="n"/>
      <c r="E81" s="17" t="n"/>
      <c r="F81" s="57" t="n"/>
      <c r="G81" s="251" t="n"/>
      <c r="H81" s="252" t="n"/>
      <c r="I81" s="252" t="n"/>
      <c r="J81" s="252" t="n"/>
      <c r="K81" s="13" t="n"/>
      <c r="L81" s="69" t="n"/>
      <c r="M81" s="66" t="n"/>
      <c r="N81" s="73" t="n"/>
      <c r="O81" s="19" t="n"/>
      <c r="P81" s="2" t="n"/>
    </row>
    <row r="82">
      <c r="A82" s="17" t="n"/>
      <c r="B82" s="14" t="n"/>
      <c r="C82" s="17" t="n"/>
      <c r="D82" s="14" t="n"/>
      <c r="E82" s="17" t="n"/>
      <c r="F82" s="57" t="n"/>
      <c r="G82" s="251" t="n"/>
      <c r="H82" s="252" t="n"/>
      <c r="I82" s="252" t="n"/>
      <c r="J82" s="252" t="n"/>
      <c r="K82" s="13" t="n"/>
      <c r="L82" s="69" t="n"/>
      <c r="M82" s="66" t="n"/>
      <c r="N82" s="73" t="n"/>
      <c r="O82" s="19" t="n"/>
      <c r="P82" s="2" t="n"/>
    </row>
    <row r="83">
      <c r="A83" s="17" t="n"/>
      <c r="B83" s="14" t="n"/>
      <c r="C83" s="17" t="n"/>
      <c r="D83" s="14" t="n"/>
      <c r="E83" s="17" t="n"/>
      <c r="F83" s="57" t="n"/>
      <c r="G83" s="251" t="n"/>
      <c r="H83" s="252" t="n"/>
      <c r="I83" s="252" t="n"/>
      <c r="J83" s="252" t="n"/>
      <c r="K83" s="13" t="n"/>
      <c r="L83" s="69" t="n"/>
      <c r="M83" s="66" t="n"/>
      <c r="N83" s="73" t="n"/>
      <c r="O83" s="19" t="n"/>
      <c r="P83" s="2" t="n"/>
    </row>
    <row r="84">
      <c r="A84" s="17" t="n"/>
      <c r="B84" s="14" t="n"/>
      <c r="C84" s="17" t="n"/>
      <c r="D84" s="14" t="n"/>
      <c r="E84" s="17" t="n"/>
      <c r="F84" s="57" t="n"/>
      <c r="G84" s="251" t="n"/>
      <c r="H84" s="252" t="n"/>
      <c r="I84" s="252" t="n"/>
      <c r="J84" s="252" t="n"/>
      <c r="K84" s="13" t="n"/>
      <c r="L84" s="69" t="n"/>
      <c r="M84" s="66" t="n"/>
      <c r="N84" s="73" t="n"/>
      <c r="O84" s="19" t="n"/>
      <c r="P84" s="2" t="n"/>
    </row>
    <row r="85">
      <c r="A85" s="17" t="n"/>
      <c r="B85" s="14" t="n"/>
      <c r="C85" s="17" t="n"/>
      <c r="D85" s="14" t="n"/>
      <c r="E85" s="17" t="n"/>
      <c r="F85" s="57" t="n"/>
      <c r="G85" s="251" t="n"/>
      <c r="H85" s="252" t="n"/>
      <c r="I85" s="252" t="n"/>
      <c r="J85" s="252" t="n"/>
      <c r="K85" s="13" t="n"/>
      <c r="L85" s="69" t="n"/>
      <c r="M85" s="66" t="n"/>
      <c r="N85" s="73" t="n"/>
      <c r="O85" s="19" t="n"/>
      <c r="P85" s="2" t="n"/>
    </row>
    <row r="86">
      <c r="A86" s="17" t="n"/>
      <c r="B86" s="14" t="n"/>
      <c r="C86" s="17" t="n"/>
      <c r="D86" s="14" t="n"/>
      <c r="E86" s="17" t="n"/>
      <c r="F86" s="57" t="n"/>
      <c r="G86" s="251" t="n"/>
      <c r="H86" s="252" t="n"/>
      <c r="I86" s="252" t="n"/>
      <c r="J86" s="252" t="n"/>
      <c r="K86" s="13" t="n"/>
      <c r="L86" s="69" t="n"/>
      <c r="M86" s="66" t="n"/>
      <c r="N86" s="73" t="n"/>
      <c r="O86" s="19" t="n"/>
      <c r="P86" s="2" t="n"/>
    </row>
    <row r="87">
      <c r="A87" s="17" t="n"/>
      <c r="B87" s="14" t="n"/>
      <c r="C87" s="17" t="n"/>
      <c r="D87" s="14" t="n"/>
      <c r="E87" s="17" t="n"/>
      <c r="F87" s="57" t="n"/>
      <c r="G87" s="251" t="n"/>
      <c r="H87" s="252" t="n"/>
      <c r="I87" s="252" t="n"/>
      <c r="J87" s="252" t="n"/>
      <c r="K87" s="13" t="n"/>
      <c r="L87" s="69" t="n"/>
      <c r="M87" s="66" t="n"/>
      <c r="N87" s="73" t="n"/>
      <c r="O87" s="19" t="n"/>
      <c r="P87" s="2" t="n"/>
    </row>
    <row r="88">
      <c r="A88" s="17" t="n"/>
      <c r="B88" s="14" t="n"/>
      <c r="C88" s="17" t="n"/>
      <c r="D88" s="14" t="n"/>
      <c r="E88" s="17" t="n"/>
      <c r="F88" s="57" t="n"/>
      <c r="G88" s="251" t="n"/>
      <c r="H88" s="252" t="n"/>
      <c r="I88" s="252" t="n"/>
      <c r="J88" s="252" t="n"/>
      <c r="K88" s="13" t="n"/>
      <c r="L88" s="69" t="n"/>
      <c r="M88" s="66" t="n"/>
      <c r="N88" s="73" t="n"/>
      <c r="O88" s="19" t="n"/>
      <c r="P88" s="2" t="n"/>
    </row>
    <row r="89">
      <c r="A89" s="17" t="n"/>
      <c r="B89" s="14" t="n"/>
      <c r="C89" s="17" t="n"/>
      <c r="D89" s="14" t="n"/>
      <c r="E89" s="17" t="n"/>
      <c r="F89" s="57" t="n"/>
      <c r="G89" s="251" t="n"/>
      <c r="H89" s="252" t="n"/>
      <c r="I89" s="252" t="n"/>
      <c r="J89" s="252" t="n"/>
      <c r="K89" s="13" t="n"/>
      <c r="L89" s="69" t="n"/>
      <c r="M89" s="66" t="n"/>
      <c r="N89" s="73" t="n"/>
      <c r="O89" s="19" t="n"/>
      <c r="P89" s="2" t="n"/>
    </row>
    <row r="90">
      <c r="A90" s="17" t="n"/>
      <c r="B90" s="14" t="n"/>
      <c r="C90" s="17" t="n"/>
      <c r="D90" s="14" t="n"/>
      <c r="E90" s="17" t="n"/>
      <c r="F90" s="57" t="n"/>
      <c r="G90" s="251" t="n"/>
      <c r="H90" s="252" t="n"/>
      <c r="I90" s="252" t="n"/>
      <c r="J90" s="252" t="n"/>
      <c r="K90" s="13" t="n"/>
      <c r="L90" s="69" t="n"/>
      <c r="M90" s="66" t="n"/>
      <c r="N90" s="73" t="n"/>
      <c r="O90" s="19" t="n"/>
      <c r="P90" s="2" t="n"/>
    </row>
    <row r="91">
      <c r="A91" s="17" t="n"/>
      <c r="B91" s="14" t="n"/>
      <c r="C91" s="17" t="n"/>
      <c r="D91" s="14" t="n"/>
      <c r="E91" s="17" t="n"/>
      <c r="F91" s="57" t="n"/>
      <c r="G91" s="251" t="n"/>
      <c r="H91" s="252" t="n"/>
      <c r="I91" s="252" t="n"/>
      <c r="J91" s="252" t="n"/>
      <c r="K91" s="13" t="n"/>
      <c r="L91" s="69" t="n"/>
      <c r="M91" s="66" t="n"/>
      <c r="N91" s="73" t="n"/>
      <c r="O91" s="19" t="n"/>
      <c r="P91" s="2" t="n"/>
    </row>
    <row r="92">
      <c r="A92" s="17" t="n"/>
      <c r="B92" s="14" t="n"/>
      <c r="C92" s="17" t="n"/>
      <c r="D92" s="14" t="n"/>
      <c r="E92" s="17" t="n"/>
      <c r="F92" s="57" t="n"/>
      <c r="G92" s="251" t="n"/>
      <c r="H92" s="252" t="n"/>
      <c r="I92" s="252" t="n"/>
      <c r="J92" s="252" t="n"/>
      <c r="K92" s="13" t="n"/>
      <c r="L92" s="69" t="n"/>
      <c r="M92" s="66" t="n"/>
      <c r="N92" s="73" t="n"/>
      <c r="O92" s="19" t="n"/>
      <c r="P92" s="2" t="n"/>
    </row>
    <row r="93">
      <c r="A93" s="17" t="n"/>
      <c r="B93" s="14" t="n"/>
      <c r="C93" s="17" t="n"/>
      <c r="D93" s="14" t="n"/>
      <c r="E93" s="17" t="n"/>
      <c r="F93" s="57" t="n"/>
      <c r="G93" s="251" t="n"/>
      <c r="H93" s="252" t="n"/>
      <c r="I93" s="252" t="n"/>
      <c r="J93" s="252" t="n"/>
      <c r="K93" s="13" t="n"/>
      <c r="L93" s="69" t="n"/>
      <c r="M93" s="66" t="n"/>
      <c r="N93" s="73" t="n"/>
      <c r="O93" s="19" t="n"/>
      <c r="P93" s="2" t="n"/>
    </row>
    <row r="94">
      <c r="A94" s="17" t="n"/>
      <c r="B94" s="14" t="n"/>
      <c r="C94" s="17" t="n"/>
      <c r="D94" s="14" t="n"/>
      <c r="E94" s="17" t="n"/>
      <c r="F94" s="57" t="n"/>
      <c r="G94" s="251" t="n"/>
      <c r="H94" s="252" t="n"/>
      <c r="I94" s="252" t="n"/>
      <c r="J94" s="252" t="n"/>
      <c r="K94" s="13" t="n"/>
      <c r="L94" s="69" t="n"/>
      <c r="M94" s="66" t="n"/>
      <c r="N94" s="73" t="n"/>
      <c r="O94" s="19" t="n"/>
      <c r="P94" s="2" t="n"/>
    </row>
    <row r="95">
      <c r="A95" s="17" t="n"/>
      <c r="B95" s="14" t="n"/>
      <c r="C95" s="17" t="n"/>
      <c r="D95" s="14" t="n"/>
      <c r="E95" s="17" t="n"/>
      <c r="F95" s="57" t="n"/>
      <c r="G95" s="251" t="n"/>
      <c r="H95" s="252" t="n"/>
      <c r="I95" s="252" t="n"/>
      <c r="J95" s="252" t="n"/>
      <c r="K95" s="13" t="n"/>
      <c r="L95" s="69" t="n"/>
      <c r="M95" s="66" t="n"/>
      <c r="N95" s="73" t="n"/>
      <c r="O95" s="19" t="n"/>
      <c r="P95" s="2" t="n"/>
    </row>
    <row r="96">
      <c r="A96" s="17" t="n"/>
      <c r="B96" s="14" t="n"/>
      <c r="C96" s="17" t="n"/>
      <c r="D96" s="14" t="n"/>
      <c r="E96" s="17" t="n"/>
      <c r="F96" s="57" t="n"/>
      <c r="G96" s="251" t="n"/>
      <c r="H96" s="252" t="n"/>
      <c r="I96" s="252" t="n"/>
      <c r="J96" s="252" t="n"/>
      <c r="K96" s="13" t="n"/>
      <c r="L96" s="69" t="n"/>
      <c r="M96" s="66" t="n"/>
      <c r="N96" s="73" t="n"/>
      <c r="O96" s="19" t="n"/>
      <c r="P96" s="2" t="n"/>
    </row>
    <row r="97">
      <c r="A97" s="17" t="n"/>
      <c r="B97" s="14" t="n"/>
      <c r="C97" s="17" t="n"/>
      <c r="D97" s="14" t="n"/>
      <c r="E97" s="17" t="n"/>
      <c r="F97" s="57" t="n"/>
      <c r="G97" s="251" t="n"/>
      <c r="H97" s="252" t="n"/>
      <c r="I97" s="252" t="n"/>
      <c r="J97" s="252" t="n"/>
      <c r="K97" s="13" t="n"/>
      <c r="L97" s="69" t="n"/>
      <c r="M97" s="66" t="n"/>
      <c r="N97" s="73" t="n"/>
      <c r="O97" s="19" t="n"/>
      <c r="P97" s="2" t="n"/>
    </row>
    <row r="98">
      <c r="A98" s="17" t="n"/>
      <c r="B98" s="14" t="n"/>
      <c r="C98" s="17" t="n"/>
      <c r="D98" s="14" t="n"/>
      <c r="E98" s="17" t="n"/>
      <c r="F98" s="57" t="n"/>
      <c r="G98" s="251" t="n"/>
      <c r="H98" s="252" t="n"/>
      <c r="I98" s="252" t="n"/>
      <c r="J98" s="252" t="n"/>
      <c r="K98" s="13" t="n"/>
      <c r="L98" s="69" t="n"/>
      <c r="M98" s="66" t="n"/>
      <c r="N98" s="73" t="n"/>
      <c r="O98" s="19" t="n"/>
      <c r="P98" s="2" t="n"/>
    </row>
    <row r="99">
      <c r="A99" s="17" t="n"/>
      <c r="B99" s="14" t="n"/>
      <c r="C99" s="17" t="n"/>
      <c r="D99" s="14" t="n"/>
      <c r="E99" s="17" t="n"/>
      <c r="F99" s="57" t="n"/>
      <c r="G99" s="251" t="n"/>
      <c r="H99" s="252" t="n"/>
      <c r="I99" s="252" t="n"/>
      <c r="J99" s="252" t="n"/>
      <c r="K99" s="13" t="n"/>
      <c r="L99" s="69" t="n"/>
      <c r="M99" s="66" t="n"/>
      <c r="N99" s="73" t="n"/>
      <c r="O99" s="19" t="n"/>
      <c r="P99" s="2" t="n"/>
    </row>
    <row r="100">
      <c r="A100" s="17" t="n"/>
      <c r="B100" s="14" t="n"/>
      <c r="C100" s="17" t="n"/>
      <c r="D100" s="14" t="n"/>
      <c r="E100" s="17" t="n"/>
      <c r="F100" s="57" t="n"/>
      <c r="G100" s="251" t="n"/>
      <c r="H100" s="252" t="n"/>
      <c r="I100" s="252" t="n"/>
      <c r="J100" s="252" t="n"/>
      <c r="K100" s="13" t="n"/>
      <c r="L100" s="69" t="n"/>
      <c r="M100" s="66" t="n"/>
      <c r="N100" s="73" t="n"/>
      <c r="O100" s="19" t="n"/>
      <c r="P100" s="2" t="n"/>
    </row>
    <row r="101">
      <c r="A101" s="17" t="n"/>
      <c r="B101" s="14" t="n"/>
      <c r="C101" s="17" t="n"/>
      <c r="D101" s="14" t="n"/>
      <c r="E101" s="17" t="n"/>
      <c r="F101" s="57" t="n"/>
      <c r="G101" s="251" t="n"/>
      <c r="H101" s="252" t="n"/>
      <c r="I101" s="252" t="n"/>
      <c r="J101" s="252" t="n"/>
      <c r="K101" s="13" t="n"/>
      <c r="L101" s="69" t="n"/>
      <c r="M101" s="66" t="n"/>
      <c r="N101" s="73" t="n"/>
      <c r="O101" s="19" t="n"/>
      <c r="P101" s="2" t="n"/>
    </row>
    <row r="102">
      <c r="A102" s="17" t="n"/>
      <c r="B102" s="14" t="n"/>
      <c r="C102" s="17" t="n"/>
      <c r="D102" s="14" t="n"/>
      <c r="E102" s="17" t="n"/>
      <c r="F102" s="57" t="n"/>
      <c r="G102" s="251" t="n"/>
      <c r="H102" s="252" t="n"/>
      <c r="I102" s="252" t="n"/>
      <c r="J102" s="252" t="n"/>
      <c r="K102" s="13" t="n"/>
      <c r="L102" s="69" t="n"/>
      <c r="M102" s="66" t="n"/>
      <c r="N102" s="73" t="n"/>
      <c r="O102" s="19" t="n"/>
      <c r="P102" s="2" t="n"/>
    </row>
    <row r="103">
      <c r="A103" s="17" t="n"/>
      <c r="B103" s="14" t="n"/>
      <c r="C103" s="17" t="n"/>
      <c r="D103" s="14" t="n"/>
      <c r="E103" s="17" t="n"/>
      <c r="F103" s="57" t="n"/>
      <c r="G103" s="251" t="n"/>
      <c r="H103" s="252" t="n"/>
      <c r="I103" s="252" t="n"/>
      <c r="J103" s="252" t="n"/>
      <c r="K103" s="13" t="n"/>
      <c r="L103" s="69" t="n"/>
      <c r="M103" s="66" t="n"/>
      <c r="N103" s="73" t="n"/>
      <c r="O103" s="19" t="n"/>
      <c r="P103" s="2" t="n"/>
    </row>
    <row r="104">
      <c r="A104" s="17" t="n"/>
      <c r="B104" s="14" t="n"/>
      <c r="C104" s="17" t="n"/>
      <c r="D104" s="14" t="n"/>
      <c r="E104" s="17" t="n"/>
      <c r="F104" s="57" t="n"/>
      <c r="G104" s="251" t="n"/>
      <c r="H104" s="252" t="n"/>
      <c r="I104" s="252" t="n"/>
      <c r="J104" s="252" t="n"/>
      <c r="K104" s="13" t="n"/>
      <c r="L104" s="69" t="n"/>
      <c r="M104" s="66" t="n"/>
      <c r="N104" s="73" t="n"/>
      <c r="O104" s="19" t="n"/>
      <c r="P104" s="2" t="n"/>
    </row>
    <row r="105">
      <c r="A105" s="17" t="n"/>
      <c r="B105" s="14" t="n"/>
      <c r="C105" s="17" t="n"/>
      <c r="D105" s="14" t="n"/>
      <c r="E105" s="17" t="n"/>
      <c r="F105" s="57" t="n"/>
      <c r="G105" s="251" t="n"/>
      <c r="H105" s="252" t="n"/>
      <c r="I105" s="252" t="n"/>
      <c r="J105" s="252" t="n"/>
      <c r="K105" s="13" t="n"/>
      <c r="L105" s="69" t="n"/>
      <c r="M105" s="66" t="n"/>
      <c r="N105" s="73" t="n"/>
      <c r="O105" s="19" t="n"/>
      <c r="P105" s="2" t="n"/>
    </row>
    <row r="106" ht="17.25" customHeight="1" s="185" thickBot="1">
      <c r="A106" s="18" t="n"/>
      <c r="B106" s="16" t="n"/>
      <c r="C106" s="18" t="n"/>
      <c r="D106" s="16" t="n"/>
      <c r="E106" s="18" t="n"/>
      <c r="F106" s="77" t="n"/>
      <c r="G106" s="253" t="n"/>
      <c r="H106" s="254" t="n"/>
      <c r="I106" s="254" t="n"/>
      <c r="J106" s="254" t="n"/>
      <c r="K106" s="15" t="n"/>
      <c r="L106" s="71" t="n"/>
      <c r="M106" s="67" t="n"/>
      <c r="N106" s="74" t="n"/>
      <c r="O106" s="20" t="n"/>
      <c r="P106" s="4" t="n"/>
    </row>
  </sheetData>
  <mergeCells count="8">
    <mergeCell ref="M3:P3"/>
    <mergeCell ref="C3:C4"/>
    <mergeCell ref="A3:A4"/>
    <mergeCell ref="B3:B4"/>
    <mergeCell ref="E3:E4"/>
    <mergeCell ref="F3:F4"/>
    <mergeCell ref="G3:L3"/>
    <mergeCell ref="D3:D4"/>
  </mergeCells>
  <dataValidations count="3">
    <dataValidation sqref="K5:K106" showDropDown="0" showInputMessage="1" showErrorMessage="1" allowBlank="1" type="list">
      <formula1>"미진행,정상,단순오류,개선사항,치명적오류"</formula1>
    </dataValidation>
    <dataValidation sqref="I5:I106" showDropDown="0" showInputMessage="1" showErrorMessage="1" allowBlank="1" type="list">
      <formula1>"Web,Mobile"</formula1>
    </dataValidation>
    <dataValidation sqref="M5:M106" showDropDown="0" showInputMessage="1" showErrorMessage="1" allowBlank="1" type="list">
      <formula1>"'-,확인중,조치중,조치완료,협의필요"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06"/>
  <sheetViews>
    <sheetView zoomScaleNormal="100" workbookViewId="0">
      <pane xSplit="6" ySplit="4" topLeftCell="G5" activePane="bottomRight" state="frozen"/>
      <selection activeCell="N20" sqref="N20"/>
      <selection pane="topRight" activeCell="N20" sqref="N20"/>
      <selection pane="bottomLeft" activeCell="N20" sqref="N20"/>
      <selection pane="bottomRight" activeCell="N20" sqref="N20"/>
    </sheetView>
  </sheetViews>
  <sheetFormatPr baseColWidth="8" defaultRowHeight="16.5"/>
  <cols>
    <col width="14" customWidth="1" style="11" min="1" max="1"/>
    <col width="17.125" customWidth="1" style="1" min="2" max="2"/>
    <col width="14" customWidth="1" style="1" min="3" max="3"/>
    <col width="20.5" bestFit="1" customWidth="1" style="1" min="4" max="4"/>
    <col width="14" customWidth="1" style="11" min="5" max="5"/>
    <col width="71.75" customWidth="1" style="1" min="6" max="6"/>
    <col width="10.625" customWidth="1" style="1" min="7" max="7"/>
    <col width="7.75" customWidth="1" style="1" min="8" max="8"/>
    <col width="7.375" customWidth="1" style="1" min="9" max="9"/>
    <col width="7.5" customWidth="1" style="1" min="10" max="10"/>
    <col width="10.875" customWidth="1" style="1" min="11" max="11"/>
    <col width="34.875" customWidth="1" style="1" min="12" max="12"/>
    <col width="9" customWidth="1" style="1" min="13" max="13"/>
    <col width="11.625" customWidth="1" style="1" min="14" max="14"/>
    <col width="9" customWidth="1" style="1" min="15" max="15"/>
    <col width="64.25" customWidth="1" style="1" min="16" max="16"/>
    <col width="9" customWidth="1" style="1" min="17" max="16384"/>
  </cols>
  <sheetData>
    <row r="1" ht="20.25" customHeight="1" s="185">
      <c r="A1" s="238" t="inlineStr">
        <is>
          <t>05.시스템및연계</t>
        </is>
      </c>
      <c r="C1" s="12" t="n"/>
    </row>
    <row r="2" ht="17.25" customHeight="1" s="185" thickBot="1"/>
    <row r="3">
      <c r="A3" s="239" t="inlineStr">
        <is>
          <t>테스트시나리오ID</t>
        </is>
      </c>
      <c r="B3" s="240" t="inlineStr">
        <is>
          <t>시나리오명</t>
        </is>
      </c>
      <c r="C3" s="239" t="inlineStr">
        <is>
          <t>테스트케이스ID</t>
        </is>
      </c>
      <c r="D3" s="240" t="inlineStr">
        <is>
          <t>케이스명</t>
        </is>
      </c>
      <c r="E3" s="239" t="inlineStr">
        <is>
          <t>화면ID</t>
        </is>
      </c>
      <c r="F3" s="241" t="inlineStr">
        <is>
          <t>예상결과</t>
        </is>
      </c>
      <c r="G3" s="167" t="inlineStr">
        <is>
          <t>테스트결과</t>
        </is>
      </c>
      <c r="H3" s="199" t="n"/>
      <c r="I3" s="199" t="n"/>
      <c r="J3" s="199" t="n"/>
      <c r="K3" s="199" t="n"/>
      <c r="L3" s="255" t="n"/>
      <c r="M3" s="157" t="inlineStr">
        <is>
          <t>조치사항</t>
        </is>
      </c>
      <c r="N3" s="243" t="n"/>
      <c r="O3" s="243" t="n"/>
      <c r="P3" s="243" t="n"/>
    </row>
    <row r="4" ht="17.25" customHeight="1" s="185" thickBot="1">
      <c r="A4" s="244" t="n"/>
      <c r="B4" s="245" t="n"/>
      <c r="C4" s="244" t="n"/>
      <c r="D4" s="245" t="n"/>
      <c r="E4" s="244" t="n"/>
      <c r="F4" s="246" t="n"/>
      <c r="G4" s="55" t="inlineStr">
        <is>
          <t>테스트날짜</t>
        </is>
      </c>
      <c r="H4" s="56" t="inlineStr">
        <is>
          <t>수행자</t>
        </is>
      </c>
      <c r="I4" s="65" t="inlineStr">
        <is>
          <t>구분</t>
        </is>
      </c>
      <c r="J4" s="65" t="inlineStr">
        <is>
          <t>실패여부</t>
        </is>
      </c>
      <c r="K4" s="65" t="inlineStr">
        <is>
          <t>결과구분</t>
        </is>
      </c>
      <c r="L4" s="85" t="inlineStr">
        <is>
          <t>실제결과</t>
        </is>
      </c>
      <c r="M4" s="86" t="inlineStr">
        <is>
          <t>조치여부</t>
        </is>
      </c>
      <c r="N4" s="87" t="inlineStr">
        <is>
          <t>조치일자</t>
        </is>
      </c>
      <c r="O4" s="88" t="inlineStr">
        <is>
          <t>조치담당자</t>
        </is>
      </c>
      <c r="P4" s="88" t="inlineStr">
        <is>
          <t>담당자 의견</t>
        </is>
      </c>
    </row>
    <row r="5">
      <c r="A5" s="247" t="inlineStr">
        <is>
          <t>TS_SYS_0100</t>
        </is>
      </c>
      <c r="B5" s="248" t="inlineStr">
        <is>
          <t>외부 연계</t>
        </is>
      </c>
      <c r="C5" s="247" t="inlineStr">
        <is>
          <t>TC_SYS_0101</t>
        </is>
      </c>
      <c r="D5" s="248" t="inlineStr">
        <is>
          <t>사내 SSO SAML/OIDC 연계</t>
        </is>
      </c>
      <c r="E5" s="247" t="inlineStr">
        <is>
          <t>SCR_SYS_01</t>
        </is>
      </c>
      <c r="F5" s="248" t="inlineStr">
        <is>
          <t>사내 통합 인증 로그인 및 세션 동기화, 로그아웃 정상 처리</t>
        </is>
      </c>
      <c r="G5" s="249" t="inlineStr">
        <is>
          <t>2026-10-16</t>
        </is>
      </c>
      <c r="H5" s="249" t="inlineStr">
        <is>
          <t>EMPASY QA팀</t>
        </is>
      </c>
      <c r="I5" s="249" t="inlineStr">
        <is>
          <t>API</t>
        </is>
      </c>
      <c r="J5" s="249">
        <f>IFERROR(_xlfn.IFS($K5="정상","P",$K5="단순오류","F",$K5="개선사항","F",$K5="치명적오류","F",$K5="미진행","N"),"")</f>
        <v/>
      </c>
      <c r="K5" s="250" t="inlineStr">
        <is>
          <t>정상</t>
        </is>
      </c>
      <c r="L5" s="248" t="inlineStr">
        <is>
          <t>정상 패스</t>
        </is>
      </c>
      <c r="M5" s="76" t="n"/>
      <c r="N5" s="72" t="n"/>
      <c r="O5" s="24" t="n"/>
      <c r="P5" s="3" t="n"/>
    </row>
    <row r="6">
      <c r="A6" s="247" t="inlineStr">
        <is>
          <t>TS_SYS_0100</t>
        </is>
      </c>
      <c r="B6" s="248" t="inlineStr">
        <is>
          <t>외부 연계</t>
        </is>
      </c>
      <c r="C6" s="247" t="inlineStr">
        <is>
          <t>TC_SYS_0102</t>
        </is>
      </c>
      <c r="D6" s="248" t="inlineStr">
        <is>
          <t>MarketingHub 광고심의 회신 API</t>
        </is>
      </c>
      <c r="E6" s="247" t="inlineStr">
        <is>
          <t>SCR_SYS_01</t>
        </is>
      </c>
      <c r="F6" s="248" t="inlineStr">
        <is>
          <t>심의 확정 데이터 및 PDF 다운로드 URL MarketingHub 정상 수신</t>
        </is>
      </c>
      <c r="G6" s="249" t="inlineStr">
        <is>
          <t>2026-10-16</t>
        </is>
      </c>
      <c r="H6" s="249" t="inlineStr">
        <is>
          <t>EMPASY QA팀</t>
        </is>
      </c>
      <c r="I6" s="249" t="inlineStr">
        <is>
          <t>API</t>
        </is>
      </c>
      <c r="J6" s="249">
        <f>IFERROR(_xlfn.IFS($K6="정상","P",$K6="단순오류","F",$K6="개선사항","F",$K6="치명적오류","F",$K6="미진행","N"),"")</f>
        <v/>
      </c>
      <c r="K6" s="250" t="inlineStr">
        <is>
          <t>정상</t>
        </is>
      </c>
      <c r="L6" s="248" t="inlineStr">
        <is>
          <t>정상 패스</t>
        </is>
      </c>
      <c r="M6" s="66" t="n"/>
      <c r="N6" s="73" t="n"/>
      <c r="O6" s="19" t="n"/>
      <c r="P6" s="2" t="n"/>
    </row>
    <row r="7">
      <c r="A7" s="247" t="inlineStr">
        <is>
          <t>TS_SYS_0100</t>
        </is>
      </c>
      <c r="B7" s="248" t="inlineStr">
        <is>
          <t>외부 연계</t>
        </is>
      </c>
      <c r="C7" s="247" t="inlineStr">
        <is>
          <t>TC_SYS_0103</t>
        </is>
      </c>
      <c r="D7" s="248" t="inlineStr">
        <is>
          <t>ProductLab 전성분·실증 연동 및 [Option] KT 레몬 연계</t>
        </is>
      </c>
      <c r="E7" s="247" t="inlineStr">
        <is>
          <t>SCR_SYS_01</t>
        </is>
      </c>
      <c r="F7" s="248" t="inlineStr">
        <is>
          <t>매일 새벽 원료 배합한도 변경분 수신 및 규제DB 최신화</t>
        </is>
      </c>
      <c r="G7" s="249" t="inlineStr">
        <is>
          <t>2026-10-16</t>
        </is>
      </c>
      <c r="H7" s="249" t="inlineStr">
        <is>
          <t>EMPASY QA팀</t>
        </is>
      </c>
      <c r="I7" s="249" t="inlineStr">
        <is>
          <t>Batch</t>
        </is>
      </c>
      <c r="J7" s="249">
        <f>IFERROR(_xlfn.IFS($K7="정상","P",$K7="단순오류","F",$K7="개선사항","F",$K7="치명적오류","F",$K7="미진행","N"),"")</f>
        <v/>
      </c>
      <c r="K7" s="250" t="inlineStr">
        <is>
          <t>정상</t>
        </is>
      </c>
      <c r="L7" s="248" t="inlineStr">
        <is>
          <t>정상 패스</t>
        </is>
      </c>
      <c r="M7" s="75" t="n"/>
      <c r="N7" s="73" t="n"/>
      <c r="O7" s="19" t="n"/>
      <c r="P7" s="2" t="n"/>
    </row>
    <row r="8">
      <c r="A8" s="247" t="inlineStr">
        <is>
          <t>TS_SYS_0100</t>
        </is>
      </c>
      <c r="B8" s="248" t="inlineStr">
        <is>
          <t>외부 연계</t>
        </is>
      </c>
      <c r="C8" s="247" t="inlineStr">
        <is>
          <t>TC_SYS_0104</t>
        </is>
      </c>
      <c r="D8" s="248" t="inlineStr">
        <is>
          <t>ProductLab 실증자료 주기적 동기화</t>
        </is>
      </c>
      <c r="E8" s="247" t="inlineStr">
        <is>
          <t>SCR_SYS_01</t>
        </is>
      </c>
      <c r="F8" s="248" t="inlineStr">
        <is>
          <t>신규 등록된 임상시험 보고서 메타데이터 자동 색인 반영</t>
        </is>
      </c>
      <c r="G8" s="249" t="inlineStr">
        <is>
          <t>2026-10-16</t>
        </is>
      </c>
      <c r="H8" s="249" t="inlineStr">
        <is>
          <t>EMPASY QA팀</t>
        </is>
      </c>
      <c r="I8" s="249" t="inlineStr">
        <is>
          <t>Batch</t>
        </is>
      </c>
      <c r="J8" s="249">
        <f>IFERROR(_xlfn.IFS($K8="정상","P",$K8="단순오류","F",$K8="개선사항","F",$K8="치명적오류","F",$K8="미진행","N"),"")</f>
        <v/>
      </c>
      <c r="K8" s="250" t="inlineStr">
        <is>
          <t>정상</t>
        </is>
      </c>
      <c r="L8" s="248" t="inlineStr">
        <is>
          <t>정상 패스</t>
        </is>
      </c>
      <c r="M8" s="66" t="n"/>
      <c r="N8" s="73" t="n"/>
      <c r="O8" s="19" t="n"/>
      <c r="P8" s="2" t="n"/>
    </row>
    <row r="9">
      <c r="A9" s="247" t="inlineStr">
        <is>
          <t>TS_SYS_0200</t>
        </is>
      </c>
      <c r="B9" s="248" t="inlineStr">
        <is>
          <t>관리자 및 품질</t>
        </is>
      </c>
      <c r="C9" s="247" t="inlineStr">
        <is>
          <t>TC_SYS_0201</t>
        </is>
      </c>
      <c r="D9" s="248" t="inlineStr">
        <is>
          <t>규제 룰사전 CRUD 및 캐시 갱신</t>
        </is>
      </c>
      <c r="E9" s="247" t="inlineStr">
        <is>
          <t>SCR_ADM_01</t>
        </is>
      </c>
      <c r="F9" s="248" t="inlineStr">
        <is>
          <t>관리자 콘솔 룰 등록/수정 시 Redis 캐시 즉시 자동 무효화</t>
        </is>
      </c>
      <c r="G9" s="249" t="inlineStr">
        <is>
          <t>2026-10-16</t>
        </is>
      </c>
      <c r="H9" s="249" t="inlineStr">
        <is>
          <t>EMPASY QA팀</t>
        </is>
      </c>
      <c r="I9" s="249" t="inlineStr">
        <is>
          <t>Admin</t>
        </is>
      </c>
      <c r="J9" s="249">
        <f>IFERROR(_xlfn.IFS($K9="정상","P",$K9="단순오류","F",$K9="개선사항","F",$K9="치명적오류","F",$K9="미진행","N"),"")</f>
        <v/>
      </c>
      <c r="K9" s="250" t="inlineStr">
        <is>
          <t>정상</t>
        </is>
      </c>
      <c r="L9" s="248" t="inlineStr">
        <is>
          <t>정상 패스</t>
        </is>
      </c>
      <c r="M9" s="66" t="n"/>
      <c r="N9" s="73" t="n"/>
      <c r="O9" s="19" t="n"/>
      <c r="P9" s="2" t="n"/>
    </row>
    <row r="10">
      <c r="A10" s="247" t="inlineStr">
        <is>
          <t>TS_SYS_0200</t>
        </is>
      </c>
      <c r="B10" s="248" t="inlineStr">
        <is>
          <t>관리자 및 품질</t>
        </is>
      </c>
      <c r="C10" s="247" t="inlineStr">
        <is>
          <t>TC_SYS_0202</t>
        </is>
      </c>
      <c r="D10" s="248" t="inlineStr">
        <is>
          <t>RAG 벡터 인덱스 수동 추가</t>
        </is>
      </c>
      <c r="E10" s="247" t="inlineStr">
        <is>
          <t>SCR_ADM_02</t>
        </is>
      </c>
      <c r="F10" s="248" t="inlineStr">
        <is>
          <t>신규 PDF 업로드 시 임베딩 및 pgvector 인덱스 즉시 반영</t>
        </is>
      </c>
      <c r="G10" s="249" t="inlineStr">
        <is>
          <t>2026-10-16</t>
        </is>
      </c>
      <c r="H10" s="249" t="inlineStr">
        <is>
          <t>EMPASY QA팀</t>
        </is>
      </c>
      <c r="I10" s="249" t="inlineStr">
        <is>
          <t>Admin</t>
        </is>
      </c>
      <c r="J10" s="249">
        <f>IFERROR(_xlfn.IFS($K10="정상","P",$K10="단순오류","F",$K10="개선사항","F",$K10="치명적오류","F",$K10="미진행","N"),"")</f>
        <v/>
      </c>
      <c r="K10" s="250" t="inlineStr">
        <is>
          <t>정상</t>
        </is>
      </c>
      <c r="L10" s="248" t="inlineStr">
        <is>
          <t>정상 패스</t>
        </is>
      </c>
      <c r="M10" s="66" t="n"/>
      <c r="N10" s="73" t="n"/>
      <c r="O10" s="19" t="n"/>
      <c r="P10" s="2" t="n"/>
    </row>
    <row r="11">
      <c r="A11" s="247" t="inlineStr">
        <is>
          <t>TS_SYS_0200</t>
        </is>
      </c>
      <c r="B11" s="248" t="inlineStr">
        <is>
          <t>관리자 및 품질</t>
        </is>
      </c>
      <c r="C11" s="247" t="inlineStr">
        <is>
          <t>TC_SYS_0203</t>
        </is>
      </c>
      <c r="D11" s="248" t="inlineStr">
        <is>
          <t>골든셋 벤치마크 정기 평가</t>
        </is>
      </c>
      <c r="E11" s="247" t="inlineStr">
        <is>
          <t>SCR_ADM_03</t>
        </is>
      </c>
      <c r="F11" s="248" t="inlineStr">
        <is>
          <t>주간 단위 100건 테스트셋 자동 채점 및 정확도 95% 이상 검증</t>
        </is>
      </c>
      <c r="G11" s="249" t="inlineStr">
        <is>
          <t>2026-10-16</t>
        </is>
      </c>
      <c r="H11" s="249" t="inlineStr">
        <is>
          <t>EMPASY QA팀</t>
        </is>
      </c>
      <c r="I11" s="249" t="inlineStr">
        <is>
          <t>Batch</t>
        </is>
      </c>
      <c r="J11" s="249">
        <f>IFERROR(_xlfn.IFS($K11="정상","P",$K11="단순오류","F",$K11="개선사항","F",$K11="치명적오류","F",$K11="미진행","N"),"")</f>
        <v/>
      </c>
      <c r="K11" s="250" t="inlineStr">
        <is>
          <t>정상</t>
        </is>
      </c>
      <c r="L11" s="248" t="inlineStr">
        <is>
          <t>정상 패스</t>
        </is>
      </c>
      <c r="M11" s="66" t="n"/>
      <c r="N11" s="73" t="n"/>
      <c r="O11" s="19" t="n"/>
      <c r="P11" s="3" t="n"/>
    </row>
    <row r="12">
      <c r="A12" s="247" t="inlineStr">
        <is>
          <t>TS_SYS_0300</t>
        </is>
      </c>
      <c r="B12" s="248" t="inlineStr">
        <is>
          <t>보안 및 감사</t>
        </is>
      </c>
      <c r="C12" s="247" t="inlineStr">
        <is>
          <t>TC_SYS_0301</t>
        </is>
      </c>
      <c r="D12" s="248" t="inlineStr">
        <is>
          <t>불변 감사로그 SHA-256 검증</t>
        </is>
      </c>
      <c r="E12" s="247" t="inlineStr">
        <is>
          <t>SCR_SYS_02</t>
        </is>
      </c>
      <c r="F12" s="248" t="inlineStr">
        <is>
          <t>모든 심의 이벤트의 불변 로그 적재 및 블록 해시 체인 무결성 확인</t>
        </is>
      </c>
      <c r="G12" s="249" t="inlineStr">
        <is>
          <t>2026-10-16</t>
        </is>
      </c>
      <c r="H12" s="249" t="inlineStr">
        <is>
          <t>EMPASY QA팀</t>
        </is>
      </c>
      <c r="I12" s="249" t="inlineStr">
        <is>
          <t>Security</t>
        </is>
      </c>
      <c r="J12" s="249">
        <f>IFERROR(_xlfn.IFS($K12="정상","P",$K12="단순오류","F",$K12="개선사항","F",$K12="치명적오류","F",$K12="미진행","N"),"")</f>
        <v/>
      </c>
      <c r="K12" s="250" t="inlineStr">
        <is>
          <t>정상</t>
        </is>
      </c>
      <c r="L12" s="248" t="inlineStr">
        <is>
          <t>정상 패스</t>
        </is>
      </c>
      <c r="M12" s="75" t="n"/>
      <c r="N12" s="73" t="n"/>
      <c r="O12" s="19" t="n"/>
      <c r="P12" s="2" t="n"/>
    </row>
    <row r="13">
      <c r="A13" s="247" t="inlineStr">
        <is>
          <t>TS_SYS_0300</t>
        </is>
      </c>
      <c r="B13" s="248" t="inlineStr">
        <is>
          <t>보안 및 감사</t>
        </is>
      </c>
      <c r="C13" s="247" t="inlineStr">
        <is>
          <t>TC_SYS_0302</t>
        </is>
      </c>
      <c r="D13" s="248" t="inlineStr">
        <is>
          <t>역할별 접근 권한(RBAC) 통제</t>
        </is>
      </c>
      <c r="E13" s="247" t="inlineStr">
        <is>
          <t>SCR_SYS_02</t>
        </is>
      </c>
      <c r="F13" s="248" t="inlineStr">
        <is>
          <t>마케터, RA담당자, 관리자 권한별 URL 및 API 비인가 접근 완벽 차단</t>
        </is>
      </c>
      <c r="G13" s="249" t="inlineStr">
        <is>
          <t>2026-10-16</t>
        </is>
      </c>
      <c r="H13" s="249" t="inlineStr">
        <is>
          <t>EMPASY QA팀</t>
        </is>
      </c>
      <c r="I13" s="249" t="inlineStr">
        <is>
          <t>Security</t>
        </is>
      </c>
      <c r="J13" s="249">
        <f>IFERROR(_xlfn.IFS($K13="정상","P",$K13="단순오류","F",$K13="개선사항","F",$K13="치명적오류","F",$K13="미진행","N"),"")</f>
        <v/>
      </c>
      <c r="K13" s="250" t="inlineStr">
        <is>
          <t>정상</t>
        </is>
      </c>
      <c r="L13" s="248" t="inlineStr">
        <is>
          <t>정상 패스</t>
        </is>
      </c>
      <c r="M13" s="66" t="n"/>
      <c r="N13" s="73" t="n"/>
      <c r="O13" s="19" t="n"/>
      <c r="P13" s="2" t="n"/>
    </row>
    <row r="14">
      <c r="A14" s="247" t="inlineStr">
        <is>
          <t>TS_SYS_0300</t>
        </is>
      </c>
      <c r="B14" s="248" t="inlineStr">
        <is>
          <t>보안 및 감사</t>
        </is>
      </c>
      <c r="C14" s="247" t="inlineStr">
        <is>
          <t>TC_SYS_0303</t>
        </is>
      </c>
      <c r="D14" s="248" t="inlineStr">
        <is>
          <t>개인정보 마스킹 및 암호화</t>
        </is>
      </c>
      <c r="E14" s="247" t="inlineStr">
        <is>
          <t>SCR_SYS_02</t>
        </is>
      </c>
      <c r="F14" s="248" t="inlineStr">
        <is>
          <t>성명, 사번, 연락처 등 개인정보 DB 암호화 및 화면 마스킹</t>
        </is>
      </c>
      <c r="G14" s="249" t="inlineStr">
        <is>
          <t>2026-10-16</t>
        </is>
      </c>
      <c r="H14" s="249" t="inlineStr">
        <is>
          <t>EMPASY QA팀</t>
        </is>
      </c>
      <c r="I14" s="249" t="inlineStr">
        <is>
          <t>Security</t>
        </is>
      </c>
      <c r="J14" s="249">
        <f>IFERROR(_xlfn.IFS($K14="정상","P",$K14="단순오류","F",$K14="개선사항","F",$K14="치명적오류","F",$K14="미진행","N"),"")</f>
        <v/>
      </c>
      <c r="K14" s="250" t="inlineStr">
        <is>
          <t>정상</t>
        </is>
      </c>
      <c r="L14" s="248" t="inlineStr">
        <is>
          <t>정상 패스</t>
        </is>
      </c>
      <c r="M14" s="66" t="n"/>
      <c r="N14" s="73" t="n"/>
      <c r="O14" s="19" t="n"/>
      <c r="P14" s="2" t="n"/>
    </row>
    <row r="15">
      <c r="A15" s="247" t="inlineStr">
        <is>
          <t>TS_SYS_0300</t>
        </is>
      </c>
      <c r="B15" s="248" t="inlineStr">
        <is>
          <t>보안 및 감사</t>
        </is>
      </c>
      <c r="C15" s="247" t="inlineStr">
        <is>
          <t>TC_SYS_0304</t>
        </is>
      </c>
      <c r="D15" s="248" t="inlineStr">
        <is>
          <t>서버 장애 복구 및 헬스체크</t>
        </is>
      </c>
      <c r="E15" s="247" t="inlineStr">
        <is>
          <t>SCR_SYS_02</t>
        </is>
      </c>
      <c r="F15" s="248" t="inlineStr">
        <is>
          <t>Spring Actuator 헬스체크 엔드포인트 및 DB 재접속 복구 검증</t>
        </is>
      </c>
      <c r="G15" s="249" t="inlineStr">
        <is>
          <t>2026-10-16</t>
        </is>
      </c>
      <c r="H15" s="249" t="inlineStr">
        <is>
          <t>EMPASY QA팀</t>
        </is>
      </c>
      <c r="I15" s="249" t="inlineStr">
        <is>
          <t>Infra</t>
        </is>
      </c>
      <c r="J15" s="249">
        <f>IFERROR(_xlfn.IFS($K15="정상","P",$K15="단순오류","F",$K15="개선사항","F",$K15="치명적오류","F",$K15="미진행","N"),"")</f>
        <v/>
      </c>
      <c r="K15" s="250" t="inlineStr">
        <is>
          <t>정상</t>
        </is>
      </c>
      <c r="L15" s="248" t="inlineStr">
        <is>
          <t>정상 패스</t>
        </is>
      </c>
      <c r="M15" s="66" t="n"/>
      <c r="N15" s="73" t="n"/>
      <c r="O15" s="19" t="n"/>
      <c r="P15" s="2" t="n"/>
    </row>
    <row r="16">
      <c r="A16" s="21" t="n"/>
      <c r="B16" s="14" t="n"/>
      <c r="C16" s="17" t="n"/>
      <c r="D16" s="14" t="n"/>
      <c r="E16" s="21" t="n"/>
      <c r="F16" s="57" t="n"/>
      <c r="G16" s="251" t="n"/>
      <c r="H16" s="252" t="n"/>
      <c r="I16" s="252" t="n"/>
      <c r="J16" s="252" t="n"/>
      <c r="K16" s="13" t="n"/>
      <c r="L16" s="69" t="n"/>
      <c r="M16" s="75" t="n"/>
      <c r="N16" s="73" t="n"/>
      <c r="O16" s="19" t="n"/>
      <c r="P16" s="2" t="n"/>
    </row>
    <row r="17">
      <c r="A17" s="17" t="n"/>
      <c r="B17" s="14" t="n"/>
      <c r="C17" s="17" t="n"/>
      <c r="D17" s="14" t="n"/>
      <c r="E17" s="21" t="n"/>
      <c r="F17" s="57" t="n"/>
      <c r="G17" s="251" t="n"/>
      <c r="H17" s="252" t="n"/>
      <c r="I17" s="252" t="n"/>
      <c r="J17" s="252" t="n"/>
      <c r="K17" s="13" t="n"/>
      <c r="L17" s="69" t="n"/>
      <c r="M17" s="66" t="n"/>
      <c r="N17" s="73" t="n"/>
      <c r="O17" s="19" t="n"/>
      <c r="P17" s="2" t="n"/>
    </row>
    <row r="18">
      <c r="A18" s="17" t="n"/>
      <c r="B18" s="14" t="n"/>
      <c r="C18" s="17" t="n"/>
      <c r="D18" s="14" t="n"/>
      <c r="E18" s="21" t="n"/>
      <c r="F18" s="57" t="n"/>
      <c r="G18" s="251" t="n"/>
      <c r="H18" s="252" t="n"/>
      <c r="I18" s="252" t="n"/>
      <c r="J18" s="252" t="n"/>
      <c r="K18" s="13" t="n"/>
      <c r="L18" s="69" t="n"/>
      <c r="M18" s="66" t="n"/>
      <c r="N18" s="73" t="n"/>
      <c r="O18" s="19" t="n"/>
      <c r="P18" s="2" t="n"/>
    </row>
    <row r="19">
      <c r="A19" s="17" t="n"/>
      <c r="B19" s="14" t="n"/>
      <c r="C19" s="17" t="n"/>
      <c r="D19" s="14" t="n"/>
      <c r="E19" s="21" t="n"/>
      <c r="F19" s="57" t="n"/>
      <c r="G19" s="251" t="n"/>
      <c r="H19" s="252" t="n"/>
      <c r="I19" s="252" t="n"/>
      <c r="J19" s="252" t="n"/>
      <c r="K19" s="13" t="n"/>
      <c r="L19" s="69" t="n"/>
      <c r="M19" s="66" t="n"/>
      <c r="N19" s="73" t="n"/>
      <c r="O19" s="19" t="n"/>
      <c r="P19" s="2" t="n"/>
    </row>
    <row r="20">
      <c r="A20" s="17" t="n"/>
      <c r="B20" s="14" t="n"/>
      <c r="C20" s="17" t="n"/>
      <c r="D20" s="14" t="n"/>
      <c r="E20" s="21" t="n"/>
      <c r="F20" s="57" t="n"/>
      <c r="G20" s="251" t="n"/>
      <c r="H20" s="252" t="n"/>
      <c r="I20" s="252" t="n"/>
      <c r="J20" s="252" t="n"/>
      <c r="K20" s="13" t="n"/>
      <c r="L20" s="69" t="n"/>
      <c r="M20" s="75" t="n"/>
      <c r="N20" s="73" t="n"/>
      <c r="O20" s="19" t="n"/>
      <c r="P20" s="2" t="n"/>
    </row>
    <row r="21">
      <c r="A21" s="17" t="n"/>
      <c r="B21" s="14" t="n"/>
      <c r="C21" s="17" t="n"/>
      <c r="D21" s="14" t="n"/>
      <c r="E21" s="21" t="n"/>
      <c r="F21" s="57" t="n"/>
      <c r="G21" s="251" t="n"/>
      <c r="H21" s="252" t="n"/>
      <c r="I21" s="252" t="n"/>
      <c r="J21" s="252" t="n"/>
      <c r="K21" s="13" t="n"/>
      <c r="L21" s="69" t="n"/>
      <c r="M21" s="66" t="n"/>
      <c r="N21" s="73" t="n"/>
      <c r="O21" s="19" t="n"/>
      <c r="P21" s="2" t="n"/>
    </row>
    <row r="22">
      <c r="A22" s="17" t="n"/>
      <c r="B22" s="14" t="n"/>
      <c r="C22" s="17" t="n"/>
      <c r="D22" s="14" t="n"/>
      <c r="E22" s="21" t="n"/>
      <c r="F22" s="57" t="n"/>
      <c r="G22" s="251" t="n"/>
      <c r="H22" s="252" t="n"/>
      <c r="I22" s="252" t="n"/>
      <c r="J22" s="252" t="n"/>
      <c r="K22" s="13" t="n"/>
      <c r="L22" s="69" t="n"/>
      <c r="M22" s="66" t="n"/>
      <c r="N22" s="73" t="n"/>
      <c r="O22" s="19" t="n"/>
      <c r="P22" s="2" t="n"/>
    </row>
    <row r="23">
      <c r="A23" s="17" t="n"/>
      <c r="B23" s="14" t="n"/>
      <c r="C23" s="17" t="n"/>
      <c r="D23" s="14" t="n"/>
      <c r="E23" s="21" t="n"/>
      <c r="F23" s="57" t="n"/>
      <c r="G23" s="251" t="n"/>
      <c r="H23" s="252" t="n"/>
      <c r="I23" s="252" t="n"/>
      <c r="J23" s="252" t="n"/>
      <c r="K23" s="13" t="n"/>
      <c r="L23" s="69" t="n"/>
      <c r="M23" s="66" t="n"/>
      <c r="N23" s="73" t="n"/>
      <c r="O23" s="19" t="n"/>
      <c r="P23" s="2" t="n"/>
    </row>
    <row r="24">
      <c r="A24" s="17" t="n"/>
      <c r="B24" s="14" t="n"/>
      <c r="C24" s="17" t="n"/>
      <c r="D24" s="14" t="n"/>
      <c r="E24" s="21" t="n"/>
      <c r="F24" s="57" t="n"/>
      <c r="G24" s="251" t="n"/>
      <c r="H24" s="252" t="n"/>
      <c r="I24" s="252" t="n"/>
      <c r="J24" s="252" t="n"/>
      <c r="K24" s="13" t="n"/>
      <c r="L24" s="68" t="n"/>
      <c r="M24" s="66" t="n"/>
      <c r="N24" s="73" t="n"/>
      <c r="O24" s="19" t="n"/>
      <c r="P24" s="3" t="n"/>
    </row>
    <row r="25">
      <c r="A25" s="17" t="n"/>
      <c r="B25" s="14" t="n"/>
      <c r="C25" s="17" t="n"/>
      <c r="D25" s="14" t="n"/>
      <c r="E25" s="21" t="n"/>
      <c r="F25" s="57" t="n"/>
      <c r="G25" s="251" t="n"/>
      <c r="H25" s="252" t="n"/>
      <c r="I25" s="252" t="n"/>
      <c r="J25" s="252" t="n"/>
      <c r="K25" s="13" t="n"/>
      <c r="L25" s="68" t="n"/>
      <c r="M25" s="66" t="n"/>
      <c r="N25" s="73" t="n"/>
      <c r="O25" s="19" t="n"/>
      <c r="P25" s="3" t="n"/>
    </row>
    <row r="26">
      <c r="A26" s="17" t="n"/>
      <c r="B26" s="14" t="n"/>
      <c r="C26" s="17" t="n"/>
      <c r="D26" s="14" t="n"/>
      <c r="E26" s="21" t="n"/>
      <c r="F26" s="57" t="n"/>
      <c r="G26" s="251" t="n"/>
      <c r="H26" s="252" t="n"/>
      <c r="I26" s="252" t="n"/>
      <c r="J26" s="252" t="n"/>
      <c r="K26" s="13" t="n"/>
      <c r="L26" s="69" t="n"/>
      <c r="M26" s="75" t="n"/>
      <c r="N26" s="73" t="n"/>
      <c r="O26" s="19" t="n"/>
      <c r="P26" s="2" t="n"/>
    </row>
    <row r="27">
      <c r="A27" s="17" t="n"/>
      <c r="B27" s="14" t="n"/>
      <c r="C27" s="17" t="n"/>
      <c r="D27" s="14" t="n"/>
      <c r="E27" s="21" t="n"/>
      <c r="F27" s="57" t="n"/>
      <c r="G27" s="251" t="n"/>
      <c r="H27" s="252" t="n"/>
      <c r="I27" s="252" t="n"/>
      <c r="J27" s="252" t="n"/>
      <c r="K27" s="13" t="n"/>
      <c r="L27" s="69" t="n"/>
      <c r="M27" s="75" t="n"/>
      <c r="N27" s="73" t="n"/>
      <c r="O27" s="19" t="n"/>
      <c r="P27" s="2" t="n"/>
    </row>
    <row r="28">
      <c r="A28" s="17" t="n"/>
      <c r="B28" s="14" t="n"/>
      <c r="C28" s="17" t="n"/>
      <c r="D28" s="14" t="n"/>
      <c r="E28" s="21" t="n"/>
      <c r="F28" s="57" t="n"/>
      <c r="G28" s="251" t="n"/>
      <c r="H28" s="252" t="n"/>
      <c r="I28" s="252" t="n"/>
      <c r="J28" s="252" t="n"/>
      <c r="K28" s="13" t="n"/>
      <c r="L28" s="69" t="n"/>
      <c r="M28" s="75" t="n"/>
      <c r="N28" s="73" t="n"/>
      <c r="O28" s="19" t="n"/>
      <c r="P28" s="2" t="n"/>
    </row>
    <row r="29">
      <c r="A29" s="17" t="n"/>
      <c r="B29" s="14" t="n"/>
      <c r="C29" s="17" t="n"/>
      <c r="D29" s="14" t="n"/>
      <c r="E29" s="21" t="n"/>
      <c r="F29" s="57" t="n"/>
      <c r="G29" s="251" t="n"/>
      <c r="H29" s="252" t="n"/>
      <c r="I29" s="252" t="n"/>
      <c r="J29" s="252" t="n"/>
      <c r="K29" s="13" t="n"/>
      <c r="L29" s="69" t="n"/>
      <c r="M29" s="66" t="n"/>
      <c r="N29" s="73" t="n"/>
      <c r="O29" s="19" t="n"/>
      <c r="P29" s="2" t="n"/>
    </row>
    <row r="30">
      <c r="A30" s="17" t="n"/>
      <c r="B30" s="14" t="n"/>
      <c r="C30" s="17" t="n"/>
      <c r="D30" s="14" t="n"/>
      <c r="E30" s="21" t="n"/>
      <c r="F30" s="57" t="n"/>
      <c r="G30" s="251" t="n"/>
      <c r="H30" s="252" t="n"/>
      <c r="I30" s="252" t="n"/>
      <c r="J30" s="252" t="n"/>
      <c r="K30" s="13" t="n"/>
      <c r="L30" s="68" t="n"/>
      <c r="M30" s="66" t="n"/>
      <c r="N30" s="73" t="n"/>
      <c r="O30" s="19" t="n"/>
      <c r="P30" s="3" t="n"/>
    </row>
    <row r="31">
      <c r="A31" s="17" t="n"/>
      <c r="B31" s="14" t="n"/>
      <c r="C31" s="17" t="n"/>
      <c r="D31" s="14" t="n"/>
      <c r="E31" s="21" t="n"/>
      <c r="F31" s="57" t="n"/>
      <c r="G31" s="251" t="n"/>
      <c r="H31" s="252" t="n"/>
      <c r="I31" s="252" t="n"/>
      <c r="J31" s="252" t="n"/>
      <c r="K31" s="13" t="n"/>
      <c r="L31" s="68" t="n"/>
      <c r="M31" s="66" t="n"/>
      <c r="N31" s="73" t="n"/>
      <c r="O31" s="19" t="n"/>
      <c r="P31" s="3" t="n"/>
    </row>
    <row r="32">
      <c r="A32" s="17" t="n"/>
      <c r="B32" s="14" t="n"/>
      <c r="C32" s="17" t="n"/>
      <c r="D32" s="14" t="n"/>
      <c r="E32" s="17" t="n"/>
      <c r="F32" s="57" t="n"/>
      <c r="G32" s="251" t="n"/>
      <c r="H32" s="252" t="n"/>
      <c r="I32" s="252" t="n"/>
      <c r="J32" s="252" t="n"/>
      <c r="K32" s="13" t="n"/>
      <c r="L32" s="69" t="n"/>
      <c r="M32" s="66" t="n"/>
      <c r="N32" s="73" t="n"/>
      <c r="O32" s="19" t="n"/>
      <c r="P32" s="2" t="n"/>
    </row>
    <row r="33">
      <c r="A33" s="17" t="n"/>
      <c r="B33" s="14" t="n"/>
      <c r="C33" s="17" t="n"/>
      <c r="D33" s="14" t="n"/>
      <c r="E33" s="17" t="n"/>
      <c r="F33" s="57" t="n"/>
      <c r="G33" s="251" t="n"/>
      <c r="H33" s="252" t="n"/>
      <c r="I33" s="252" t="n"/>
      <c r="J33" s="252" t="n"/>
      <c r="K33" s="13" t="n"/>
      <c r="L33" s="69" t="n"/>
      <c r="M33" s="66" t="n"/>
      <c r="N33" s="73" t="n"/>
      <c r="O33" s="19" t="n"/>
      <c r="P33" s="2" t="n"/>
    </row>
    <row r="34">
      <c r="A34" s="17" t="n"/>
      <c r="B34" s="14" t="n"/>
      <c r="C34" s="17" t="n"/>
      <c r="D34" s="14" t="n"/>
      <c r="E34" s="17" t="n"/>
      <c r="F34" s="57" t="n"/>
      <c r="G34" s="251" t="n"/>
      <c r="H34" s="252" t="n"/>
      <c r="I34" s="252" t="n"/>
      <c r="J34" s="252" t="n"/>
      <c r="K34" s="13" t="n"/>
      <c r="L34" s="69" t="n"/>
      <c r="M34" s="66" t="n"/>
      <c r="N34" s="73" t="n"/>
      <c r="O34" s="19" t="n"/>
      <c r="P34" s="2" t="n"/>
    </row>
    <row r="35">
      <c r="A35" s="17" t="n"/>
      <c r="B35" s="14" t="n"/>
      <c r="C35" s="17" t="n"/>
      <c r="D35" s="14" t="n"/>
      <c r="E35" s="17" t="n"/>
      <c r="F35" s="57" t="n"/>
      <c r="G35" s="251" t="n"/>
      <c r="H35" s="252" t="n"/>
      <c r="I35" s="252" t="n"/>
      <c r="J35" s="252" t="n"/>
      <c r="K35" s="13" t="n"/>
      <c r="L35" s="69" t="n"/>
      <c r="M35" s="66" t="n"/>
      <c r="N35" s="73" t="n"/>
      <c r="O35" s="19" t="n"/>
      <c r="P35" s="2" t="n"/>
    </row>
    <row r="36">
      <c r="A36" s="17" t="n"/>
      <c r="B36" s="14" t="n"/>
      <c r="C36" s="17" t="n"/>
      <c r="D36" s="14" t="n"/>
      <c r="E36" s="17" t="n"/>
      <c r="F36" s="57" t="n"/>
      <c r="G36" s="251" t="n"/>
      <c r="H36" s="252" t="n"/>
      <c r="I36" s="252" t="n"/>
      <c r="J36" s="252" t="n"/>
      <c r="K36" s="13" t="n"/>
      <c r="L36" s="69" t="n"/>
      <c r="M36" s="66" t="n"/>
      <c r="N36" s="73" t="n"/>
      <c r="O36" s="19" t="n"/>
      <c r="P36" s="2" t="n"/>
    </row>
    <row r="37">
      <c r="A37" s="17" t="n"/>
      <c r="B37" s="14" t="n"/>
      <c r="C37" s="17" t="n"/>
      <c r="D37" s="14" t="n"/>
      <c r="E37" s="17" t="n"/>
      <c r="F37" s="57" t="n"/>
      <c r="G37" s="251" t="n"/>
      <c r="H37" s="252" t="n"/>
      <c r="I37" s="252" t="n"/>
      <c r="J37" s="252" t="n"/>
      <c r="K37" s="13" t="n"/>
      <c r="L37" s="69" t="n"/>
      <c r="M37" s="66" t="n"/>
      <c r="N37" s="73" t="n"/>
      <c r="O37" s="19" t="n"/>
      <c r="P37" s="2" t="n"/>
    </row>
    <row r="38">
      <c r="A38" s="17" t="n"/>
      <c r="B38" s="14" t="n"/>
      <c r="C38" s="17" t="n"/>
      <c r="D38" s="14" t="n"/>
      <c r="E38" s="17" t="n"/>
      <c r="F38" s="57" t="n"/>
      <c r="G38" s="251" t="n"/>
      <c r="H38" s="252" t="n"/>
      <c r="I38" s="252" t="n"/>
      <c r="J38" s="252" t="n"/>
      <c r="K38" s="13" t="n"/>
      <c r="L38" s="69" t="n"/>
      <c r="M38" s="66" t="n"/>
      <c r="N38" s="73" t="n"/>
      <c r="O38" s="19" t="n"/>
      <c r="P38" s="2" t="n"/>
    </row>
    <row r="39">
      <c r="A39" s="17" t="n"/>
      <c r="B39" s="14" t="n"/>
      <c r="C39" s="17" t="n"/>
      <c r="D39" s="14" t="n"/>
      <c r="E39" s="17" t="n"/>
      <c r="F39" s="57" t="n"/>
      <c r="G39" s="251" t="n"/>
      <c r="H39" s="252" t="n"/>
      <c r="I39" s="252" t="n"/>
      <c r="J39" s="252" t="n"/>
      <c r="K39" s="13" t="n"/>
      <c r="L39" s="69" t="n"/>
      <c r="M39" s="66" t="n"/>
      <c r="N39" s="73" t="n"/>
      <c r="O39" s="19" t="n"/>
      <c r="P39" s="2" t="n"/>
    </row>
    <row r="40">
      <c r="A40" s="17" t="n"/>
      <c r="B40" s="14" t="n"/>
      <c r="C40" s="17" t="n"/>
      <c r="D40" s="14" t="n"/>
      <c r="E40" s="17" t="n"/>
      <c r="F40" s="57" t="n"/>
      <c r="G40" s="251" t="n"/>
      <c r="H40" s="252" t="n"/>
      <c r="I40" s="252" t="n"/>
      <c r="J40" s="252" t="n"/>
      <c r="K40" s="13" t="n"/>
      <c r="L40" s="69" t="n"/>
      <c r="M40" s="66" t="n"/>
      <c r="N40" s="73" t="n"/>
      <c r="O40" s="19" t="n"/>
      <c r="P40" s="2" t="n"/>
    </row>
    <row r="41">
      <c r="A41" s="17" t="n"/>
      <c r="B41" s="14" t="n"/>
      <c r="C41" s="17" t="n"/>
      <c r="D41" s="14" t="n"/>
      <c r="E41" s="17" t="n"/>
      <c r="F41" s="57" t="n"/>
      <c r="G41" s="251" t="n"/>
      <c r="H41" s="252" t="n"/>
      <c r="I41" s="252" t="n"/>
      <c r="J41" s="252" t="n"/>
      <c r="K41" s="13" t="n"/>
      <c r="L41" s="69" t="n"/>
      <c r="M41" s="66" t="n"/>
      <c r="N41" s="73" t="n"/>
      <c r="O41" s="19" t="n"/>
      <c r="P41" s="2" t="n"/>
    </row>
    <row r="42">
      <c r="A42" s="17" t="n"/>
      <c r="B42" s="14" t="n"/>
      <c r="C42" s="17" t="n"/>
      <c r="D42" s="14" t="n"/>
      <c r="E42" s="17" t="n"/>
      <c r="F42" s="57" t="n"/>
      <c r="G42" s="251" t="n"/>
      <c r="H42" s="252" t="n"/>
      <c r="I42" s="252" t="n"/>
      <c r="J42" s="252" t="n"/>
      <c r="K42" s="13" t="n"/>
      <c r="L42" s="69" t="n"/>
      <c r="M42" s="66" t="n"/>
      <c r="N42" s="73" t="n"/>
      <c r="O42" s="19" t="n"/>
      <c r="P42" s="2" t="n"/>
    </row>
    <row r="43">
      <c r="A43" s="17" t="n"/>
      <c r="B43" s="14" t="n"/>
      <c r="C43" s="17" t="n"/>
      <c r="D43" s="14" t="n"/>
      <c r="E43" s="17" t="n"/>
      <c r="F43" s="57" t="n"/>
      <c r="G43" s="251" t="n"/>
      <c r="H43" s="252" t="n"/>
      <c r="I43" s="252" t="n"/>
      <c r="J43" s="252" t="n"/>
      <c r="K43" s="13" t="n"/>
      <c r="L43" s="69" t="n"/>
      <c r="M43" s="66" t="n"/>
      <c r="N43" s="73" t="n"/>
      <c r="O43" s="19" t="n"/>
      <c r="P43" s="2" t="n"/>
    </row>
    <row r="44">
      <c r="A44" s="17" t="n"/>
      <c r="B44" s="14" t="n"/>
      <c r="C44" s="17" t="n"/>
      <c r="D44" s="14" t="n"/>
      <c r="E44" s="17" t="n"/>
      <c r="F44" s="57" t="n"/>
      <c r="G44" s="251" t="n"/>
      <c r="H44" s="252" t="n"/>
      <c r="I44" s="252" t="n"/>
      <c r="J44" s="252" t="n"/>
      <c r="K44" s="13" t="n"/>
      <c r="L44" s="69" t="n"/>
      <c r="M44" s="66" t="n"/>
      <c r="N44" s="73" t="n"/>
      <c r="O44" s="19" t="n"/>
      <c r="P44" s="2" t="n"/>
    </row>
    <row r="45">
      <c r="A45" s="17" t="n"/>
      <c r="B45" s="14" t="n"/>
      <c r="C45" s="17" t="n"/>
      <c r="D45" s="14" t="n"/>
      <c r="E45" s="17" t="n"/>
      <c r="F45" s="57" t="n"/>
      <c r="G45" s="251" t="n"/>
      <c r="H45" s="252" t="n"/>
      <c r="I45" s="252" t="n"/>
      <c r="J45" s="252" t="n"/>
      <c r="K45" s="13" t="n"/>
      <c r="L45" s="69" t="n"/>
      <c r="M45" s="66" t="n"/>
      <c r="N45" s="73" t="n"/>
      <c r="O45" s="19" t="n"/>
      <c r="P45" s="2" t="n"/>
    </row>
    <row r="46">
      <c r="A46" s="17" t="n"/>
      <c r="B46" s="14" t="n"/>
      <c r="C46" s="17" t="n"/>
      <c r="D46" s="14" t="n"/>
      <c r="E46" s="17" t="n"/>
      <c r="F46" s="57" t="n"/>
      <c r="G46" s="251" t="n"/>
      <c r="H46" s="252" t="n"/>
      <c r="I46" s="252" t="n"/>
      <c r="J46" s="252" t="n"/>
      <c r="K46" s="13" t="n"/>
      <c r="L46" s="69" t="n"/>
      <c r="M46" s="66" t="n"/>
      <c r="N46" s="73" t="n"/>
      <c r="O46" s="19" t="n"/>
      <c r="P46" s="2" t="n"/>
    </row>
    <row r="47">
      <c r="A47" s="17" t="n"/>
      <c r="B47" s="14" t="n"/>
      <c r="C47" s="17" t="n"/>
      <c r="D47" s="14" t="n"/>
      <c r="E47" s="17" t="n"/>
      <c r="F47" s="57" t="n"/>
      <c r="G47" s="251" t="n"/>
      <c r="H47" s="252" t="n"/>
      <c r="I47" s="252" t="n"/>
      <c r="J47" s="252" t="n"/>
      <c r="K47" s="13" t="n"/>
      <c r="L47" s="69" t="n"/>
      <c r="M47" s="66" t="n"/>
      <c r="N47" s="73" t="n"/>
      <c r="O47" s="19" t="n"/>
      <c r="P47" s="2" t="n"/>
    </row>
    <row r="48">
      <c r="A48" s="17" t="n"/>
      <c r="B48" s="14" t="n"/>
      <c r="C48" s="17" t="n"/>
      <c r="D48" s="14" t="n"/>
      <c r="E48" s="17" t="n"/>
      <c r="F48" s="57" t="n"/>
      <c r="G48" s="251" t="n"/>
      <c r="H48" s="252" t="n"/>
      <c r="I48" s="252" t="n"/>
      <c r="J48" s="252" t="n"/>
      <c r="K48" s="13" t="n"/>
      <c r="L48" s="69" t="n"/>
      <c r="M48" s="66" t="n"/>
      <c r="N48" s="73" t="n"/>
      <c r="O48" s="19" t="n"/>
      <c r="P48" s="2" t="n"/>
    </row>
    <row r="49">
      <c r="A49" s="17" t="n"/>
      <c r="B49" s="14" t="n"/>
      <c r="C49" s="17" t="n"/>
      <c r="D49" s="14" t="n"/>
      <c r="E49" s="17" t="n"/>
      <c r="F49" s="57" t="n"/>
      <c r="G49" s="251" t="n"/>
      <c r="H49" s="252" t="n"/>
      <c r="I49" s="252" t="n"/>
      <c r="J49" s="252" t="n"/>
      <c r="K49" s="13" t="n"/>
      <c r="L49" s="69" t="n"/>
      <c r="M49" s="66" t="n"/>
      <c r="N49" s="73" t="n"/>
      <c r="O49" s="19" t="n"/>
      <c r="P49" s="2" t="n"/>
    </row>
    <row r="50">
      <c r="A50" s="17" t="n"/>
      <c r="B50" s="14" t="n"/>
      <c r="C50" s="17" t="n"/>
      <c r="D50" s="14" t="n"/>
      <c r="E50" s="17" t="n"/>
      <c r="F50" s="57" t="n"/>
      <c r="G50" s="251" t="n"/>
      <c r="H50" s="252" t="n"/>
      <c r="I50" s="252" t="n"/>
      <c r="J50" s="252" t="n"/>
      <c r="K50" s="13" t="n"/>
      <c r="L50" s="69" t="n"/>
      <c r="M50" s="66" t="n"/>
      <c r="N50" s="73" t="n"/>
      <c r="O50" s="19" t="n"/>
      <c r="P50" s="2" t="n"/>
    </row>
    <row r="51">
      <c r="A51" s="17" t="n"/>
      <c r="B51" s="14" t="n"/>
      <c r="C51" s="17" t="n"/>
      <c r="D51" s="14" t="n"/>
      <c r="E51" s="17" t="n"/>
      <c r="F51" s="57" t="n"/>
      <c r="G51" s="251" t="n"/>
      <c r="H51" s="252" t="n"/>
      <c r="I51" s="252" t="n"/>
      <c r="J51" s="252" t="n"/>
      <c r="K51" s="13" t="n"/>
      <c r="L51" s="69" t="n"/>
      <c r="M51" s="66" t="n"/>
      <c r="N51" s="73" t="n"/>
      <c r="O51" s="19" t="n"/>
      <c r="P51" s="2" t="n"/>
    </row>
    <row r="52">
      <c r="A52" s="17" t="n"/>
      <c r="B52" s="14" t="n"/>
      <c r="C52" s="17" t="n"/>
      <c r="D52" s="14" t="n"/>
      <c r="E52" s="17" t="n"/>
      <c r="F52" s="57" t="n"/>
      <c r="G52" s="251" t="n"/>
      <c r="H52" s="252" t="n"/>
      <c r="I52" s="252" t="n"/>
      <c r="J52" s="252" t="n"/>
      <c r="K52" s="13" t="n"/>
      <c r="L52" s="69" t="n"/>
      <c r="M52" s="66" t="n"/>
      <c r="N52" s="73" t="n"/>
      <c r="O52" s="19" t="n"/>
      <c r="P52" s="2" t="n"/>
    </row>
    <row r="53">
      <c r="A53" s="17" t="n"/>
      <c r="B53" s="14" t="n"/>
      <c r="C53" s="17" t="n"/>
      <c r="D53" s="14" t="n"/>
      <c r="E53" s="17" t="n"/>
      <c r="F53" s="57" t="n"/>
      <c r="G53" s="251" t="n"/>
      <c r="H53" s="252" t="n"/>
      <c r="I53" s="252" t="n"/>
      <c r="J53" s="252" t="n"/>
      <c r="K53" s="13" t="n"/>
      <c r="L53" s="69" t="n"/>
      <c r="M53" s="66" t="n"/>
      <c r="N53" s="73" t="n"/>
      <c r="O53" s="19" t="n"/>
      <c r="P53" s="2" t="n"/>
    </row>
    <row r="54">
      <c r="A54" s="17" t="n"/>
      <c r="B54" s="14" t="n"/>
      <c r="C54" s="17" t="n"/>
      <c r="D54" s="14" t="n"/>
      <c r="E54" s="17" t="n"/>
      <c r="F54" s="57" t="n"/>
      <c r="G54" s="251" t="n"/>
      <c r="H54" s="252" t="n"/>
      <c r="I54" s="252" t="n"/>
      <c r="J54" s="252" t="n"/>
      <c r="K54" s="13" t="n"/>
      <c r="L54" s="69" t="n"/>
      <c r="M54" s="66" t="n"/>
      <c r="N54" s="73" t="n"/>
      <c r="O54" s="19" t="n"/>
      <c r="P54" s="2" t="n"/>
    </row>
    <row r="55">
      <c r="A55" s="17" t="n"/>
      <c r="B55" s="14" t="n"/>
      <c r="C55" s="17" t="n"/>
      <c r="D55" s="14" t="n"/>
      <c r="E55" s="17" t="n"/>
      <c r="F55" s="57" t="n"/>
      <c r="G55" s="251" t="n"/>
      <c r="H55" s="252" t="n"/>
      <c r="I55" s="252" t="n"/>
      <c r="J55" s="252" t="n"/>
      <c r="K55" s="13" t="n"/>
      <c r="L55" s="69" t="n"/>
      <c r="M55" s="66" t="n"/>
      <c r="N55" s="73" t="n"/>
      <c r="O55" s="19" t="n"/>
      <c r="P55" s="2" t="n"/>
    </row>
    <row r="56">
      <c r="A56" s="17" t="n"/>
      <c r="B56" s="14" t="n"/>
      <c r="C56" s="17" t="n"/>
      <c r="D56" s="14" t="n"/>
      <c r="E56" s="17" t="n"/>
      <c r="F56" s="57" t="n"/>
      <c r="G56" s="251" t="n"/>
      <c r="H56" s="252" t="n"/>
      <c r="I56" s="252" t="n"/>
      <c r="J56" s="252" t="n"/>
      <c r="K56" s="13" t="n"/>
      <c r="L56" s="69" t="n"/>
      <c r="M56" s="66" t="n"/>
      <c r="N56" s="73" t="n"/>
      <c r="O56" s="19" t="n"/>
      <c r="P56" s="2" t="n"/>
    </row>
    <row r="57">
      <c r="A57" s="17" t="n"/>
      <c r="B57" s="14" t="n"/>
      <c r="C57" s="17" t="n"/>
      <c r="D57" s="14" t="n"/>
      <c r="E57" s="17" t="n"/>
      <c r="F57" s="57" t="n"/>
      <c r="G57" s="251" t="n"/>
      <c r="H57" s="252" t="n"/>
      <c r="I57" s="252" t="n"/>
      <c r="J57" s="252" t="n"/>
      <c r="K57" s="13" t="n"/>
      <c r="L57" s="69" t="n"/>
      <c r="M57" s="66" t="n"/>
      <c r="N57" s="73" t="n"/>
      <c r="O57" s="19" t="n"/>
      <c r="P57" s="2" t="n"/>
    </row>
    <row r="58">
      <c r="A58" s="17" t="n"/>
      <c r="B58" s="14" t="n"/>
      <c r="C58" s="17" t="n"/>
      <c r="D58" s="14" t="n"/>
      <c r="E58" s="17" t="n"/>
      <c r="F58" s="57" t="n"/>
      <c r="G58" s="251" t="n"/>
      <c r="H58" s="252" t="n"/>
      <c r="I58" s="252" t="n"/>
      <c r="J58" s="252" t="n"/>
      <c r="K58" s="13" t="n"/>
      <c r="L58" s="69" t="n"/>
      <c r="M58" s="66" t="n"/>
      <c r="N58" s="73" t="n"/>
      <c r="O58" s="19" t="n"/>
      <c r="P58" s="2" t="n"/>
    </row>
    <row r="59">
      <c r="A59" s="17" t="n"/>
      <c r="B59" s="14" t="n"/>
      <c r="C59" s="17" t="n"/>
      <c r="D59" s="14" t="n"/>
      <c r="E59" s="17" t="n"/>
      <c r="F59" s="57" t="n"/>
      <c r="G59" s="251" t="n"/>
      <c r="H59" s="252" t="n"/>
      <c r="I59" s="252" t="n"/>
      <c r="J59" s="252" t="n"/>
      <c r="K59" s="13" t="n"/>
      <c r="L59" s="69" t="n"/>
      <c r="M59" s="66" t="n"/>
      <c r="N59" s="73" t="n"/>
      <c r="O59" s="19" t="n"/>
      <c r="P59" s="2" t="n"/>
    </row>
    <row r="60">
      <c r="A60" s="17" t="n"/>
      <c r="B60" s="14" t="n"/>
      <c r="C60" s="17" t="n"/>
      <c r="D60" s="14" t="n"/>
      <c r="E60" s="17" t="n"/>
      <c r="F60" s="57" t="n"/>
      <c r="G60" s="251" t="n"/>
      <c r="H60" s="252" t="n"/>
      <c r="I60" s="252" t="n"/>
      <c r="J60" s="252" t="n"/>
      <c r="K60" s="13" t="n"/>
      <c r="L60" s="69" t="n"/>
      <c r="M60" s="66" t="n"/>
      <c r="N60" s="73" t="n"/>
      <c r="O60" s="19" t="n"/>
      <c r="P60" s="2" t="n"/>
    </row>
    <row r="61">
      <c r="A61" s="17" t="n"/>
      <c r="B61" s="14" t="n"/>
      <c r="C61" s="17" t="n"/>
      <c r="D61" s="14" t="n"/>
      <c r="E61" s="17" t="n"/>
      <c r="F61" s="57" t="n"/>
      <c r="G61" s="251" t="n"/>
      <c r="H61" s="252" t="n"/>
      <c r="I61" s="252" t="n"/>
      <c r="J61" s="252" t="n"/>
      <c r="K61" s="13" t="n"/>
      <c r="L61" s="69" t="n"/>
      <c r="M61" s="66" t="n"/>
      <c r="N61" s="73" t="n"/>
      <c r="O61" s="19" t="n"/>
      <c r="P61" s="2" t="n"/>
    </row>
    <row r="62">
      <c r="A62" s="17" t="n"/>
      <c r="B62" s="14" t="n"/>
      <c r="C62" s="17" t="n"/>
      <c r="D62" s="14" t="n"/>
      <c r="E62" s="17" t="n"/>
      <c r="F62" s="57" t="n"/>
      <c r="G62" s="251" t="n"/>
      <c r="H62" s="252" t="n"/>
      <c r="I62" s="252" t="n"/>
      <c r="J62" s="252" t="n"/>
      <c r="K62" s="13" t="n"/>
      <c r="L62" s="69" t="n"/>
      <c r="M62" s="66" t="n"/>
      <c r="N62" s="73" t="n"/>
      <c r="O62" s="19" t="n"/>
      <c r="P62" s="2" t="n"/>
    </row>
    <row r="63">
      <c r="A63" s="17" t="n"/>
      <c r="B63" s="14" t="n"/>
      <c r="C63" s="17" t="n"/>
      <c r="D63" s="14" t="n"/>
      <c r="E63" s="17" t="n"/>
      <c r="F63" s="57" t="n"/>
      <c r="G63" s="251" t="n"/>
      <c r="H63" s="252" t="n"/>
      <c r="I63" s="252" t="n"/>
      <c r="J63" s="252" t="n"/>
      <c r="K63" s="13" t="n"/>
      <c r="L63" s="69" t="n"/>
      <c r="M63" s="66" t="n"/>
      <c r="N63" s="73" t="n"/>
      <c r="O63" s="19" t="n"/>
      <c r="P63" s="2" t="n"/>
    </row>
    <row r="64">
      <c r="A64" s="17" t="n"/>
      <c r="B64" s="14" t="n"/>
      <c r="C64" s="17" t="n"/>
      <c r="D64" s="14" t="n"/>
      <c r="E64" s="17" t="n"/>
      <c r="F64" s="57" t="n"/>
      <c r="G64" s="251" t="n"/>
      <c r="H64" s="252" t="n"/>
      <c r="I64" s="252" t="n"/>
      <c r="J64" s="252" t="n"/>
      <c r="K64" s="13" t="n"/>
      <c r="L64" s="69" t="n"/>
      <c r="M64" s="66" t="n"/>
      <c r="N64" s="73" t="n"/>
      <c r="O64" s="19" t="n"/>
      <c r="P64" s="2" t="n"/>
    </row>
    <row r="65">
      <c r="A65" s="17" t="n"/>
      <c r="B65" s="14" t="n"/>
      <c r="C65" s="17" t="n"/>
      <c r="D65" s="14" t="n"/>
      <c r="E65" s="17" t="n"/>
      <c r="F65" s="57" t="n"/>
      <c r="G65" s="251" t="n"/>
      <c r="H65" s="252" t="n"/>
      <c r="I65" s="252" t="n"/>
      <c r="J65" s="252" t="n"/>
      <c r="K65" s="13" t="n"/>
      <c r="L65" s="69" t="n"/>
      <c r="M65" s="66" t="n"/>
      <c r="N65" s="73" t="n"/>
      <c r="O65" s="19" t="n"/>
      <c r="P65" s="2" t="n"/>
    </row>
    <row r="66">
      <c r="A66" s="17" t="n"/>
      <c r="B66" s="14" t="n"/>
      <c r="C66" s="17" t="n"/>
      <c r="D66" s="14" t="n"/>
      <c r="E66" s="17" t="n"/>
      <c r="F66" s="57" t="n"/>
      <c r="G66" s="251" t="n"/>
      <c r="H66" s="252" t="n"/>
      <c r="I66" s="252" t="n"/>
      <c r="J66" s="252" t="n"/>
      <c r="K66" s="13" t="n"/>
      <c r="L66" s="69" t="n"/>
      <c r="M66" s="66" t="n"/>
      <c r="N66" s="73" t="n"/>
      <c r="O66" s="19" t="n"/>
      <c r="P66" s="2" t="n"/>
    </row>
    <row r="67">
      <c r="A67" s="17" t="n"/>
      <c r="B67" s="14" t="n"/>
      <c r="C67" s="17" t="n"/>
      <c r="D67" s="14" t="n"/>
      <c r="E67" s="17" t="n"/>
      <c r="F67" s="57" t="n"/>
      <c r="G67" s="251" t="n"/>
      <c r="H67" s="252" t="n"/>
      <c r="I67" s="252" t="n"/>
      <c r="J67" s="252" t="n"/>
      <c r="K67" s="13" t="n"/>
      <c r="L67" s="69" t="n"/>
      <c r="M67" s="66" t="n"/>
      <c r="N67" s="73" t="n"/>
      <c r="O67" s="19" t="n"/>
      <c r="P67" s="2" t="n"/>
    </row>
    <row r="68">
      <c r="A68" s="17" t="n"/>
      <c r="B68" s="14" t="n"/>
      <c r="C68" s="17" t="n"/>
      <c r="D68" s="14" t="n"/>
      <c r="E68" s="17" t="n"/>
      <c r="F68" s="57" t="n"/>
      <c r="G68" s="251" t="n"/>
      <c r="H68" s="252" t="n"/>
      <c r="I68" s="252" t="n"/>
      <c r="J68" s="252" t="n"/>
      <c r="K68" s="13" t="n"/>
      <c r="L68" s="69" t="n"/>
      <c r="M68" s="66" t="n"/>
      <c r="N68" s="73" t="n"/>
      <c r="O68" s="19" t="n"/>
      <c r="P68" s="2" t="n"/>
    </row>
    <row r="69">
      <c r="A69" s="17" t="n"/>
      <c r="B69" s="14" t="n"/>
      <c r="C69" s="17" t="n"/>
      <c r="D69" s="14" t="n"/>
      <c r="E69" s="17" t="n"/>
      <c r="F69" s="57" t="n"/>
      <c r="G69" s="251" t="n"/>
      <c r="H69" s="252" t="n"/>
      <c r="I69" s="252" t="n"/>
      <c r="J69" s="252" t="n"/>
      <c r="K69" s="13" t="n"/>
      <c r="L69" s="69" t="n"/>
      <c r="M69" s="66" t="n"/>
      <c r="N69" s="73" t="n"/>
      <c r="O69" s="19" t="n"/>
      <c r="P69" s="2" t="n"/>
    </row>
    <row r="70">
      <c r="A70" s="17" t="n"/>
      <c r="B70" s="14" t="n"/>
      <c r="C70" s="17" t="n"/>
      <c r="D70" s="14" t="n"/>
      <c r="E70" s="17" t="n"/>
      <c r="F70" s="57" t="n"/>
      <c r="G70" s="251" t="n"/>
      <c r="H70" s="252" t="n"/>
      <c r="I70" s="252" t="n"/>
      <c r="J70" s="252" t="n"/>
      <c r="K70" s="13" t="n"/>
      <c r="L70" s="69" t="n"/>
      <c r="M70" s="66" t="n"/>
      <c r="N70" s="73" t="n"/>
      <c r="O70" s="19" t="n"/>
      <c r="P70" s="2" t="n"/>
    </row>
    <row r="71">
      <c r="A71" s="17" t="n"/>
      <c r="B71" s="14" t="n"/>
      <c r="C71" s="17" t="n"/>
      <c r="D71" s="14" t="n"/>
      <c r="E71" s="17" t="n"/>
      <c r="F71" s="57" t="n"/>
      <c r="G71" s="251" t="n"/>
      <c r="H71" s="252" t="n"/>
      <c r="I71" s="252" t="n"/>
      <c r="J71" s="252" t="n"/>
      <c r="K71" s="13" t="n"/>
      <c r="L71" s="69" t="n"/>
      <c r="M71" s="66" t="n"/>
      <c r="N71" s="73" t="n"/>
      <c r="O71" s="19" t="n"/>
      <c r="P71" s="2" t="n"/>
    </row>
    <row r="72">
      <c r="A72" s="17" t="n"/>
      <c r="B72" s="14" t="n"/>
      <c r="C72" s="17" t="n"/>
      <c r="D72" s="14" t="n"/>
      <c r="E72" s="17" t="n"/>
      <c r="F72" s="57" t="n"/>
      <c r="G72" s="251" t="n"/>
      <c r="H72" s="252" t="n"/>
      <c r="I72" s="252" t="n"/>
      <c r="J72" s="252" t="n"/>
      <c r="K72" s="13" t="n"/>
      <c r="L72" s="69" t="n"/>
      <c r="M72" s="66" t="n"/>
      <c r="N72" s="73" t="n"/>
      <c r="O72" s="19" t="n"/>
      <c r="P72" s="2" t="n"/>
    </row>
    <row r="73">
      <c r="A73" s="17" t="n"/>
      <c r="B73" s="14" t="n"/>
      <c r="C73" s="17" t="n"/>
      <c r="D73" s="14" t="n"/>
      <c r="E73" s="17" t="n"/>
      <c r="F73" s="57" t="n"/>
      <c r="G73" s="251" t="n"/>
      <c r="H73" s="252" t="n"/>
      <c r="I73" s="252" t="n"/>
      <c r="J73" s="252" t="n"/>
      <c r="K73" s="13" t="n"/>
      <c r="L73" s="69" t="n"/>
      <c r="M73" s="66" t="n"/>
      <c r="N73" s="73" t="n"/>
      <c r="O73" s="19" t="n"/>
      <c r="P73" s="2" t="n"/>
    </row>
    <row r="74">
      <c r="A74" s="17" t="n"/>
      <c r="B74" s="14" t="n"/>
      <c r="C74" s="17" t="n"/>
      <c r="D74" s="14" t="n"/>
      <c r="E74" s="17" t="n"/>
      <c r="F74" s="57" t="n"/>
      <c r="G74" s="251" t="n"/>
      <c r="H74" s="252" t="n"/>
      <c r="I74" s="252" t="n"/>
      <c r="J74" s="252" t="n"/>
      <c r="K74" s="13" t="n"/>
      <c r="L74" s="69" t="n"/>
      <c r="M74" s="66" t="n"/>
      <c r="N74" s="73" t="n"/>
      <c r="O74" s="19" t="n"/>
      <c r="P74" s="2" t="n"/>
    </row>
    <row r="75">
      <c r="A75" s="17" t="n"/>
      <c r="B75" s="14" t="n"/>
      <c r="C75" s="17" t="n"/>
      <c r="D75" s="14" t="n"/>
      <c r="E75" s="17" t="n"/>
      <c r="F75" s="57" t="n"/>
      <c r="G75" s="251" t="n"/>
      <c r="H75" s="252" t="n"/>
      <c r="I75" s="252" t="n"/>
      <c r="J75" s="252" t="n"/>
      <c r="K75" s="13" t="n"/>
      <c r="L75" s="69" t="n"/>
      <c r="M75" s="66" t="n"/>
      <c r="N75" s="73" t="n"/>
      <c r="O75" s="19" t="n"/>
      <c r="P75" s="2" t="n"/>
    </row>
    <row r="76">
      <c r="A76" s="17" t="n"/>
      <c r="B76" s="14" t="n"/>
      <c r="C76" s="17" t="n"/>
      <c r="D76" s="14" t="n"/>
      <c r="E76" s="17" t="n"/>
      <c r="F76" s="57" t="n"/>
      <c r="G76" s="251" t="n"/>
      <c r="H76" s="252" t="n"/>
      <c r="I76" s="252" t="n"/>
      <c r="J76" s="252" t="n"/>
      <c r="K76" s="13" t="n"/>
      <c r="L76" s="69" t="n"/>
      <c r="M76" s="66" t="n"/>
      <c r="N76" s="73" t="n"/>
      <c r="O76" s="19" t="n"/>
      <c r="P76" s="2" t="n"/>
    </row>
    <row r="77">
      <c r="A77" s="17" t="n"/>
      <c r="B77" s="14" t="n"/>
      <c r="C77" s="17" t="n"/>
      <c r="D77" s="14" t="n"/>
      <c r="E77" s="17" t="n"/>
      <c r="F77" s="57" t="n"/>
      <c r="G77" s="251" t="n"/>
      <c r="H77" s="252" t="n"/>
      <c r="I77" s="252" t="n"/>
      <c r="J77" s="252" t="n"/>
      <c r="K77" s="13" t="n"/>
      <c r="L77" s="69" t="n"/>
      <c r="M77" s="66" t="n"/>
      <c r="N77" s="73" t="n"/>
      <c r="O77" s="19" t="n"/>
      <c r="P77" s="2" t="n"/>
    </row>
    <row r="78">
      <c r="A78" s="17" t="n"/>
      <c r="B78" s="14" t="n"/>
      <c r="C78" s="17" t="n"/>
      <c r="D78" s="14" t="n"/>
      <c r="E78" s="17" t="n"/>
      <c r="F78" s="57" t="n"/>
      <c r="G78" s="251" t="n"/>
      <c r="H78" s="252" t="n"/>
      <c r="I78" s="252" t="n"/>
      <c r="J78" s="252" t="n"/>
      <c r="K78" s="13" t="n"/>
      <c r="L78" s="69" t="n"/>
      <c r="M78" s="66" t="n"/>
      <c r="N78" s="73" t="n"/>
      <c r="O78" s="19" t="n"/>
      <c r="P78" s="2" t="n"/>
    </row>
    <row r="79">
      <c r="A79" s="17" t="n"/>
      <c r="B79" s="14" t="n"/>
      <c r="C79" s="17" t="n"/>
      <c r="D79" s="14" t="n"/>
      <c r="E79" s="17" t="n"/>
      <c r="F79" s="57" t="n"/>
      <c r="G79" s="251" t="n"/>
      <c r="H79" s="252" t="n"/>
      <c r="I79" s="252" t="n"/>
      <c r="J79" s="252" t="n"/>
      <c r="K79" s="13" t="n"/>
      <c r="L79" s="69" t="n"/>
      <c r="M79" s="66" t="n"/>
      <c r="N79" s="73" t="n"/>
      <c r="O79" s="19" t="n"/>
      <c r="P79" s="2" t="n"/>
    </row>
    <row r="80">
      <c r="A80" s="17" t="n"/>
      <c r="B80" s="14" t="n"/>
      <c r="C80" s="17" t="n"/>
      <c r="D80" s="14" t="n"/>
      <c r="E80" s="17" t="n"/>
      <c r="F80" s="57" t="n"/>
      <c r="G80" s="251" t="n"/>
      <c r="H80" s="252" t="n"/>
      <c r="I80" s="252" t="n"/>
      <c r="J80" s="252" t="n"/>
      <c r="K80" s="13" t="n"/>
      <c r="L80" s="69" t="n"/>
      <c r="M80" s="66" t="n"/>
      <c r="N80" s="73" t="n"/>
      <c r="O80" s="19" t="n"/>
      <c r="P80" s="2" t="n"/>
    </row>
    <row r="81">
      <c r="A81" s="17" t="n"/>
      <c r="B81" s="14" t="n"/>
      <c r="C81" s="17" t="n"/>
      <c r="D81" s="14" t="n"/>
      <c r="E81" s="17" t="n"/>
      <c r="F81" s="57" t="n"/>
      <c r="G81" s="251" t="n"/>
      <c r="H81" s="252" t="n"/>
      <c r="I81" s="252" t="n"/>
      <c r="J81" s="252" t="n"/>
      <c r="K81" s="13" t="n"/>
      <c r="L81" s="69" t="n"/>
      <c r="M81" s="66" t="n"/>
      <c r="N81" s="73" t="n"/>
      <c r="O81" s="19" t="n"/>
      <c r="P81" s="2" t="n"/>
    </row>
    <row r="82">
      <c r="A82" s="17" t="n"/>
      <c r="B82" s="14" t="n"/>
      <c r="C82" s="17" t="n"/>
      <c r="D82" s="14" t="n"/>
      <c r="E82" s="17" t="n"/>
      <c r="F82" s="57" t="n"/>
      <c r="G82" s="251" t="n"/>
      <c r="H82" s="252" t="n"/>
      <c r="I82" s="252" t="n"/>
      <c r="J82" s="252" t="n"/>
      <c r="K82" s="13" t="n"/>
      <c r="L82" s="69" t="n"/>
      <c r="M82" s="66" t="n"/>
      <c r="N82" s="73" t="n"/>
      <c r="O82" s="19" t="n"/>
      <c r="P82" s="2" t="n"/>
    </row>
    <row r="83">
      <c r="A83" s="17" t="n"/>
      <c r="B83" s="14" t="n"/>
      <c r="C83" s="17" t="n"/>
      <c r="D83" s="14" t="n"/>
      <c r="E83" s="17" t="n"/>
      <c r="F83" s="57" t="n"/>
      <c r="G83" s="251" t="n"/>
      <c r="H83" s="252" t="n"/>
      <c r="I83" s="252" t="n"/>
      <c r="J83" s="252" t="n"/>
      <c r="K83" s="13" t="n"/>
      <c r="L83" s="69" t="n"/>
      <c r="M83" s="66" t="n"/>
      <c r="N83" s="73" t="n"/>
      <c r="O83" s="19" t="n"/>
      <c r="P83" s="2" t="n"/>
    </row>
    <row r="84">
      <c r="A84" s="17" t="n"/>
      <c r="B84" s="14" t="n"/>
      <c r="C84" s="17" t="n"/>
      <c r="D84" s="14" t="n"/>
      <c r="E84" s="17" t="n"/>
      <c r="F84" s="57" t="n"/>
      <c r="G84" s="251" t="n"/>
      <c r="H84" s="252" t="n"/>
      <c r="I84" s="252" t="n"/>
      <c r="J84" s="252" t="n"/>
      <c r="K84" s="13" t="n"/>
      <c r="L84" s="69" t="n"/>
      <c r="M84" s="66" t="n"/>
      <c r="N84" s="73" t="n"/>
      <c r="O84" s="19" t="n"/>
      <c r="P84" s="2" t="n"/>
    </row>
    <row r="85">
      <c r="A85" s="17" t="n"/>
      <c r="B85" s="14" t="n"/>
      <c r="C85" s="17" t="n"/>
      <c r="D85" s="14" t="n"/>
      <c r="E85" s="17" t="n"/>
      <c r="F85" s="57" t="n"/>
      <c r="G85" s="251" t="n"/>
      <c r="H85" s="252" t="n"/>
      <c r="I85" s="252" t="n"/>
      <c r="J85" s="252" t="n"/>
      <c r="K85" s="13" t="n"/>
      <c r="L85" s="69" t="n"/>
      <c r="M85" s="66" t="n"/>
      <c r="N85" s="73" t="n"/>
      <c r="O85" s="19" t="n"/>
      <c r="P85" s="2" t="n"/>
    </row>
    <row r="86">
      <c r="A86" s="17" t="n"/>
      <c r="B86" s="14" t="n"/>
      <c r="C86" s="17" t="n"/>
      <c r="D86" s="14" t="n"/>
      <c r="E86" s="17" t="n"/>
      <c r="F86" s="57" t="n"/>
      <c r="G86" s="251" t="n"/>
      <c r="H86" s="252" t="n"/>
      <c r="I86" s="252" t="n"/>
      <c r="J86" s="252" t="n"/>
      <c r="K86" s="13" t="n"/>
      <c r="L86" s="69" t="n"/>
      <c r="M86" s="66" t="n"/>
      <c r="N86" s="73" t="n"/>
      <c r="O86" s="19" t="n"/>
      <c r="P86" s="2" t="n"/>
    </row>
    <row r="87">
      <c r="A87" s="17" t="n"/>
      <c r="B87" s="14" t="n"/>
      <c r="C87" s="17" t="n"/>
      <c r="D87" s="14" t="n"/>
      <c r="E87" s="17" t="n"/>
      <c r="F87" s="57" t="n"/>
      <c r="G87" s="251" t="n"/>
      <c r="H87" s="252" t="n"/>
      <c r="I87" s="252" t="n"/>
      <c r="J87" s="252" t="n"/>
      <c r="K87" s="13" t="n"/>
      <c r="L87" s="69" t="n"/>
      <c r="M87" s="66" t="n"/>
      <c r="N87" s="73" t="n"/>
      <c r="O87" s="19" t="n"/>
      <c r="P87" s="2" t="n"/>
    </row>
    <row r="88">
      <c r="A88" s="17" t="n"/>
      <c r="B88" s="14" t="n"/>
      <c r="C88" s="17" t="n"/>
      <c r="D88" s="14" t="n"/>
      <c r="E88" s="17" t="n"/>
      <c r="F88" s="57" t="n"/>
      <c r="G88" s="251" t="n"/>
      <c r="H88" s="252" t="n"/>
      <c r="I88" s="252" t="n"/>
      <c r="J88" s="252" t="n"/>
      <c r="K88" s="13" t="n"/>
      <c r="L88" s="69" t="n"/>
      <c r="M88" s="66" t="n"/>
      <c r="N88" s="73" t="n"/>
      <c r="O88" s="19" t="n"/>
      <c r="P88" s="2" t="n"/>
    </row>
    <row r="89">
      <c r="A89" s="17" t="n"/>
      <c r="B89" s="14" t="n"/>
      <c r="C89" s="17" t="n"/>
      <c r="D89" s="14" t="n"/>
      <c r="E89" s="17" t="n"/>
      <c r="F89" s="57" t="n"/>
      <c r="G89" s="251" t="n"/>
      <c r="H89" s="252" t="n"/>
      <c r="I89" s="252" t="n"/>
      <c r="J89" s="252" t="n"/>
      <c r="K89" s="13" t="n"/>
      <c r="L89" s="69" t="n"/>
      <c r="M89" s="66" t="n"/>
      <c r="N89" s="73" t="n"/>
      <c r="O89" s="19" t="n"/>
      <c r="P89" s="2" t="n"/>
    </row>
    <row r="90">
      <c r="A90" s="17" t="n"/>
      <c r="B90" s="14" t="n"/>
      <c r="C90" s="17" t="n"/>
      <c r="D90" s="14" t="n"/>
      <c r="E90" s="17" t="n"/>
      <c r="F90" s="57" t="n"/>
      <c r="G90" s="251" t="n"/>
      <c r="H90" s="252" t="n"/>
      <c r="I90" s="252" t="n"/>
      <c r="J90" s="252" t="n"/>
      <c r="K90" s="13" t="n"/>
      <c r="L90" s="69" t="n"/>
      <c r="M90" s="66" t="n"/>
      <c r="N90" s="73" t="n"/>
      <c r="O90" s="19" t="n"/>
      <c r="P90" s="2" t="n"/>
    </row>
    <row r="91">
      <c r="A91" s="17" t="n"/>
      <c r="B91" s="14" t="n"/>
      <c r="C91" s="17" t="n"/>
      <c r="D91" s="14" t="n"/>
      <c r="E91" s="17" t="n"/>
      <c r="F91" s="57" t="n"/>
      <c r="G91" s="251" t="n"/>
      <c r="H91" s="252" t="n"/>
      <c r="I91" s="252" t="n"/>
      <c r="J91" s="252" t="n"/>
      <c r="K91" s="13" t="n"/>
      <c r="L91" s="69" t="n"/>
      <c r="M91" s="66" t="n"/>
      <c r="N91" s="73" t="n"/>
      <c r="O91" s="19" t="n"/>
      <c r="P91" s="2" t="n"/>
    </row>
    <row r="92">
      <c r="A92" s="17" t="n"/>
      <c r="B92" s="14" t="n"/>
      <c r="C92" s="17" t="n"/>
      <c r="D92" s="14" t="n"/>
      <c r="E92" s="17" t="n"/>
      <c r="F92" s="57" t="n"/>
      <c r="G92" s="251" t="n"/>
      <c r="H92" s="252" t="n"/>
      <c r="I92" s="252" t="n"/>
      <c r="J92" s="252" t="n"/>
      <c r="K92" s="13" t="n"/>
      <c r="L92" s="69" t="n"/>
      <c r="M92" s="66" t="n"/>
      <c r="N92" s="73" t="n"/>
      <c r="O92" s="19" t="n"/>
      <c r="P92" s="2" t="n"/>
    </row>
    <row r="93">
      <c r="A93" s="17" t="n"/>
      <c r="B93" s="14" t="n"/>
      <c r="C93" s="17" t="n"/>
      <c r="D93" s="14" t="n"/>
      <c r="E93" s="17" t="n"/>
      <c r="F93" s="57" t="n"/>
      <c r="G93" s="251" t="n"/>
      <c r="H93" s="252" t="n"/>
      <c r="I93" s="252" t="n"/>
      <c r="J93" s="252" t="n"/>
      <c r="K93" s="13" t="n"/>
      <c r="L93" s="69" t="n"/>
      <c r="M93" s="66" t="n"/>
      <c r="N93" s="73" t="n"/>
      <c r="O93" s="19" t="n"/>
      <c r="P93" s="2" t="n"/>
    </row>
    <row r="94">
      <c r="A94" s="17" t="n"/>
      <c r="B94" s="14" t="n"/>
      <c r="C94" s="17" t="n"/>
      <c r="D94" s="14" t="n"/>
      <c r="E94" s="17" t="n"/>
      <c r="F94" s="57" t="n"/>
      <c r="G94" s="251" t="n"/>
      <c r="H94" s="252" t="n"/>
      <c r="I94" s="252" t="n"/>
      <c r="J94" s="252" t="n"/>
      <c r="K94" s="13" t="n"/>
      <c r="L94" s="69" t="n"/>
      <c r="M94" s="66" t="n"/>
      <c r="N94" s="73" t="n"/>
      <c r="O94" s="19" t="n"/>
      <c r="P94" s="2" t="n"/>
    </row>
    <row r="95">
      <c r="A95" s="17" t="n"/>
      <c r="B95" s="14" t="n"/>
      <c r="C95" s="17" t="n"/>
      <c r="D95" s="14" t="n"/>
      <c r="E95" s="17" t="n"/>
      <c r="F95" s="57" t="n"/>
      <c r="G95" s="251" t="n"/>
      <c r="H95" s="252" t="n"/>
      <c r="I95" s="252" t="n"/>
      <c r="J95" s="252" t="n"/>
      <c r="K95" s="13" t="n"/>
      <c r="L95" s="69" t="n"/>
      <c r="M95" s="66" t="n"/>
      <c r="N95" s="73" t="n"/>
      <c r="O95" s="19" t="n"/>
      <c r="P95" s="2" t="n"/>
    </row>
    <row r="96">
      <c r="A96" s="17" t="n"/>
      <c r="B96" s="14" t="n"/>
      <c r="C96" s="17" t="n"/>
      <c r="D96" s="14" t="n"/>
      <c r="E96" s="17" t="n"/>
      <c r="F96" s="57" t="n"/>
      <c r="G96" s="251" t="n"/>
      <c r="H96" s="252" t="n"/>
      <c r="I96" s="252" t="n"/>
      <c r="J96" s="252" t="n"/>
      <c r="K96" s="13" t="n"/>
      <c r="L96" s="69" t="n"/>
      <c r="M96" s="66" t="n"/>
      <c r="N96" s="73" t="n"/>
      <c r="O96" s="19" t="n"/>
      <c r="P96" s="2" t="n"/>
    </row>
    <row r="97">
      <c r="A97" s="17" t="n"/>
      <c r="B97" s="14" t="n"/>
      <c r="C97" s="17" t="n"/>
      <c r="D97" s="14" t="n"/>
      <c r="E97" s="17" t="n"/>
      <c r="F97" s="57" t="n"/>
      <c r="G97" s="251" t="n"/>
      <c r="H97" s="252" t="n"/>
      <c r="I97" s="252" t="n"/>
      <c r="J97" s="252" t="n"/>
      <c r="K97" s="13" t="n"/>
      <c r="L97" s="69" t="n"/>
      <c r="M97" s="66" t="n"/>
      <c r="N97" s="73" t="n"/>
      <c r="O97" s="19" t="n"/>
      <c r="P97" s="2" t="n"/>
    </row>
    <row r="98">
      <c r="A98" s="17" t="n"/>
      <c r="B98" s="14" t="n"/>
      <c r="C98" s="17" t="n"/>
      <c r="D98" s="14" t="n"/>
      <c r="E98" s="17" t="n"/>
      <c r="F98" s="57" t="n"/>
      <c r="G98" s="251" t="n"/>
      <c r="H98" s="252" t="n"/>
      <c r="I98" s="252" t="n"/>
      <c r="J98" s="252" t="n"/>
      <c r="K98" s="13" t="n"/>
      <c r="L98" s="69" t="n"/>
      <c r="M98" s="66" t="n"/>
      <c r="N98" s="73" t="n"/>
      <c r="O98" s="19" t="n"/>
      <c r="P98" s="2" t="n"/>
    </row>
    <row r="99">
      <c r="A99" s="17" t="n"/>
      <c r="B99" s="14" t="n"/>
      <c r="C99" s="17" t="n"/>
      <c r="D99" s="14" t="n"/>
      <c r="E99" s="17" t="n"/>
      <c r="F99" s="57" t="n"/>
      <c r="G99" s="251" t="n"/>
      <c r="H99" s="252" t="n"/>
      <c r="I99" s="252" t="n"/>
      <c r="J99" s="252" t="n"/>
      <c r="K99" s="13" t="n"/>
      <c r="L99" s="69" t="n"/>
      <c r="M99" s="66" t="n"/>
      <c r="N99" s="73" t="n"/>
      <c r="O99" s="19" t="n"/>
      <c r="P99" s="2" t="n"/>
    </row>
    <row r="100">
      <c r="A100" s="17" t="n"/>
      <c r="B100" s="14" t="n"/>
      <c r="C100" s="17" t="n"/>
      <c r="D100" s="14" t="n"/>
      <c r="E100" s="17" t="n"/>
      <c r="F100" s="57" t="n"/>
      <c r="G100" s="251" t="n"/>
      <c r="H100" s="252" t="n"/>
      <c r="I100" s="252" t="n"/>
      <c r="J100" s="252" t="n"/>
      <c r="K100" s="13" t="n"/>
      <c r="L100" s="69" t="n"/>
      <c r="M100" s="66" t="n"/>
      <c r="N100" s="73" t="n"/>
      <c r="O100" s="19" t="n"/>
      <c r="P100" s="2" t="n"/>
    </row>
    <row r="101">
      <c r="A101" s="17" t="n"/>
      <c r="B101" s="14" t="n"/>
      <c r="C101" s="17" t="n"/>
      <c r="D101" s="14" t="n"/>
      <c r="E101" s="17" t="n"/>
      <c r="F101" s="57" t="n"/>
      <c r="G101" s="251" t="n"/>
      <c r="H101" s="252" t="n"/>
      <c r="I101" s="252" t="n"/>
      <c r="J101" s="252" t="n"/>
      <c r="K101" s="13" t="n"/>
      <c r="L101" s="69" t="n"/>
      <c r="M101" s="66" t="n"/>
      <c r="N101" s="73" t="n"/>
      <c r="O101" s="19" t="n"/>
      <c r="P101" s="2" t="n"/>
    </row>
    <row r="102">
      <c r="A102" s="17" t="n"/>
      <c r="B102" s="14" t="n"/>
      <c r="C102" s="17" t="n"/>
      <c r="D102" s="14" t="n"/>
      <c r="E102" s="17" t="n"/>
      <c r="F102" s="57" t="n"/>
      <c r="G102" s="251" t="n"/>
      <c r="H102" s="252" t="n"/>
      <c r="I102" s="252" t="n"/>
      <c r="J102" s="252" t="n"/>
      <c r="K102" s="13" t="n"/>
      <c r="L102" s="69" t="n"/>
      <c r="M102" s="66" t="n"/>
      <c r="N102" s="73" t="n"/>
      <c r="O102" s="19" t="n"/>
      <c r="P102" s="2" t="n"/>
    </row>
    <row r="103">
      <c r="A103" s="17" t="n"/>
      <c r="B103" s="14" t="n"/>
      <c r="C103" s="17" t="n"/>
      <c r="D103" s="14" t="n"/>
      <c r="E103" s="17" t="n"/>
      <c r="F103" s="57" t="n"/>
      <c r="G103" s="251" t="n"/>
      <c r="H103" s="252" t="n"/>
      <c r="I103" s="252" t="n"/>
      <c r="J103" s="252" t="n"/>
      <c r="K103" s="13" t="n"/>
      <c r="L103" s="69" t="n"/>
      <c r="M103" s="66" t="n"/>
      <c r="N103" s="73" t="n"/>
      <c r="O103" s="19" t="n"/>
      <c r="P103" s="2" t="n"/>
    </row>
    <row r="104">
      <c r="A104" s="17" t="n"/>
      <c r="B104" s="14" t="n"/>
      <c r="C104" s="17" t="n"/>
      <c r="D104" s="14" t="n"/>
      <c r="E104" s="17" t="n"/>
      <c r="F104" s="57" t="n"/>
      <c r="G104" s="251" t="n"/>
      <c r="H104" s="252" t="n"/>
      <c r="I104" s="252" t="n"/>
      <c r="J104" s="252" t="n"/>
      <c r="K104" s="13" t="n"/>
      <c r="L104" s="69" t="n"/>
      <c r="M104" s="66" t="n"/>
      <c r="N104" s="73" t="n"/>
      <c r="O104" s="19" t="n"/>
      <c r="P104" s="2" t="n"/>
    </row>
    <row r="105">
      <c r="A105" s="17" t="n"/>
      <c r="B105" s="14" t="n"/>
      <c r="C105" s="17" t="n"/>
      <c r="D105" s="14" t="n"/>
      <c r="E105" s="17" t="n"/>
      <c r="F105" s="57" t="n"/>
      <c r="G105" s="251" t="n"/>
      <c r="H105" s="252" t="n"/>
      <c r="I105" s="252" t="n"/>
      <c r="J105" s="252" t="n"/>
      <c r="K105" s="13" t="n"/>
      <c r="L105" s="69" t="n"/>
      <c r="M105" s="66" t="n"/>
      <c r="N105" s="73" t="n"/>
      <c r="O105" s="19" t="n"/>
      <c r="P105" s="2" t="n"/>
    </row>
    <row r="106" ht="17.25" customHeight="1" s="185" thickBot="1">
      <c r="A106" s="18" t="n"/>
      <c r="B106" s="16" t="n"/>
      <c r="C106" s="18" t="n"/>
      <c r="D106" s="16" t="n"/>
      <c r="E106" s="18" t="n"/>
      <c r="F106" s="77" t="n"/>
      <c r="G106" s="253" t="n"/>
      <c r="H106" s="254" t="n"/>
      <c r="I106" s="254" t="n"/>
      <c r="J106" s="254" t="n"/>
      <c r="K106" s="15" t="n"/>
      <c r="L106" s="71" t="n"/>
      <c r="M106" s="67" t="n"/>
      <c r="N106" s="74" t="n"/>
      <c r="O106" s="20" t="n"/>
      <c r="P106" s="4" t="n"/>
    </row>
  </sheetData>
  <mergeCells count="8">
    <mergeCell ref="M3:P3"/>
    <mergeCell ref="C3:C4"/>
    <mergeCell ref="A3:A4"/>
    <mergeCell ref="B3:B4"/>
    <mergeCell ref="E3:E4"/>
    <mergeCell ref="F3:F4"/>
    <mergeCell ref="G3:L3"/>
    <mergeCell ref="D3:D4"/>
  </mergeCells>
  <dataValidations count="3">
    <dataValidation sqref="M5:M106" showDropDown="0" showInputMessage="1" showErrorMessage="1" allowBlank="1" type="list">
      <formula1>"'-,확인중,조치중,조치완료,협의필요"</formula1>
    </dataValidation>
    <dataValidation sqref="I5:I106" showDropDown="0" showInputMessage="1" showErrorMessage="1" allowBlank="1" type="list">
      <formula1>"Web,Mobile"</formula1>
    </dataValidation>
    <dataValidation sqref="K5:K106" showDropDown="0" showInputMessage="1" showErrorMessage="1" allowBlank="1" type="list">
      <formula1>"미진행,정상,단순오류,개선사항,치명적오류"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KIDO</dc:creator>
  <dcterms:created xmlns:dcterms="http://purl.org/dc/terms/" xmlns:xsi="http://www.w3.org/2001/XMLSchema-instance" xsi:type="dcterms:W3CDTF">2009-11-26T00:37:50Z</dcterms:created>
  <dcterms:modified xmlns:dcterms="http://purl.org/dc/terms/" xmlns:xsi="http://www.w3.org/2001/XMLSchema-instance" xsi:type="dcterms:W3CDTF">2026-10-18T10:59:44Z</dcterms:modified>
  <cp:lastModifiedBy>주식회사 엠파시 (Empasy Inc.)</cp:lastModifiedBy>
  <cp:lastPrinted>2023-07-28T01:21:00Z</cp:lastPrinted>
</cp:coreProperties>
</file>