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3개년_TCO_총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4" customWidth="1" min="4" max="4"/>
    <col width="15" customWidth="1" min="5" max="5"/>
    <col width="15" customWidth="1" min="6" max="6"/>
    <col width="15" customWidth="1" min="7" max="7"/>
    <col width="16" customWidth="1" min="8" max="8"/>
    <col width="40" customWidth="1" min="9" max="9"/>
  </cols>
  <sheetData>
    <row r="1" ht="30" customHeight="1">
      <c r="A1" s="1" t="inlineStr">
        <is>
          <t>[EMP-XLS-P0-04] SyncGuard AI 3개년 총소유비용(TCO) 및 구축 원가계산서 — 주식회사 한빛글로벌 SyncGuard AI 시스템 구축</t>
        </is>
      </c>
    </row>
    <row r="2" ht="22" customHeight="1">
      <c r="A2" s="2" t="inlineStr">
        <is>
          <t>초기 구축비(4.5억 원) 및 2~3차년도 클라우드·AI 토큰(FinOps)·유지관리 통합 TCO 산출서 | 발주처: 주식회사 한빛글로벌 | 수행사: 주식회사 엠파시 | 기준일: 2026.10</t>
        </is>
      </c>
    </row>
    <row r="4" ht="25" customHeight="1">
      <c r="A4" s="3" t="inlineStr">
        <is>
          <t>비목 분류</t>
        </is>
      </c>
      <c r="B4" s="3" t="inlineStr">
        <is>
          <t>세부 산출 항목 (SyncGuard AI 기준)</t>
        </is>
      </c>
      <c r="C4" s="3" t="inlineStr">
        <is>
          <t>수량/단위</t>
        </is>
      </c>
      <c r="D4" s="3" t="inlineStr">
        <is>
          <t>단가 (원)</t>
        </is>
      </c>
      <c r="E4" s="3" t="inlineStr">
        <is>
          <t>1차년도 (구축)</t>
        </is>
      </c>
      <c r="F4" s="3" t="inlineStr">
        <is>
          <t>2차년도 (운영)</t>
        </is>
      </c>
      <c r="G4" s="3" t="inlineStr">
        <is>
          <t>3차년도 (운영)</t>
        </is>
      </c>
      <c r="H4" s="3" t="inlineStr">
        <is>
          <t>3개년 누적 TCO</t>
        </is>
      </c>
      <c r="I4" s="3" t="inlineStr">
        <is>
          <t>산출 근거 및 비고</t>
        </is>
      </c>
    </row>
    <row r="5" ht="21" customHeight="1">
      <c r="A5" s="4" t="inlineStr">
        <is>
          <t>인건비(구축)</t>
        </is>
      </c>
      <c r="B5" s="5" t="inlineStr">
        <is>
          <t>사업총괄 PM / AI 수석 아키텍트 (특급 2명)</t>
        </is>
      </c>
      <c r="C5" s="6" t="inlineStr">
        <is>
          <t>8 M/M</t>
        </is>
      </c>
      <c r="D5" s="7" t="n">
        <v>13500000</v>
      </c>
      <c r="E5" s="7" t="n">
        <v>108000000</v>
      </c>
      <c r="F5" s="8" t="n">
        <v>0</v>
      </c>
      <c r="G5" s="8" t="n">
        <v>0</v>
      </c>
      <c r="H5" s="7">
        <f>SUM(E5:G5)</f>
        <v/>
      </c>
      <c r="I5" s="6" t="inlineStr">
        <is>
          <t>SW기술자 노임단가 및 6개월 구축 투입</t>
        </is>
      </c>
    </row>
    <row r="6" ht="21" customHeight="1">
      <c r="A6" s="9" t="inlineStr">
        <is>
          <t>인건비(구축)</t>
        </is>
      </c>
      <c r="B6" s="10" t="inlineStr">
        <is>
          <t>AI·백엔드·프론트엔드 PL (고급 2명)</t>
        </is>
      </c>
      <c r="C6" s="11" t="inlineStr">
        <is>
          <t>8 M/M</t>
        </is>
      </c>
      <c r="D6" s="12" t="n">
        <v>11000000</v>
      </c>
      <c r="E6" s="12" t="n">
        <v>88000000</v>
      </c>
      <c r="F6" s="13" t="n">
        <v>0</v>
      </c>
      <c r="G6" s="13" t="n">
        <v>0</v>
      </c>
      <c r="H6" s="12">
        <f>SUM(E6:G6)</f>
        <v/>
      </c>
      <c r="I6" s="11" t="inlineStr">
        <is>
          <t>멀티모달 RAG 파이프라인 및 FO/BO 웹 구현</t>
        </is>
      </c>
    </row>
    <row r="7" ht="21" customHeight="1">
      <c r="A7" s="4" t="inlineStr">
        <is>
          <t>인건비(구축)</t>
        </is>
      </c>
      <c r="B7" s="5" t="inlineStr">
        <is>
          <t>데이터·QA 엔지니어 및 정규식 튜닝 (중급 2명)</t>
        </is>
      </c>
      <c r="C7" s="6" t="inlineStr">
        <is>
          <t>4 M/M</t>
        </is>
      </c>
      <c r="D7" s="7" t="n">
        <v>8500000</v>
      </c>
      <c r="E7" s="7" t="n">
        <v>34000000</v>
      </c>
      <c r="F7" s="8" t="n">
        <v>0</v>
      </c>
      <c r="G7" s="8" t="n">
        <v>0</v>
      </c>
      <c r="H7" s="7">
        <f>SUM(E7:G7)</f>
        <v/>
      </c>
      <c r="I7" s="6" t="inlineStr">
        <is>
          <t>100대 규제 룰셋, 골든셋 50문항 및 품질 검증</t>
        </is>
      </c>
    </row>
    <row r="8" ht="21" customHeight="1">
      <c r="A8" s="9" t="inlineStr">
        <is>
          <t>외주도급비</t>
        </is>
      </c>
      <c r="B8" s="10" t="inlineStr">
        <is>
          <t>기간계(ProductLab·MarketingHub·SSO) 연계 어댑터</t>
        </is>
      </c>
      <c r="C8" s="11" t="inlineStr">
        <is>
          <t>1 식</t>
        </is>
      </c>
      <c r="D8" s="12" t="n">
        <v>60000000</v>
      </c>
      <c r="E8" s="12" t="n">
        <v>60000000</v>
      </c>
      <c r="F8" s="13" t="n">
        <v>0</v>
      </c>
      <c r="G8" s="13" t="n">
        <v>0</v>
      </c>
      <c r="H8" s="12">
        <f>SUM(E8:G8)</f>
        <v/>
      </c>
      <c r="I8" s="11" t="inlineStr">
        <is>
          <t>승인 협력사 ㈜데이터브릿지 전문 도급</t>
        </is>
      </c>
    </row>
    <row r="9" ht="21" customHeight="1">
      <c r="A9" s="4" t="inlineStr">
        <is>
          <t>솔루션·제경비</t>
        </is>
      </c>
      <c r="B9" s="5" t="inlineStr">
        <is>
          <t>SyncSeries AI 코어 엔진 라이선스 및 기술료·부가세</t>
        </is>
      </c>
      <c r="C9" s="6" t="inlineStr">
        <is>
          <t>1 식</t>
        </is>
      </c>
      <c r="D9" s="7" t="n">
        <v>160000000</v>
      </c>
      <c r="E9" s="7" t="n">
        <v>160000000</v>
      </c>
      <c r="F9" s="8" t="n">
        <v>0</v>
      </c>
      <c r="G9" s="8" t="n">
        <v>0</v>
      </c>
      <c r="H9" s="7">
        <f>SUM(E9:G9)</f>
        <v/>
      </c>
      <c r="I9" s="6" t="inlineStr">
        <is>
          <t>1차년도 구축 계약 총액: 450,000,000원 (VAT 포함)</t>
        </is>
      </c>
    </row>
    <row r="10" ht="21" customHeight="1">
      <c r="A10" s="9" t="inlineStr">
        <is>
          <t>유지보수비</t>
        </is>
      </c>
      <c r="B10" s="10" t="inlineStr">
        <is>
          <t>응용SW 및 AI 파이프라인 연간 유지관리 (2차년도 유상)</t>
        </is>
      </c>
      <c r="C10" s="11" t="inlineStr">
        <is>
          <t>12 개월</t>
        </is>
      </c>
      <c r="D10" s="12" t="n">
        <v>4500000</v>
      </c>
      <c r="E10" s="13" t="n">
        <v>0</v>
      </c>
      <c r="F10" s="12" t="n">
        <v>54000000</v>
      </c>
      <c r="G10" s="12" t="n">
        <v>54000000</v>
      </c>
      <c r="H10" s="12">
        <f>SUM(E10:G10)</f>
        <v/>
      </c>
      <c r="I10" s="11" t="inlineStr">
        <is>
          <t>1차년도 무상 하자보수, 2~3차년도 연 12% SLA</t>
        </is>
      </c>
    </row>
    <row r="11" ht="21" customHeight="1">
      <c r="A11" s="4" t="inlineStr">
        <is>
          <t>클라우드인프라</t>
        </is>
      </c>
      <c r="B11" s="5" t="inlineStr">
        <is>
          <t>AWS EKS, RDS PostgreSQL 16(Multi-AZ), S3, ALB</t>
        </is>
      </c>
      <c r="C11" s="6" t="inlineStr">
        <is>
          <t>12 개월</t>
        </is>
      </c>
      <c r="D11" s="7" t="n">
        <v>2800000</v>
      </c>
      <c r="E11" s="7" t="n">
        <v>16800000</v>
      </c>
      <c r="F11" s="7" t="n">
        <v>33600000</v>
      </c>
      <c r="G11" s="7" t="n">
        <v>35280000</v>
      </c>
      <c r="H11" s="7">
        <f>SUM(E11:G11)</f>
        <v/>
      </c>
      <c r="I11" s="6" t="inlineStr">
        <is>
          <t>한빛글로벌 AWS 계정 직접 과금 (RI 약정 할인 반영)</t>
        </is>
      </c>
    </row>
    <row r="12" ht="21" customHeight="1">
      <c r="A12" s="9" t="inlineStr">
        <is>
          <t>AI FinOps</t>
        </is>
      </c>
      <c r="B12" s="10" t="inlineStr">
        <is>
          <t>OpenAI GPT-4o / Claude 3.5 / Clova OCR API 토큰 실비</t>
        </is>
      </c>
      <c r="C12" s="11" t="inlineStr">
        <is>
          <t>12 개월</t>
        </is>
      </c>
      <c r="D12" s="12" t="n">
        <v>1800000</v>
      </c>
      <c r="E12" s="12" t="n">
        <v>10800000</v>
      </c>
      <c r="F12" s="12" t="n">
        <v>21600000</v>
      </c>
      <c r="G12" s="12" t="n">
        <v>23760000</v>
      </c>
      <c r="H12" s="12">
        <f>SUM(E12:G12)</f>
        <v/>
      </c>
      <c r="I12" s="11" t="inlineStr">
        <is>
          <t>월평균 심의 3,500건 기준 (Redis 시맨틱 캐시 42% 절감 반영)</t>
        </is>
      </c>
    </row>
    <row r="13" ht="21" customHeight="1">
      <c r="A13" s="14" t="inlineStr">
        <is>
          <t>합계</t>
        </is>
      </c>
      <c r="B13" s="14" t="inlineStr">
        <is>
          <t>3개년 총소유비용 (Total Cost of Ownership)</t>
        </is>
      </c>
      <c r="C13" s="15" t="inlineStr">
        <is>
          <t>-</t>
        </is>
      </c>
      <c r="D13" s="16" t="n">
        <v>0</v>
      </c>
      <c r="E13" s="17">
        <f>SUM(E5:E12)</f>
        <v/>
      </c>
      <c r="F13" s="17">
        <f>SUM(F5:F12)</f>
        <v/>
      </c>
      <c r="G13" s="17">
        <f>SUM(G5:G12)</f>
        <v/>
      </c>
      <c r="H13" s="17">
        <f>SUM(H5:H12)</f>
        <v/>
      </c>
      <c r="I13" s="15" t="inlineStr">
        <is>
          <t>연간 수기 심의 외주·법무 검토 절감액(연 3.8억) 대비 ROI 14개월 달성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2026-10-28T17:55:12Z</dcterms:created>
  <dcterms:modified xmlns:dcterms="http://purl.org/dc/terms/" xmlns:xsi="http://www.w3.org/2001/XMLSchema-instance" xsi:type="dcterms:W3CDTF">2026-10-28T17:55:12Z</dcterms:modified>
</cp:coreProperties>
</file>