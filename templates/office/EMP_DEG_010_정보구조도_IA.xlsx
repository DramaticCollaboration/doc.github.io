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1" activeTab="1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정보구조도" sheetId="3" state="visible" r:id="rId3"/>
    <sheet xmlns:r="http://schemas.openxmlformats.org/officeDocument/2006/relationships" name="메뉴구조도" sheetId="4" state="visible" r:id="rId4"/>
  </sheets>
  <definedNames>
    <definedName name="_xlnm.Print_Area" localSheetId="0">'표지'!$A$1:$H$30</definedName>
    <definedName name="_xlnm.Print_Area" localSheetId="1">'문서이력'!$A$1:$F$20</definedName>
    <definedName name="_xlnm.Print_Area" localSheetId="3">'메뉴구조도'!$A$1:$N$26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Last Updated : &quot;yyyy/mm/dd"/>
    <numFmt numFmtId="165" formatCode="&quot;총 페이지 수 : &quot;#,##0"/>
  </numFmts>
  <fonts count="37"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6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sz val="8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theme="0"/>
      <sz val="9"/>
    </font>
    <font>
      <name val="맑은 고딕"/>
      <charset val="129"/>
      <family val="3"/>
      <b val="1"/>
      <color theme="0"/>
      <sz val="8"/>
    </font>
    <font>
      <name val="맑은 고딕"/>
      <charset val="129"/>
      <family val="3"/>
      <color theme="1"/>
      <sz val="8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theme="1"/>
      <sz val="8"/>
    </font>
    <font>
      <name val="맑은 고딕"/>
      <charset val="129"/>
      <family val="3"/>
      <color rgb="FFFF0000"/>
      <sz val="8"/>
    </font>
    <font>
      <name val="맑은 고딕"/>
      <charset val="129"/>
      <family val="3"/>
      <color rgb="FF0070C0"/>
      <sz val="8"/>
    </font>
    <font>
      <name val="맑은 고딕"/>
      <charset val="129"/>
      <family val="3"/>
      <color theme="9"/>
      <sz val="8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9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thin">
        <color theme="0" tint="-0.249946592608417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thin">
        <color theme="0" tint="-0.249946592608417"/>
      </right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"/>
      </bottom>
      <diagonal/>
    </border>
    <border>
      <left/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theme="0" tint="-0.249946592608417"/>
      </right>
      <top style="thin">
        <color indexed="64"/>
      </top>
      <bottom style="medium">
        <color auto="1"/>
      </bottom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theme="0" tint="-0.249946592608417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4">
    <xf numFmtId="0" fontId="0" fillId="0" borderId="0" applyAlignment="1">
      <alignment vertical="center"/>
    </xf>
    <xf numFmtId="0" fontId="7" fillId="0" borderId="0"/>
    <xf numFmtId="0" fontId="18" fillId="0" borderId="0" applyAlignment="1">
      <alignment vertical="center"/>
    </xf>
    <xf numFmtId="0" fontId="7" fillId="0" borderId="0" applyAlignment="1">
      <alignment vertical="center"/>
    </xf>
  </cellStyleXfs>
  <cellXfs count="24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4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5" fillId="3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6" applyAlignment="1" pivotButton="0" quotePrefix="0" xfId="1">
      <alignment horizontal="center" vertical="center" wrapText="1"/>
    </xf>
    <xf numFmtId="0" fontId="5" fillId="4" borderId="7" applyAlignment="1" pivotButton="0" quotePrefix="0" xfId="1">
      <alignment horizontal="left" vertical="center" wrapText="1"/>
    </xf>
    <xf numFmtId="0" fontId="5" fillId="4" borderId="7" applyAlignment="1" pivotButton="0" quotePrefix="0" xfId="1">
      <alignment horizontal="center" vertical="center" wrapText="1"/>
    </xf>
    <xf numFmtId="0" fontId="5" fillId="4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 wrapText="1"/>
    </xf>
    <xf numFmtId="0" fontId="11" fillId="5" borderId="7" applyAlignment="1" pivotButton="0" quotePrefix="0" xfId="1">
      <alignment horizontal="center" vertical="center" wrapText="1"/>
    </xf>
    <xf numFmtId="0" fontId="11" fillId="5" borderId="7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 wrapText="1"/>
    </xf>
    <xf numFmtId="0" fontId="11" fillId="5" borderId="7" applyAlignment="1" pivotButton="0" quotePrefix="0" xfId="1">
      <alignment horizontal="left" vertical="center" wrapText="1"/>
    </xf>
    <xf numFmtId="0" fontId="12" fillId="2" borderId="7" applyAlignment="1" pivotButton="0" quotePrefix="0" xfId="0">
      <alignment horizontal="center" vertical="center"/>
    </xf>
    <xf numFmtId="0" fontId="13" fillId="2" borderId="7" applyAlignment="1" pivotButton="0" quotePrefix="0" xfId="0">
      <alignment horizontal="left" vertical="center" wrapText="1"/>
    </xf>
    <xf numFmtId="0" fontId="12" fillId="2" borderId="7" applyAlignment="1" pivotButton="0" quotePrefix="1" xfId="0">
      <alignment horizontal="left" vertical="center" wrapText="1"/>
    </xf>
    <xf numFmtId="0" fontId="12" fillId="2" borderId="7" applyAlignment="1" pivotButton="0" quotePrefix="0" xfId="0">
      <alignment horizontal="left" vertical="center" wrapText="1"/>
    </xf>
    <xf numFmtId="0" fontId="12" fillId="2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left" vertical="center" wrapText="1"/>
    </xf>
    <xf numFmtId="0" fontId="12" fillId="2" borderId="6" applyAlignment="1" pivotButton="0" quotePrefix="0" xfId="0">
      <alignment horizontal="center" vertical="center"/>
    </xf>
    <xf numFmtId="0" fontId="13" fillId="2" borderId="6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center" vertical="center"/>
    </xf>
    <xf numFmtId="0" fontId="13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left" vertical="center" wrapText="1"/>
    </xf>
    <xf numFmtId="0" fontId="9" fillId="6" borderId="0" applyAlignment="1" pivotButton="0" quotePrefix="0" xfId="0">
      <alignment vertical="center"/>
    </xf>
    <xf numFmtId="0" fontId="12" fillId="6" borderId="7" applyAlignment="1" pivotButton="0" quotePrefix="1" xfId="0">
      <alignment horizontal="left" vertical="center" wrapText="1"/>
    </xf>
    <xf numFmtId="0" fontId="13" fillId="3" borderId="7" applyAlignment="1" pivotButton="0" quotePrefix="0" xfId="0">
      <alignment horizontal="left" vertical="center" wrapText="1"/>
    </xf>
    <xf numFmtId="0" fontId="3" fillId="6" borderId="7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/>
    </xf>
    <xf numFmtId="0" fontId="3" fillId="0" borderId="7" applyAlignment="1" pivotButton="0" quotePrefix="1" xfId="0">
      <alignment horizontal="left" vertical="center" wrapText="1"/>
    </xf>
    <xf numFmtId="0" fontId="12" fillId="0" borderId="7" applyAlignment="1" pivotButton="0" quotePrefix="1" xfId="0">
      <alignment horizontal="left" vertical="center" wrapText="1"/>
    </xf>
    <xf numFmtId="0" fontId="9" fillId="2" borderId="7" applyAlignment="1" pivotButton="0" quotePrefix="0" xfId="0">
      <alignment vertical="center"/>
    </xf>
    <xf numFmtId="0" fontId="3" fillId="2" borderId="7" applyAlignment="1" pivotButton="0" quotePrefix="1" xfId="0">
      <alignment horizontal="left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7" applyAlignment="1" pivotButton="0" quotePrefix="0" xfId="0">
      <alignment horizontal="left" vertical="center"/>
    </xf>
    <xf numFmtId="0" fontId="12" fillId="2" borderId="5" applyAlignment="1" pivotButton="0" quotePrefix="0" xfId="0">
      <alignment horizontal="left" vertical="center"/>
    </xf>
    <xf numFmtId="0" fontId="16" fillId="0" borderId="7" applyAlignment="1" pivotButton="0" quotePrefix="1" xfId="0">
      <alignment horizontal="left" vertical="center" wrapText="1"/>
    </xf>
    <xf numFmtId="0" fontId="16" fillId="0" borderId="7" applyAlignment="1" pivotButton="0" quotePrefix="0" xfId="0">
      <alignment horizontal="left" vertical="center" wrapText="1"/>
    </xf>
    <xf numFmtId="0" fontId="16" fillId="2" borderId="7" applyAlignment="1" pivotButton="0" quotePrefix="0" xfId="0">
      <alignment horizontal="left" vertical="center" wrapText="1"/>
    </xf>
    <xf numFmtId="0" fontId="12" fillId="7" borderId="7" applyAlignment="1" pivotButton="0" quotePrefix="1" xfId="0">
      <alignment horizontal="left" vertical="center" wrapText="1"/>
    </xf>
    <xf numFmtId="0" fontId="12" fillId="7" borderId="7" applyAlignment="1" pivotButton="0" quotePrefix="0" xfId="0">
      <alignment horizontal="left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7" applyAlignment="1" pivotButton="0" quotePrefix="1" xfId="0">
      <alignment horizontal="left" vertical="center" wrapText="1"/>
    </xf>
    <xf numFmtId="0" fontId="17" fillId="2" borderId="7" applyAlignment="1" pivotButton="0" quotePrefix="0" xfId="0">
      <alignment horizontal="left" vertical="center" wrapText="1"/>
    </xf>
    <xf numFmtId="0" fontId="17" fillId="2" borderId="7" applyAlignment="1" pivotButton="0" quotePrefix="1" xfId="0">
      <alignment horizontal="left" vertical="center" wrapText="1"/>
    </xf>
    <xf numFmtId="0" fontId="13" fillId="7" borderId="7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/>
    </xf>
    <xf numFmtId="0" fontId="12" fillId="3" borderId="7" applyAlignment="1" pivotButton="0" quotePrefix="1" xfId="0">
      <alignment horizontal="left" vertical="center" wrapText="1"/>
    </xf>
    <xf numFmtId="0" fontId="12" fillId="3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4" fillId="0" borderId="7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9" fillId="2" borderId="0" applyAlignment="1" pivotButton="0" quotePrefix="0" xfId="2">
      <alignment horizontal="centerContinuous" vertical="center"/>
    </xf>
    <xf numFmtId="0" fontId="20" fillId="2" borderId="0" applyAlignment="1" pivotButton="0" quotePrefix="0" xfId="2">
      <alignment horizontal="centerContinuous" vertical="center"/>
    </xf>
    <xf numFmtId="0" fontId="20" fillId="2" borderId="0" applyAlignment="1" pivotButton="0" quotePrefix="0" xfId="2">
      <alignment vertical="center"/>
    </xf>
    <xf numFmtId="0" fontId="24" fillId="2" borderId="0" applyAlignment="1" pivotButton="0" quotePrefix="0" xfId="3">
      <alignment vertical="center"/>
    </xf>
    <xf numFmtId="0" fontId="21" fillId="2" borderId="0" applyAlignment="1" pivotButton="0" quotePrefix="0" xfId="3">
      <alignment vertical="center"/>
    </xf>
    <xf numFmtId="0" fontId="25" fillId="2" borderId="0" applyAlignment="1" pivotButton="0" quotePrefix="0" xfId="3">
      <alignment vertical="center"/>
    </xf>
    <xf numFmtId="0" fontId="26" fillId="9" borderId="35" applyAlignment="1" pivotButton="0" quotePrefix="0" xfId="3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6" fillId="2" borderId="26" applyAlignment="1" pivotButton="0" quotePrefix="0" xfId="2">
      <alignment vertical="center"/>
    </xf>
    <xf numFmtId="0" fontId="26" fillId="2" borderId="27" applyAlignment="1" pivotButton="0" quotePrefix="0" xfId="2">
      <alignment vertical="center"/>
    </xf>
    <xf numFmtId="0" fontId="26" fillId="2" borderId="28" applyAlignment="1" pivotButton="0" quotePrefix="0" xfId="2">
      <alignment vertical="center"/>
    </xf>
    <xf numFmtId="0" fontId="26" fillId="9" borderId="29" applyAlignment="1" pivotButton="0" quotePrefix="0" xfId="2">
      <alignment horizontal="center" vertical="center"/>
    </xf>
    <xf numFmtId="0" fontId="26" fillId="9" borderId="30" applyAlignment="1" pivotButton="0" quotePrefix="0" xfId="2">
      <alignment horizontal="center" vertical="center"/>
    </xf>
    <xf numFmtId="0" fontId="26" fillId="9" borderId="31" applyAlignment="1" pivotButton="0" quotePrefix="0" xfId="2">
      <alignment horizontal="center" vertical="center"/>
    </xf>
    <xf numFmtId="14" fontId="21" fillId="2" borderId="32" applyAlignment="1" pivotButton="0" quotePrefix="0" xfId="2">
      <alignment horizontal="center" vertical="center"/>
    </xf>
    <xf numFmtId="14" fontId="21" fillId="2" borderId="33" applyAlignment="1" pivotButton="0" quotePrefix="1" xfId="2">
      <alignment horizontal="center" vertical="center"/>
    </xf>
    <xf numFmtId="0" fontId="21" fillId="2" borderId="33" applyAlignment="1" pivotButton="0" quotePrefix="0" xfId="2">
      <alignment horizontal="left" vertical="center" indent="1"/>
    </xf>
    <xf numFmtId="0" fontId="21" fillId="2" borderId="33" applyAlignment="1" pivotButton="0" quotePrefix="0" xfId="2">
      <alignment horizontal="center" vertical="center"/>
    </xf>
    <xf numFmtId="0" fontId="21" fillId="2" borderId="34" applyAlignment="1" pivotButton="0" quotePrefix="0" xfId="2">
      <alignment horizontal="center" vertical="center"/>
    </xf>
    <xf numFmtId="0" fontId="21" fillId="2" borderId="9" applyAlignment="1" pivotButton="0" quotePrefix="0" xfId="2">
      <alignment horizontal="center" vertical="center"/>
    </xf>
    <xf numFmtId="14" fontId="21" fillId="2" borderId="10" applyAlignment="1" pivotButton="0" quotePrefix="0" xfId="2">
      <alignment vertical="center"/>
    </xf>
    <xf numFmtId="0" fontId="21" fillId="2" borderId="10" applyAlignment="1" pivotButton="0" quotePrefix="0" xfId="2">
      <alignment horizontal="left" vertical="center" indent="1"/>
    </xf>
    <xf numFmtId="0" fontId="21" fillId="2" borderId="10" applyAlignment="1" pivotButton="0" quotePrefix="0" xfId="2">
      <alignment horizontal="center" vertical="center"/>
    </xf>
    <xf numFmtId="0" fontId="21" fillId="2" borderId="11" applyAlignment="1" pivotButton="0" quotePrefix="0" xfId="2">
      <alignment horizontal="center" vertical="center"/>
    </xf>
    <xf numFmtId="0" fontId="21" fillId="2" borderId="12" applyAlignment="1" pivotButton="0" quotePrefix="0" xfId="2">
      <alignment horizontal="center" vertical="center"/>
    </xf>
    <xf numFmtId="14" fontId="21" fillId="2" borderId="13" applyAlignment="1" pivotButton="0" quotePrefix="0" xfId="2">
      <alignment vertical="center"/>
    </xf>
    <xf numFmtId="0" fontId="21" fillId="2" borderId="13" applyAlignment="1" pivotButton="0" quotePrefix="0" xfId="2">
      <alignment horizontal="left" vertical="center" indent="1"/>
    </xf>
    <xf numFmtId="0" fontId="21" fillId="2" borderId="13" applyAlignment="1" pivotButton="0" quotePrefix="0" xfId="2">
      <alignment horizontal="center" vertical="center"/>
    </xf>
    <xf numFmtId="0" fontId="21" fillId="2" borderId="14" applyAlignment="1" pivotButton="0" quotePrefix="0" xfId="2">
      <alignment horizontal="center" vertical="center"/>
    </xf>
    <xf numFmtId="0" fontId="21" fillId="2" borderId="0" applyAlignment="1" pivotButton="0" quotePrefix="0" xfId="2">
      <alignment vertical="center"/>
    </xf>
    <xf numFmtId="0" fontId="21" fillId="2" borderId="31" applyAlignment="1" pivotButton="0" quotePrefix="0" xfId="3">
      <alignment horizontal="left" vertical="center" indent="1"/>
    </xf>
    <xf numFmtId="0" fontId="28" fillId="2" borderId="48" applyAlignment="1" pivotButton="0" quotePrefix="0" xfId="2">
      <alignment horizontal="center" vertical="center"/>
    </xf>
    <xf numFmtId="0" fontId="28" fillId="2" borderId="49" applyAlignment="1" pivotButton="0" quotePrefix="0" xfId="2">
      <alignment horizontal="center" vertical="center"/>
    </xf>
    <xf numFmtId="0" fontId="28" fillId="2" borderId="50" applyAlignment="1" pivotButton="0" quotePrefix="0" xfId="2">
      <alignment horizontal="center" vertical="center"/>
    </xf>
    <xf numFmtId="0" fontId="23" fillId="2" borderId="0" applyAlignment="1" pivotButton="0" quotePrefix="0" xfId="3">
      <alignment vertical="center"/>
    </xf>
    <xf numFmtId="0" fontId="30" fillId="2" borderId="9" applyAlignment="1" pivotButton="0" quotePrefix="0" xfId="0">
      <alignment vertical="center"/>
    </xf>
    <xf numFmtId="0" fontId="30" fillId="2" borderId="10" applyAlignment="1" pivotButton="0" quotePrefix="0" xfId="0">
      <alignment vertical="center"/>
    </xf>
    <xf numFmtId="0" fontId="30" fillId="2" borderId="18" applyAlignment="1" pivotButton="0" quotePrefix="0" xfId="0">
      <alignment vertical="center"/>
    </xf>
    <xf numFmtId="0" fontId="30" fillId="2" borderId="12" applyAlignment="1" pivotButton="0" quotePrefix="0" xfId="0">
      <alignment vertical="center"/>
    </xf>
    <xf numFmtId="0" fontId="30" fillId="2" borderId="13" applyAlignment="1" pivotButton="0" quotePrefix="0" xfId="0">
      <alignment vertical="center"/>
    </xf>
    <xf numFmtId="0" fontId="30" fillId="2" borderId="19" applyAlignment="1" pivotButton="0" quotePrefix="0" xfId="0">
      <alignment vertical="center"/>
    </xf>
    <xf numFmtId="0" fontId="31" fillId="8" borderId="32" applyAlignment="1" pivotButton="0" quotePrefix="0" xfId="0">
      <alignment vertical="center"/>
    </xf>
    <xf numFmtId="0" fontId="31" fillId="8" borderId="33" applyAlignment="1" pivotButton="0" quotePrefix="0" xfId="0">
      <alignment vertical="center"/>
    </xf>
    <xf numFmtId="0" fontId="31" fillId="8" borderId="57" applyAlignment="1" pivotButton="0" quotePrefix="0" xfId="0">
      <alignment vertical="center"/>
    </xf>
    <xf numFmtId="0" fontId="30" fillId="2" borderId="10" applyAlignment="1" pivotButton="0" quotePrefix="0" xfId="0">
      <alignment horizontal="center" vertical="center"/>
    </xf>
    <xf numFmtId="0" fontId="30" fillId="2" borderId="13" applyAlignment="1" pivotButton="0" quotePrefix="0" xfId="0">
      <alignment horizontal="center" vertical="center"/>
    </xf>
    <xf numFmtId="0" fontId="30" fillId="2" borderId="11" applyAlignment="1" pivotButton="0" quotePrefix="0" xfId="0">
      <alignment horizontal="center" vertical="center"/>
    </xf>
    <xf numFmtId="0" fontId="30" fillId="2" borderId="14" applyAlignment="1" pivotButton="0" quotePrefix="0" xfId="0">
      <alignment horizontal="center" vertical="center"/>
    </xf>
    <xf numFmtId="0" fontId="31" fillId="8" borderId="65" applyAlignment="1" pivotButton="0" quotePrefix="0" xfId="0">
      <alignment vertical="center"/>
    </xf>
    <xf numFmtId="0" fontId="31" fillId="8" borderId="8" applyAlignment="1" pivotButton="0" quotePrefix="0" xfId="0">
      <alignment vertical="center"/>
    </xf>
    <xf numFmtId="0" fontId="31" fillId="8" borderId="65" applyAlignment="1" pivotButton="0" quotePrefix="0" xfId="0">
      <alignment horizontal="center" vertical="center"/>
    </xf>
    <xf numFmtId="0" fontId="30" fillId="2" borderId="66" applyAlignment="1" pivotButton="0" quotePrefix="0" xfId="0">
      <alignment horizontal="center" vertical="center"/>
    </xf>
    <xf numFmtId="0" fontId="30" fillId="2" borderId="67" applyAlignment="1" pivotButton="0" quotePrefix="0" xfId="0">
      <alignment horizontal="center" vertical="center"/>
    </xf>
    <xf numFmtId="0" fontId="31" fillId="8" borderId="33" applyAlignment="1" pivotButton="0" quotePrefix="0" xfId="0">
      <alignment horizontal="center" vertical="center"/>
    </xf>
    <xf numFmtId="0" fontId="32" fillId="7" borderId="7" applyAlignment="1" pivotButton="0" quotePrefix="0" xfId="0">
      <alignment horizontal="center" vertical="center"/>
    </xf>
    <xf numFmtId="164" fontId="0" fillId="2" borderId="0" applyAlignment="1" pivotButton="0" quotePrefix="0" xfId="0">
      <alignment vertical="center"/>
    </xf>
    <xf numFmtId="0" fontId="33" fillId="3" borderId="17" applyAlignment="1" pivotButton="0" quotePrefix="0" xfId="0">
      <alignment horizontal="center" vertical="center"/>
    </xf>
    <xf numFmtId="0" fontId="33" fillId="3" borderId="15" applyAlignment="1" pivotButton="0" quotePrefix="0" xfId="0">
      <alignment horizontal="center" vertical="center"/>
    </xf>
    <xf numFmtId="0" fontId="33" fillId="3" borderId="6" applyAlignment="1" pivotButton="0" quotePrefix="0" xfId="1">
      <alignment horizontal="center" vertical="center" wrapText="1"/>
    </xf>
    <xf numFmtId="0" fontId="33" fillId="3" borderId="59" applyAlignment="1" pivotButton="0" quotePrefix="0" xfId="1">
      <alignment horizontal="center" vertical="center" wrapText="1"/>
    </xf>
    <xf numFmtId="0" fontId="33" fillId="3" borderId="7" applyAlignment="1" pivotButton="0" quotePrefix="0" xfId="0">
      <alignment horizontal="center" vertical="center"/>
    </xf>
    <xf numFmtId="0" fontId="33" fillId="3" borderId="25" applyAlignment="1" pivotButton="0" quotePrefix="0" xfId="0">
      <alignment horizontal="center" vertical="center"/>
    </xf>
    <xf numFmtId="0" fontId="33" fillId="3" borderId="58" applyAlignment="1" pivotButton="0" quotePrefix="0" xfId="0">
      <alignment horizontal="center" vertical="center"/>
    </xf>
    <xf numFmtId="0" fontId="32" fillId="7" borderId="58" applyAlignment="1" pivotButton="0" quotePrefix="0" xfId="0">
      <alignment horizontal="center" vertical="center"/>
    </xf>
    <xf numFmtId="0" fontId="32" fillId="7" borderId="25" applyAlignment="1" pivotButton="0" quotePrefix="0" xfId="0">
      <alignment horizontal="center" vertical="center"/>
    </xf>
    <xf numFmtId="0" fontId="31" fillId="8" borderId="32" applyAlignment="1" pivotButton="0" quotePrefix="0" xfId="0">
      <alignment horizontal="center" vertical="center"/>
    </xf>
    <xf numFmtId="0" fontId="31" fillId="8" borderId="34" applyAlignment="1" pivotButton="0" quotePrefix="0" xfId="0">
      <alignment horizontal="center" vertical="center"/>
    </xf>
    <xf numFmtId="0" fontId="30" fillId="2" borderId="9" applyAlignment="1" pivotButton="0" quotePrefix="0" xfId="0">
      <alignment horizontal="center" vertical="center"/>
    </xf>
    <xf numFmtId="0" fontId="30" fillId="2" borderId="12" applyAlignment="1" pivotButton="0" quotePrefix="0" xfId="0">
      <alignment horizontal="center" vertical="center"/>
    </xf>
    <xf numFmtId="0" fontId="34" fillId="8" borderId="39" applyAlignment="1" pivotButton="0" quotePrefix="0" xfId="0">
      <alignment vertical="center"/>
    </xf>
    <xf numFmtId="0" fontId="35" fillId="2" borderId="23" applyAlignment="1" pivotButton="0" quotePrefix="0" xfId="0">
      <alignment vertical="center"/>
    </xf>
    <xf numFmtId="0" fontId="35" fillId="2" borderId="23" applyAlignment="1" pivotButton="0" quotePrefix="0" xfId="0">
      <alignment vertical="center" wrapText="1"/>
    </xf>
    <xf numFmtId="0" fontId="35" fillId="2" borderId="24" applyAlignment="1" pivotButton="0" quotePrefix="0" xfId="0">
      <alignment vertical="center"/>
    </xf>
    <xf numFmtId="0" fontId="10" fillId="5" borderId="3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left" vertical="center" indent="1"/>
    </xf>
    <xf numFmtId="0" fontId="10" fillId="5" borderId="5" applyAlignment="1" pivotButton="0" quotePrefix="0" xfId="0">
      <alignment horizontal="left" vertical="center" indent="1"/>
    </xf>
    <xf numFmtId="0" fontId="5" fillId="3" borderId="2" applyAlignment="1" pivotButton="0" quotePrefix="0" xfId="1">
      <alignment horizontal="center" vertical="center" wrapText="1"/>
    </xf>
    <xf numFmtId="0" fontId="5" fillId="3" borderId="6" applyAlignment="1" pivotButton="0" quotePrefix="0" xfId="1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0" fillId="2" borderId="53" applyAlignment="1" pivotButton="0" quotePrefix="0" xfId="2">
      <alignment horizontal="right" vertical="center" indent="1"/>
    </xf>
    <xf numFmtId="0" fontId="20" fillId="2" borderId="54" applyAlignment="1" pivotButton="0" quotePrefix="0" xfId="2">
      <alignment horizontal="right" vertical="center" indent="1"/>
    </xf>
    <xf numFmtId="0" fontId="20" fillId="2" borderId="51" applyAlignment="1" pivotButton="0" quotePrefix="0" xfId="2">
      <alignment horizontal="right" vertical="center" indent="1"/>
    </xf>
    <xf numFmtId="0" fontId="20" fillId="2" borderId="52" applyAlignment="1" pivotButton="0" quotePrefix="0" xfId="2">
      <alignment horizontal="right" vertical="center" indent="1"/>
    </xf>
    <xf numFmtId="0" fontId="21" fillId="2" borderId="26" applyAlignment="1" pivotButton="0" quotePrefix="0" xfId="2">
      <alignment vertical="center"/>
    </xf>
    <xf numFmtId="0" fontId="21" fillId="2" borderId="27" applyAlignment="1" pivotButton="0" quotePrefix="0" xfId="2">
      <alignment vertical="center"/>
    </xf>
    <xf numFmtId="0" fontId="21" fillId="2" borderId="28" applyAlignment="1" pivotButton="0" quotePrefix="0" xfId="2">
      <alignment vertical="center"/>
    </xf>
    <xf numFmtId="0" fontId="26" fillId="10" borderId="35" applyAlignment="1" pivotButton="0" quotePrefix="0" xfId="2">
      <alignment horizontal="center" vertical="center"/>
    </xf>
    <xf numFmtId="0" fontId="26" fillId="10" borderId="45" applyAlignment="1" pivotButton="0" quotePrefix="0" xfId="2">
      <alignment horizontal="center" vertical="center"/>
    </xf>
    <xf numFmtId="0" fontId="27" fillId="10" borderId="46" applyAlignment="1" pivotButton="0" quotePrefix="0" xfId="2">
      <alignment horizontal="center" vertical="center"/>
    </xf>
    <xf numFmtId="0" fontId="27" fillId="10" borderId="47" applyAlignment="1" pivotButton="0" quotePrefix="0" xfId="2">
      <alignment horizontal="center" vertical="center"/>
    </xf>
    <xf numFmtId="0" fontId="22" fillId="2" borderId="0" applyAlignment="1" pivotButton="0" quotePrefix="0" xfId="2">
      <alignment horizontal="left" vertical="center"/>
    </xf>
    <xf numFmtId="165" fontId="32" fillId="7" borderId="36" applyAlignment="1" pivotButton="0" quotePrefix="0" xfId="0">
      <alignment horizontal="center" vertical="center"/>
    </xf>
    <xf numFmtId="165" fontId="32" fillId="7" borderId="4" applyAlignment="1" pivotButton="0" quotePrefix="0" xfId="0">
      <alignment horizontal="center" vertical="center"/>
    </xf>
    <xf numFmtId="0" fontId="33" fillId="3" borderId="3" applyAlignment="1" pivotButton="0" quotePrefix="0" xfId="0">
      <alignment horizontal="center" vertical="center"/>
    </xf>
    <xf numFmtId="0" fontId="33" fillId="3" borderId="5" applyAlignment="1" pivotButton="0" quotePrefix="0" xfId="0">
      <alignment horizontal="center" vertical="center"/>
    </xf>
    <xf numFmtId="0" fontId="33" fillId="3" borderId="61" applyAlignment="1" pivotButton="0" quotePrefix="0" xfId="0">
      <alignment horizontal="center" vertical="center"/>
    </xf>
    <xf numFmtId="0" fontId="33" fillId="3" borderId="56" applyAlignment="1" pivotButton="0" quotePrefix="0" xfId="0">
      <alignment horizontal="center" vertical="center"/>
    </xf>
    <xf numFmtId="0" fontId="33" fillId="3" borderId="62" applyAlignment="1" pivotButton="0" quotePrefix="0" xfId="0">
      <alignment horizontal="center" vertical="center"/>
    </xf>
    <xf numFmtId="0" fontId="33" fillId="3" borderId="16" applyAlignment="1" pivotButton="0" quotePrefix="0" xfId="0">
      <alignment horizontal="center" vertical="center"/>
    </xf>
    <xf numFmtId="0" fontId="33" fillId="3" borderId="55" applyAlignment="1" pivotButton="0" quotePrefix="0" xfId="0">
      <alignment horizontal="center" vertical="center"/>
    </xf>
    <xf numFmtId="0" fontId="33" fillId="3" borderId="17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3" borderId="68" applyAlignment="1" pivotButton="0" quotePrefix="0" xfId="0">
      <alignment horizontal="center" vertical="center"/>
    </xf>
    <xf numFmtId="0" fontId="33" fillId="3" borderId="20" applyAlignment="1" pivotButton="0" quotePrefix="0" xfId="0">
      <alignment horizontal="center" vertical="center"/>
    </xf>
    <xf numFmtId="0" fontId="33" fillId="3" borderId="69" applyAlignment="1" pivotButton="0" quotePrefix="0" xfId="0">
      <alignment horizontal="center" vertical="center"/>
    </xf>
    <xf numFmtId="0" fontId="33" fillId="3" borderId="21" applyAlignment="1" pivotButton="0" quotePrefix="0" xfId="0">
      <alignment horizontal="center" vertical="center"/>
    </xf>
    <xf numFmtId="0" fontId="33" fillId="3" borderId="60" applyAlignment="1" pivotButton="0" quotePrefix="0" xfId="0">
      <alignment horizontal="center" vertical="center"/>
    </xf>
    <xf numFmtId="0" fontId="33" fillId="3" borderId="59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7" borderId="37" applyAlignment="1" pivotButton="0" quotePrefix="0" xfId="0">
      <alignment horizontal="center" vertical="center"/>
    </xf>
    <xf numFmtId="0" fontId="33" fillId="3" borderId="20" applyAlignment="1" pivotButton="0" quotePrefix="0" xfId="1">
      <alignment horizontal="center" vertical="center" wrapText="1"/>
    </xf>
    <xf numFmtId="0" fontId="33" fillId="3" borderId="64" applyAlignment="1" pivotButton="0" quotePrefix="0" xfId="1">
      <alignment horizontal="center" vertical="center" wrapText="1"/>
    </xf>
    <xf numFmtId="0" fontId="33" fillId="3" borderId="21" applyAlignment="1" pivotButton="0" quotePrefix="0" xfId="1">
      <alignment horizontal="center" vertical="center" wrapText="1"/>
    </xf>
    <xf numFmtId="0" fontId="33" fillId="3" borderId="63" applyAlignment="1" pivotButton="0" quotePrefix="0" xfId="0">
      <alignment horizontal="center" vertical="center"/>
    </xf>
    <xf numFmtId="0" fontId="21" fillId="2" borderId="40" applyAlignment="1" pivotButton="0" quotePrefix="0" xfId="3">
      <alignment horizontal="left" vertical="center" indent="1"/>
    </xf>
    <xf numFmtId="0" fontId="21" fillId="2" borderId="23" applyAlignment="1" pivotButton="0" quotePrefix="0" xfId="3">
      <alignment horizontal="left" vertical="center" indent="1"/>
    </xf>
    <xf numFmtId="0" fontId="21" fillId="2" borderId="44" applyAlignment="1" pivotButton="0" quotePrefix="0" xfId="3">
      <alignment horizontal="left" vertical="center" indent="1"/>
    </xf>
    <xf numFmtId="0" fontId="21" fillId="2" borderId="24" applyAlignment="1" pivotButton="0" quotePrefix="0" xfId="3">
      <alignment horizontal="left" vertical="center" indent="1"/>
    </xf>
    <xf numFmtId="0" fontId="21" fillId="2" borderId="40" applyAlignment="1" pivotButton="0" quotePrefix="1" xfId="3">
      <alignment horizontal="left" vertical="center" indent="1"/>
    </xf>
    <xf numFmtId="0" fontId="21" fillId="2" borderId="41" applyAlignment="1" pivotButton="0" quotePrefix="1" xfId="3">
      <alignment horizontal="left" vertical="center" indent="3"/>
    </xf>
    <xf numFmtId="0" fontId="21" fillId="2" borderId="42" applyAlignment="1" pivotButton="0" quotePrefix="0" xfId="3">
      <alignment horizontal="left" vertical="center" indent="3"/>
    </xf>
    <xf numFmtId="0" fontId="26" fillId="3" borderId="36" applyAlignment="1" pivotButton="0" quotePrefix="0" xfId="3">
      <alignment horizontal="center" vertical="center"/>
    </xf>
    <xf numFmtId="0" fontId="26" fillId="3" borderId="37" applyAlignment="1" pivotButton="0" quotePrefix="0" xfId="3">
      <alignment horizontal="center" vertical="center"/>
    </xf>
    <xf numFmtId="0" fontId="21" fillId="2" borderId="43" applyAlignment="1" pivotButton="0" quotePrefix="0" xfId="3">
      <alignment horizontal="left" vertical="center" indent="1"/>
    </xf>
    <xf numFmtId="0" fontId="21" fillId="2" borderId="22" applyAlignment="1" pivotButton="0" quotePrefix="0" xfId="3">
      <alignment horizontal="left" vertical="center" indent="1"/>
    </xf>
    <xf numFmtId="0" fontId="21" fillId="2" borderId="38" applyAlignment="1" pivotButton="0" quotePrefix="1" xfId="3">
      <alignment horizontal="left" vertical="center" indent="3"/>
    </xf>
    <xf numFmtId="0" fontId="21" fillId="2" borderId="39" applyAlignment="1" pivotButton="0" quotePrefix="0" xfId="3">
      <alignment horizontal="left" vertical="center" indent="3"/>
    </xf>
    <xf numFmtId="0" fontId="21" fillId="2" borderId="40" applyAlignment="1" pivotButton="0" quotePrefix="1" xfId="3">
      <alignment horizontal="left" vertical="center" indent="3"/>
    </xf>
    <xf numFmtId="0" fontId="21" fillId="2" borderId="23" applyAlignment="1" pivotButton="0" quotePrefix="0" xfId="3">
      <alignment horizontal="left" vertical="center" indent="3"/>
    </xf>
    <xf numFmtId="0" fontId="0" fillId="0" borderId="0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26" fillId="10" borderId="80" applyAlignment="1" pivotButton="0" quotePrefix="0" xfId="2">
      <alignment horizontal="center" vertical="center"/>
    </xf>
    <xf numFmtId="0" fontId="0" fillId="0" borderId="82" pivotButton="0" quotePrefix="0" xfId="0"/>
    <xf numFmtId="0" fontId="27" fillId="10" borderId="83" applyAlignment="1" pivotButton="0" quotePrefix="0" xfId="2">
      <alignment horizontal="center" vertical="center"/>
    </xf>
    <xf numFmtId="0" fontId="0" fillId="0" borderId="85" pivotButton="0" quotePrefix="0" xfId="0"/>
    <xf numFmtId="0" fontId="20" fillId="2" borderId="74" applyAlignment="1" pivotButton="0" quotePrefix="0" xfId="2">
      <alignment horizontal="right" vertical="center" indent="1"/>
    </xf>
    <xf numFmtId="0" fontId="0" fillId="0" borderId="54" pivotButton="0" quotePrefix="0" xfId="0"/>
    <xf numFmtId="0" fontId="20" fillId="2" borderId="76" applyAlignment="1" pivotButton="0" quotePrefix="0" xfId="2">
      <alignment horizontal="right" vertical="center" indent="1"/>
    </xf>
    <xf numFmtId="0" fontId="0" fillId="0" borderId="52" pivotButton="0" quotePrefix="0" xfId="0"/>
    <xf numFmtId="164" fontId="0" fillId="2" borderId="0" applyAlignment="1" pivotButton="0" quotePrefix="0" xfId="0">
      <alignment vertical="center"/>
    </xf>
    <xf numFmtId="0" fontId="33" fillId="3" borderId="29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60" pivotButton="0" quotePrefix="0" xfId="0"/>
    <xf numFmtId="0" fontId="33" fillId="3" borderId="86" applyAlignment="1" pivotButton="0" quotePrefix="0" xfId="0">
      <alignment horizontal="center" vertical="center"/>
    </xf>
    <xf numFmtId="0" fontId="0" fillId="0" borderId="20" pivotButton="0" quotePrefix="0" xfId="0"/>
    <xf numFmtId="0" fontId="33" fillId="3" borderId="30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62" pivotButton="0" quotePrefix="0" xfId="0"/>
    <xf numFmtId="0" fontId="33" fillId="3" borderId="47" applyAlignment="1" pivotButton="0" quotePrefix="0" xfId="1">
      <alignment horizontal="center" vertical="center" wrapText="1"/>
    </xf>
    <xf numFmtId="0" fontId="0" fillId="0" borderId="69" pivotButton="0" quotePrefix="0" xfId="0"/>
    <xf numFmtId="0" fontId="0" fillId="0" borderId="1" pivotButton="0" quotePrefix="0" xfId="0"/>
    <xf numFmtId="0" fontId="0" fillId="0" borderId="5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63" pivotButton="0" quotePrefix="0" xfId="0"/>
    <xf numFmtId="0" fontId="0" fillId="0" borderId="5" pivotButton="0" quotePrefix="0" xfId="0"/>
    <xf numFmtId="0" fontId="0" fillId="0" borderId="64" pivotButton="0" quotePrefix="0" xfId="0"/>
    <xf numFmtId="165" fontId="32" fillId="7" borderId="3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7" pivotButton="0" quotePrefix="0" xfId="0"/>
    <xf numFmtId="0" fontId="36" fillId="0" borderId="96" applyAlignment="1" pivotButton="0" quotePrefix="0" xfId="0">
      <alignment horizontal="center" vertical="center"/>
    </xf>
    <xf numFmtId="0" fontId="36" fillId="0" borderId="96" applyAlignment="1" pivotButton="0" quotePrefix="0" xfId="0">
      <alignment horizontal="left" vertical="center"/>
    </xf>
  </cellXfs>
  <cellStyles count="4">
    <cellStyle name="표준" xfId="0" builtinId="0"/>
    <cellStyle name="표준_if정의서_0803" xfId="1"/>
    <cellStyle name="표준_문서번호_문서명_YYYYMMDD" xfId="2"/>
    <cellStyle name="표준_Task관계 코어업무 WBSv0.46_설계단계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314325</colOff>
      <row>28</row>
      <rowOff>95250</rowOff>
    </from>
    <ext cx="1335215" cy="333805"/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H24"/>
  <sheetViews>
    <sheetView tabSelected="1" zoomScaleNormal="100" workbookViewId="0">
      <selection activeCell="C15" sqref="C15"/>
    </sheetView>
  </sheetViews>
  <sheetFormatPr baseColWidth="8" defaultColWidth="9.140625" defaultRowHeight="16.5"/>
  <cols>
    <col width="8" customWidth="1" style="70" min="1" max="1"/>
    <col width="12.5703125" customWidth="1" style="70" min="2" max="2"/>
    <col width="10.5703125" customWidth="1" style="70" min="3" max="3"/>
    <col width="14.7109375" customWidth="1" style="70" min="4" max="4"/>
    <col width="10.5703125" customWidth="1" style="70" min="5" max="5"/>
    <col width="14.7109375" customWidth="1" style="70" min="6" max="6"/>
    <col width="12.5703125" customWidth="1" style="70" min="7" max="7"/>
    <col width="8" customWidth="1" style="70" min="8" max="8"/>
    <col width="9.140625" customWidth="1" style="70" min="9" max="16384"/>
  </cols>
  <sheetData>
    <row r="6" ht="39" customHeight="1" s="206">
      <c r="A6" s="68" t="inlineStr">
        <is>
          <t>정보구조도</t>
        </is>
      </c>
      <c r="B6" s="69" t="n"/>
      <c r="C6" s="69" t="n"/>
      <c r="D6" s="69" t="n"/>
      <c r="E6" s="69" t="n"/>
      <c r="F6" s="69" t="n"/>
      <c r="G6" s="69" t="n"/>
      <c r="H6" s="69" t="n"/>
    </row>
    <row r="7">
      <c r="A7" s="69" t="inlineStr">
        <is>
          <t xml:space="preserve"> (IA, Information Architecture)</t>
        </is>
      </c>
      <c r="B7" s="69" t="n"/>
      <c r="C7" s="69" t="n"/>
      <c r="D7" s="69" t="n"/>
      <c r="E7" s="69" t="n"/>
      <c r="F7" s="69" t="n"/>
      <c r="G7" s="69" t="n"/>
      <c r="H7" s="69" t="n"/>
    </row>
    <row r="11" ht="17.25" customHeight="1" s="206" thickBot="1"/>
    <row r="12" ht="20.25" customHeight="1" s="206">
      <c r="B12" s="76" t="inlineStr">
        <is>
          <t>프로젝트명</t>
        </is>
      </c>
      <c r="C12" s="160" t="inlineStr">
        <is>
          <t>한빛글로벌 SyncFlow AI 시스템 구축</t>
        </is>
      </c>
      <c r="D12" s="207" t="n"/>
      <c r="E12" s="207" t="n"/>
      <c r="F12" s="207" t="n"/>
      <c r="G12" s="207" t="n"/>
    </row>
    <row r="13" ht="20.25" customHeight="1" s="206">
      <c r="B13" s="77" t="inlineStr">
        <is>
          <t>최종작성일</t>
        </is>
      </c>
      <c r="C13" s="161" t="inlineStr">
        <is>
          <t>2026. 10. 21.</t>
        </is>
      </c>
      <c r="D13" s="208" t="n"/>
      <c r="E13" s="208" t="n"/>
      <c r="F13" s="208" t="n"/>
      <c r="G13" s="208" t="n"/>
    </row>
    <row r="14" ht="20.25" customHeight="1" s="206" thickBot="1">
      <c r="B14" s="78" t="inlineStr">
        <is>
          <t>산출물 ID</t>
        </is>
      </c>
      <c r="C14" s="162" t="inlineStr">
        <is>
          <t>EMP_DEG_010</t>
        </is>
      </c>
      <c r="D14" s="209" t="n"/>
      <c r="E14" s="78" t="inlineStr">
        <is>
          <t>버전</t>
        </is>
      </c>
      <c r="F14" s="162" t="inlineStr">
        <is>
          <t>v1.1</t>
        </is>
      </c>
      <c r="G14" s="209" t="n"/>
    </row>
    <row r="21" ht="17.25" customHeight="1" s="206" thickBot="1"/>
    <row r="22" ht="21.75" customHeight="1" s="206">
      <c r="C22" s="210" t="inlineStr">
        <is>
          <t>엠파시 (EMPASY)</t>
        </is>
      </c>
      <c r="D22" s="211" t="n"/>
      <c r="E22" s="212" t="inlineStr">
        <is>
          <t>한빛글로벌</t>
        </is>
      </c>
      <c r="F22" s="213" t="n"/>
    </row>
    <row r="23" ht="21.75" customHeight="1" s="206">
      <c r="C23" s="99" t="inlineStr">
        <is>
          <t>담당자</t>
        </is>
      </c>
      <c r="D23" s="100" t="n"/>
      <c r="E23" s="100" t="inlineStr">
        <is>
          <t>승인자</t>
        </is>
      </c>
      <c r="F23" s="101" t="n"/>
    </row>
    <row r="24" ht="97.5" customHeight="1" s="206" thickBot="1">
      <c r="C24" s="214" t="inlineStr">
        <is>
          <t>(인)</t>
        </is>
      </c>
      <c r="D24" s="215" t="n"/>
      <c r="E24" s="216" t="inlineStr">
        <is>
          <t>(인)</t>
        </is>
      </c>
      <c r="F24" s="217" t="n"/>
    </row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F21" sqref="F21"/>
    </sheetView>
  </sheetViews>
  <sheetFormatPr baseColWidth="8" defaultColWidth="9.140625" defaultRowHeight="16.5"/>
  <cols>
    <col width="11.42578125" customWidth="1" style="70" min="1" max="1"/>
    <col width="19.28515625" customWidth="1" style="70" min="2" max="2"/>
    <col width="20.5703125" customWidth="1" style="70" min="3" max="3"/>
    <col width="59.42578125" customWidth="1" style="70" min="4" max="4"/>
    <col width="13" customWidth="1" style="70" min="5" max="6"/>
    <col width="9.140625" customWidth="1" style="70" min="7" max="16384"/>
  </cols>
  <sheetData>
    <row r="1" ht="26.25" customHeight="1" s="206">
      <c r="A1" s="167" t="inlineStr">
        <is>
          <t>제·개정 이력</t>
        </is>
      </c>
    </row>
    <row r="2" ht="17.25" customHeight="1" s="206" thickBot="1"/>
    <row r="3" ht="23.25" customHeight="1" s="206">
      <c r="A3" s="79" t="inlineStr">
        <is>
          <t>버전</t>
        </is>
      </c>
      <c r="B3" s="80" t="inlineStr">
        <is>
          <t>개정일</t>
        </is>
      </c>
      <c r="C3" s="80" t="inlineStr">
        <is>
          <t>개정사유</t>
        </is>
      </c>
      <c r="D3" s="80" t="inlineStr">
        <is>
          <t>개정내역</t>
        </is>
      </c>
      <c r="E3" s="80" t="inlineStr">
        <is>
          <t>작성자</t>
        </is>
      </c>
      <c r="F3" s="81" t="inlineStr">
        <is>
          <t>승인자</t>
        </is>
      </c>
    </row>
    <row r="4" ht="23.25" customHeight="1" s="206">
      <c r="A4" s="82" t="inlineStr">
        <is>
          <t>v1.0</t>
        </is>
      </c>
      <c r="B4" s="83" t="inlineStr">
        <is>
          <t>2026. 10. 16.</t>
        </is>
      </c>
      <c r="C4" s="84" t="inlineStr">
        <is>
          <t>제정</t>
        </is>
      </c>
      <c r="D4" s="84" t="inlineStr">
        <is>
          <t>SyncFlow AI 시스템 구축 기준 상세 작성</t>
        </is>
      </c>
      <c r="E4" s="85" t="inlineStr">
        <is>
          <t>EMPASY</t>
        </is>
      </c>
      <c r="F4" s="86" t="inlineStr">
        <is>
          <t>한빛글로벌</t>
        </is>
      </c>
    </row>
    <row r="5" ht="23.25" customHeight="1" s="206">
      <c r="A5" s="87" t="inlineStr">
        <is>
          <t>v1.1</t>
        </is>
      </c>
      <c r="B5" s="88" t="inlineStr">
        <is>
          <t>2026. 10. 21.</t>
        </is>
      </c>
      <c r="C5" s="89" t="inlineStr">
        <is>
          <t>개정</t>
        </is>
      </c>
      <c r="D5" s="89" t="inlineStr">
        <is>
          <t>SyncFlow AI 통합 웹 콘솔(Client/fe :3104, 검증·검토 워크스페이스 및 백오피스 통합) 및 전자구매포털 의뢰·결과(HTML/JSON) 연계 구조 반영</t>
        </is>
      </c>
      <c r="E5" s="90" t="inlineStr">
        <is>
          <t>EMPASY</t>
        </is>
      </c>
      <c r="F5" s="91" t="inlineStr">
        <is>
          <t>HANBIT GLOBAL</t>
        </is>
      </c>
    </row>
    <row r="6" ht="23.25" customHeight="1" s="206">
      <c r="A6" s="87" t="n"/>
      <c r="B6" s="88" t="n"/>
      <c r="C6" s="89" t="n"/>
      <c r="D6" s="89" t="n"/>
      <c r="E6" s="90" t="n"/>
      <c r="F6" s="91" t="n"/>
    </row>
    <row r="7" ht="23.25" customHeight="1" s="206">
      <c r="A7" s="87" t="n"/>
      <c r="B7" s="88" t="n"/>
      <c r="C7" s="89" t="n"/>
      <c r="D7" s="89" t="n"/>
      <c r="E7" s="90" t="n"/>
      <c r="F7" s="91" t="n"/>
    </row>
    <row r="8" ht="23.25" customHeight="1" s="206">
      <c r="A8" s="87" t="n"/>
      <c r="B8" s="88" t="n"/>
      <c r="C8" s="89" t="n"/>
      <c r="D8" s="89" t="n"/>
      <c r="E8" s="90" t="n"/>
      <c r="F8" s="91" t="n"/>
    </row>
    <row r="9" ht="23.25" customHeight="1" s="206">
      <c r="A9" s="87" t="n"/>
      <c r="B9" s="88" t="n"/>
      <c r="C9" s="89" t="n"/>
      <c r="D9" s="89" t="n"/>
      <c r="E9" s="90" t="n"/>
      <c r="F9" s="91" t="n"/>
    </row>
    <row r="10" ht="23.25" customHeight="1" s="206">
      <c r="A10" s="87" t="n"/>
      <c r="B10" s="88" t="n"/>
      <c r="C10" s="89" t="n"/>
      <c r="D10" s="89" t="n"/>
      <c r="E10" s="90" t="n"/>
      <c r="F10" s="91" t="n"/>
    </row>
    <row r="11" ht="23.25" customHeight="1" s="206">
      <c r="A11" s="87" t="n"/>
      <c r="B11" s="88" t="n"/>
      <c r="C11" s="89" t="n"/>
      <c r="D11" s="89" t="n"/>
      <c r="E11" s="90" t="n"/>
      <c r="F11" s="91" t="n"/>
    </row>
    <row r="12" ht="23.25" customHeight="1" s="206">
      <c r="A12" s="87" t="n"/>
      <c r="B12" s="88" t="n"/>
      <c r="C12" s="89" t="n"/>
      <c r="D12" s="89" t="n"/>
      <c r="E12" s="90" t="n"/>
      <c r="F12" s="91" t="n"/>
    </row>
    <row r="13" ht="23.25" customHeight="1" s="206">
      <c r="A13" s="87" t="n"/>
      <c r="B13" s="88" t="n"/>
      <c r="C13" s="89" t="n"/>
      <c r="D13" s="89" t="n"/>
      <c r="E13" s="90" t="n"/>
      <c r="F13" s="91" t="n"/>
    </row>
    <row r="14" ht="23.25" customHeight="1" s="206">
      <c r="A14" s="87" t="n"/>
      <c r="B14" s="88" t="n"/>
      <c r="C14" s="89" t="n"/>
      <c r="D14" s="89" t="n"/>
      <c r="E14" s="90" t="n"/>
      <c r="F14" s="91" t="n"/>
    </row>
    <row r="15" ht="23.25" customHeight="1" s="206">
      <c r="A15" s="87" t="n"/>
      <c r="B15" s="88" t="n"/>
      <c r="C15" s="89" t="n"/>
      <c r="D15" s="89" t="n"/>
      <c r="E15" s="90" t="n"/>
      <c r="F15" s="91" t="n"/>
    </row>
    <row r="16" ht="23.25" customHeight="1" s="206">
      <c r="A16" s="87" t="n"/>
      <c r="B16" s="88" t="n"/>
      <c r="C16" s="89" t="n"/>
      <c r="D16" s="89" t="n"/>
      <c r="E16" s="90" t="n"/>
      <c r="F16" s="91" t="n"/>
    </row>
    <row r="17" ht="23.25" customHeight="1" s="206" thickBot="1">
      <c r="A17" s="92" t="n"/>
      <c r="B17" s="93" t="n"/>
      <c r="C17" s="94" t="n"/>
      <c r="D17" s="94" t="n"/>
      <c r="E17" s="95" t="n"/>
      <c r="F17" s="96" t="n"/>
    </row>
    <row r="19">
      <c r="A19" s="97" t="inlineStr">
        <is>
          <t>개정 사유   제정 또는 개정 내용이 이전 문서에 대해 추가/수정/삭제인지 선택 기입</t>
        </is>
      </c>
    </row>
    <row r="20">
      <c r="A20" s="97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pane ySplit="6" topLeftCell="A7" activePane="bottomLeft" state="frozen"/>
      <selection pane="bottomLeft" activeCell="D29" sqref="D29"/>
    </sheetView>
  </sheetViews>
  <sheetFormatPr baseColWidth="8" defaultRowHeight="13.5"/>
  <cols>
    <col width="16.7109375" customWidth="1" style="66" min="1" max="1"/>
    <col width="18.140625" customWidth="1" style="66" min="2" max="5"/>
    <col width="9.140625" customWidth="1" style="66" min="6" max="6"/>
    <col width="54.85546875" customWidth="1" style="66" min="7" max="7"/>
    <col width="6.42578125" customWidth="1" style="66" min="8" max="10"/>
    <col width="16.7109375" customWidth="1" style="66" min="11" max="11"/>
    <col width="6.42578125" customWidth="1" style="66" min="12" max="17"/>
    <col width="38.7109375" customWidth="1" style="66" min="18" max="18"/>
    <col width="9.140625" customWidth="1" style="66" min="19" max="16384"/>
  </cols>
  <sheetData>
    <row r="1" ht="26.25" customHeight="1" s="206">
      <c r="A1" s="67" t="inlineStr">
        <is>
          <t>정보구조도 (IA)</t>
        </is>
      </c>
    </row>
    <row r="2" ht="14.25" customHeight="1" s="206" thickBot="1">
      <c r="R2" s="218" t="inlineStr">
        <is>
          <t>2026-10-23</t>
        </is>
      </c>
    </row>
    <row r="3" ht="21.75" customHeight="1" s="206">
      <c r="A3" s="219" t="inlineStr">
        <is>
          <t>메뉴</t>
        </is>
      </c>
      <c r="B3" s="220" t="n"/>
      <c r="C3" s="220" t="n"/>
      <c r="D3" s="220" t="n"/>
      <c r="E3" s="221" t="n"/>
      <c r="F3" s="172" t="inlineStr">
        <is>
          <t>기능</t>
        </is>
      </c>
      <c r="G3" s="220" t="n"/>
      <c r="H3" s="222" t="inlineStr">
        <is>
          <t>페이지수</t>
        </is>
      </c>
      <c r="I3" s="220" t="n"/>
      <c r="J3" s="223" t="n"/>
      <c r="K3" s="174" t="inlineStr">
        <is>
          <t>화면ID</t>
        </is>
      </c>
      <c r="L3" s="224" t="inlineStr">
        <is>
          <t>권한</t>
        </is>
      </c>
      <c r="M3" s="225" t="n"/>
      <c r="N3" s="225" t="n"/>
      <c r="O3" s="225" t="n"/>
      <c r="P3" s="225" t="n"/>
      <c r="Q3" s="226" t="n"/>
      <c r="R3" s="227" t="inlineStr">
        <is>
          <t>비고</t>
        </is>
      </c>
    </row>
    <row r="4" ht="21.75" customHeight="1" s="206">
      <c r="A4" s="228" t="n"/>
      <c r="B4" s="229" t="n"/>
      <c r="C4" s="229" t="n"/>
      <c r="D4" s="229" t="n"/>
      <c r="E4" s="230" t="n"/>
      <c r="F4" s="231" t="n"/>
      <c r="G4" s="229" t="n"/>
      <c r="H4" s="228" t="n"/>
      <c r="I4" s="229" t="n"/>
      <c r="J4" s="232" t="n"/>
      <c r="K4" s="233" t="n"/>
      <c r="L4" s="128" t="inlineStr">
        <is>
          <t>관리자</t>
        </is>
      </c>
      <c r="M4" s="234" t="n"/>
      <c r="N4" s="128" t="inlineStr">
        <is>
          <t>업무담당자</t>
        </is>
      </c>
      <c r="O4" s="234" t="n"/>
      <c r="P4" s="128" t="inlineStr">
        <is>
          <t>사용자</t>
        </is>
      </c>
      <c r="Q4" s="234" t="n"/>
      <c r="R4" s="235" t="n"/>
    </row>
    <row r="5" ht="21.75" customHeight="1" s="206">
      <c r="A5" s="125" t="inlineStr">
        <is>
          <t>1 Depth</t>
        </is>
      </c>
      <c r="B5" s="126" t="inlineStr">
        <is>
          <t>2 Depth</t>
        </is>
      </c>
      <c r="C5" s="126" t="inlineStr">
        <is>
          <t>3 Depth</t>
        </is>
      </c>
      <c r="D5" s="126" t="inlineStr">
        <is>
          <t>4 Depth</t>
        </is>
      </c>
      <c r="E5" s="126" t="inlineStr">
        <is>
          <t>5 Depth</t>
        </is>
      </c>
      <c r="F5" s="127" t="inlineStr">
        <is>
          <t>유형</t>
        </is>
      </c>
      <c r="G5" s="177" t="inlineStr">
        <is>
          <t>세부내용</t>
        </is>
      </c>
      <c r="H5" s="130" t="inlineStr">
        <is>
          <t>KR</t>
        </is>
      </c>
      <c r="I5" s="128" t="inlineStr">
        <is>
          <t>EN</t>
        </is>
      </c>
      <c r="J5" s="129" t="inlineStr">
        <is>
          <t>CN</t>
        </is>
      </c>
      <c r="K5" s="230" t="n"/>
      <c r="L5" s="128" t="inlineStr">
        <is>
          <t>조회</t>
        </is>
      </c>
      <c r="M5" s="128" t="inlineStr">
        <is>
          <t>등록</t>
        </is>
      </c>
      <c r="N5" s="128" t="inlineStr">
        <is>
          <t>조회</t>
        </is>
      </c>
      <c r="O5" s="128" t="inlineStr">
        <is>
          <t>등록</t>
        </is>
      </c>
      <c r="P5" s="128" t="inlineStr">
        <is>
          <t>조회</t>
        </is>
      </c>
      <c r="Q5" s="128" t="inlineStr">
        <is>
          <t>등록</t>
        </is>
      </c>
      <c r="R5" s="232" t="n"/>
    </row>
    <row r="6" ht="28.5" customHeight="1" s="206">
      <c r="A6" s="236">
        <f>SUM(H6:J6)</f>
        <v/>
      </c>
      <c r="B6" s="237" t="n"/>
      <c r="C6" s="237" t="n"/>
      <c r="D6" s="237" t="n"/>
      <c r="E6" s="237" t="n"/>
      <c r="F6" s="237" t="n"/>
      <c r="G6" s="237" t="n"/>
      <c r="H6" s="131">
        <f>SUM(H105,H66,H26,H15,H10,H7)</f>
        <v/>
      </c>
      <c r="I6" s="122">
        <f>SUM(I105,I66,I26,I15,I10,I7)</f>
        <v/>
      </c>
      <c r="J6" s="132">
        <f>SUM(J105,J66,J26,J15,J10,J7)</f>
        <v/>
      </c>
      <c r="K6" s="186" t="n"/>
      <c r="L6" s="237" t="n"/>
      <c r="M6" s="237" t="n"/>
      <c r="N6" s="237" t="n"/>
      <c r="O6" s="237" t="n"/>
      <c r="P6" s="237" t="n"/>
      <c r="Q6" s="237" t="n"/>
      <c r="R6" s="238" t="n"/>
    </row>
    <row r="7">
      <c r="A7" s="109" t="inlineStr">
        <is>
          <t>레이아웃</t>
        </is>
      </c>
      <c r="B7" s="110" t="n"/>
      <c r="C7" s="110" t="n"/>
      <c r="D7" s="110" t="n"/>
      <c r="E7" s="117" t="n"/>
      <c r="F7" s="118" t="n"/>
      <c r="G7" s="111" t="n"/>
      <c r="H7" s="133">
        <f>SUM(H8:H9)</f>
        <v/>
      </c>
      <c r="I7" s="121">
        <f>SUM(I8:I9)</f>
        <v/>
      </c>
      <c r="J7" s="134">
        <f>SUM(J8:J9)</f>
        <v/>
      </c>
      <c r="K7" s="116" t="n"/>
      <c r="L7" s="110" t="n"/>
      <c r="M7" s="110" t="n"/>
      <c r="N7" s="110" t="n"/>
      <c r="O7" s="110" t="n"/>
      <c r="P7" s="110" t="n"/>
      <c r="Q7" s="117" t="n"/>
      <c r="R7" s="137" t="n"/>
    </row>
    <row r="8">
      <c r="A8" s="103" t="inlineStr">
        <is>
          <t>공통 레이아웃</t>
        </is>
      </c>
      <c r="B8" s="104" t="inlineStr">
        <is>
          <t>사내 SSO 로그인 / 권한 분기</t>
        </is>
      </c>
      <c r="C8" s="104" t="inlineStr">
        <is>
          <t>-</t>
        </is>
      </c>
      <c r="D8" s="104" t="inlineStr">
        <is>
          <t>-</t>
        </is>
      </c>
      <c r="E8" s="104" t="inlineStr">
        <is>
          <t>-</t>
        </is>
      </c>
      <c r="F8" s="119" t="inlineStr">
        <is>
          <t>화면</t>
        </is>
      </c>
      <c r="G8" s="105" t="inlineStr">
        <is>
          <t>HB-SSO 통합 SSO 인증 및 사내 IAM 역할별 권한 검증(validateBoAdminPermission) 기반 통합 웹 콘솔(Client/fe :3104) 라우팅</t>
        </is>
      </c>
      <c r="H8" s="135" t="n">
        <v>1</v>
      </c>
      <c r="I8" s="112" t="n">
        <v>0</v>
      </c>
      <c r="J8" s="114" t="n">
        <v>0</v>
      </c>
      <c r="K8" s="119" t="inlineStr">
        <is>
          <t>SCR_CMN_01</t>
        </is>
      </c>
      <c r="L8" s="112" t="inlineStr">
        <is>
          <t>O</t>
        </is>
      </c>
      <c r="M8" s="112" t="inlineStr">
        <is>
          <t>O</t>
        </is>
      </c>
      <c r="N8" s="112" t="inlineStr">
        <is>
          <t>O</t>
        </is>
      </c>
      <c r="O8" s="112" t="inlineStr">
        <is>
          <t>O</t>
        </is>
      </c>
      <c r="P8" s="112" t="inlineStr">
        <is>
          <t>O</t>
        </is>
      </c>
      <c r="Q8" s="112" t="inlineStr">
        <is>
          <t>-</t>
        </is>
      </c>
      <c r="R8" s="138" t="n"/>
    </row>
    <row r="9">
      <c r="A9" s="103" t="inlineStr">
        <is>
          <t>공통 레이아웃</t>
        </is>
      </c>
      <c r="B9" s="104" t="inlineStr">
        <is>
          <t>전자구매포털 임베디드 브릿지 뷰</t>
        </is>
      </c>
      <c r="C9" s="104" t="inlineStr">
        <is>
          <t>-</t>
        </is>
      </c>
      <c r="D9" s="104" t="inlineStr">
        <is>
          <t>-</t>
        </is>
      </c>
      <c r="E9" s="104" t="inlineStr">
        <is>
          <t>-</t>
        </is>
      </c>
      <c r="F9" s="119" t="inlineStr">
        <is>
          <t>화면</t>
        </is>
      </c>
      <c r="G9" s="105" t="inlineStr">
        <is>
          <t>전자구매포털 검증 요청 인바운드 연동 및 통합 웹 콘솔(Client/fe :3104) 계약·도서·설계도면(300MB 직접 업로드) Side-by-Side 대조 뷰어 진입</t>
        </is>
      </c>
      <c r="H9" s="135" t="n">
        <v>1</v>
      </c>
      <c r="I9" s="112" t="n">
        <v>0</v>
      </c>
      <c r="J9" s="114" t="n">
        <v>0</v>
      </c>
      <c r="K9" s="119" t="inlineStr">
        <is>
          <t>SCR_CMN_02</t>
        </is>
      </c>
      <c r="L9" s="112" t="inlineStr">
        <is>
          <t>O</t>
        </is>
      </c>
      <c r="M9" s="112" t="inlineStr">
        <is>
          <t>-</t>
        </is>
      </c>
      <c r="N9" s="112" t="inlineStr">
        <is>
          <t>O</t>
        </is>
      </c>
      <c r="O9" s="112" t="inlineStr">
        <is>
          <t>-</t>
        </is>
      </c>
      <c r="P9" s="112" t="inlineStr">
        <is>
          <t>O</t>
        </is>
      </c>
      <c r="Q9" s="112" t="inlineStr">
        <is>
          <t>-</t>
        </is>
      </c>
      <c r="R9" s="138" t="n"/>
    </row>
    <row r="10">
      <c r="A10" s="109" t="inlineStr">
        <is>
          <t>GNB</t>
        </is>
      </c>
      <c r="B10" s="110" t="n"/>
      <c r="C10" s="110" t="n"/>
      <c r="D10" s="110" t="n"/>
      <c r="E10" s="110" t="n"/>
      <c r="F10" s="118" t="n"/>
      <c r="G10" s="111" t="n"/>
      <c r="H10" s="133">
        <f>SUM(H11:H14)</f>
        <v/>
      </c>
      <c r="I10" s="121">
        <f>SUM(I11:I14)</f>
        <v/>
      </c>
      <c r="J10" s="134">
        <f>SUM(J11:J14)</f>
        <v/>
      </c>
      <c r="K10" s="116" t="n"/>
      <c r="L10" s="110" t="n"/>
      <c r="M10" s="110" t="n"/>
      <c r="N10" s="110" t="n"/>
      <c r="O10" s="110" t="n"/>
      <c r="P10" s="110" t="n"/>
      <c r="Q10" s="110" t="n"/>
      <c r="R10" s="137" t="n"/>
    </row>
    <row r="11">
      <c r="A11" s="103" t="inlineStr">
        <is>
          <t>GNB</t>
        </is>
      </c>
      <c r="B11" s="104" t="inlineStr">
        <is>
          <t>상단 네비게이션 바</t>
        </is>
      </c>
      <c r="C11" s="104" t="inlineStr">
        <is>
          <t>-</t>
        </is>
      </c>
      <c r="D11" s="104" t="inlineStr">
        <is>
          <t>-</t>
        </is>
      </c>
      <c r="E11" s="104" t="inlineStr">
        <is>
          <t>-</t>
        </is>
      </c>
      <c r="F11" s="119" t="inlineStr">
        <is>
          <t>공통</t>
        </is>
      </c>
      <c r="G11" s="105" t="inlineStr">
        <is>
          <t>대시보드 / 계약·규격검증 / QA전문검증 / 이력조회 / 규제·시험검증 / 시스템관리</t>
        </is>
      </c>
      <c r="H11" s="135" t="n">
        <v>1</v>
      </c>
      <c r="I11" s="112" t="n">
        <v>0</v>
      </c>
      <c r="J11" s="114" t="n">
        <v>0</v>
      </c>
      <c r="K11" s="119" t="inlineStr">
        <is>
          <t>SCR_GNB_01</t>
        </is>
      </c>
      <c r="L11" s="112" t="inlineStr">
        <is>
          <t>O</t>
        </is>
      </c>
      <c r="M11" s="112" t="inlineStr">
        <is>
          <t>-</t>
        </is>
      </c>
      <c r="N11" s="112" t="inlineStr">
        <is>
          <t>O</t>
        </is>
      </c>
      <c r="O11" s="112" t="inlineStr">
        <is>
          <t>-</t>
        </is>
      </c>
      <c r="P11" s="112" t="inlineStr">
        <is>
          <t>O</t>
        </is>
      </c>
      <c r="Q11" s="112" t="inlineStr">
        <is>
          <t>-</t>
        </is>
      </c>
      <c r="R11" s="138" t="n"/>
    </row>
    <row r="12">
      <c r="A12" s="103" t="inlineStr">
        <is>
          <t>GNB</t>
        </is>
      </c>
      <c r="B12" s="104" t="inlineStr">
        <is>
          <t>알림 센터 (Notification)</t>
        </is>
      </c>
      <c r="C12" s="104" t="inlineStr">
        <is>
          <t>-</t>
        </is>
      </c>
      <c r="D12" s="104" t="inlineStr">
        <is>
          <t>-</t>
        </is>
      </c>
      <c r="E12" s="104" t="inlineStr">
        <is>
          <t>-</t>
        </is>
      </c>
      <c r="F12" s="119" t="inlineStr">
        <is>
          <t>공통</t>
        </is>
      </c>
      <c r="G12" s="105" t="inlineStr">
        <is>
          <t>AI 1차 판정 완료, 시험검증 요청, QA 검증 완료 실시간 인앱 알림</t>
        </is>
      </c>
      <c r="H12" s="135" t="n">
        <v>1</v>
      </c>
      <c r="I12" s="112" t="n">
        <v>0</v>
      </c>
      <c r="J12" s="114" t="n">
        <v>0</v>
      </c>
      <c r="K12" s="119" t="inlineStr">
        <is>
          <t>SCR_GNB_02</t>
        </is>
      </c>
      <c r="L12" s="112" t="inlineStr">
        <is>
          <t>O</t>
        </is>
      </c>
      <c r="M12" s="112" t="inlineStr">
        <is>
          <t>-</t>
        </is>
      </c>
      <c r="N12" s="112" t="inlineStr">
        <is>
          <t>O</t>
        </is>
      </c>
      <c r="O12" s="112" t="inlineStr">
        <is>
          <t>-</t>
        </is>
      </c>
      <c r="P12" s="112" t="inlineStr">
        <is>
          <t>O</t>
        </is>
      </c>
      <c r="Q12" s="112" t="inlineStr">
        <is>
          <t>-</t>
        </is>
      </c>
      <c r="R12" s="138" t="n"/>
    </row>
    <row r="13">
      <c r="A13" s="103" t="n"/>
      <c r="B13" s="104" t="n"/>
      <c r="C13" s="104" t="n"/>
      <c r="D13" s="104" t="n"/>
      <c r="E13" s="104" t="n"/>
      <c r="F13" s="119" t="n"/>
      <c r="G13" s="105" t="n"/>
      <c r="H13" s="135" t="n"/>
      <c r="I13" s="112" t="n"/>
      <c r="J13" s="114" t="n"/>
      <c r="K13" s="119" t="n"/>
      <c r="L13" s="112" t="n"/>
      <c r="M13" s="112" t="n"/>
      <c r="N13" s="112" t="n"/>
      <c r="O13" s="112" t="n"/>
      <c r="P13" s="112" t="n"/>
      <c r="Q13" s="112" t="n"/>
      <c r="R13" s="138" t="n"/>
    </row>
    <row r="14">
      <c r="A14" s="103" t="n"/>
      <c r="B14" s="104" t="n"/>
      <c r="C14" s="104" t="n"/>
      <c r="D14" s="104" t="n"/>
      <c r="E14" s="104" t="n"/>
      <c r="F14" s="119" t="n"/>
      <c r="G14" s="105" t="n"/>
      <c r="H14" s="135" t="n"/>
      <c r="I14" s="112" t="n"/>
      <c r="J14" s="114" t="n"/>
      <c r="K14" s="119" t="n"/>
      <c r="L14" s="112" t="n"/>
      <c r="M14" s="112" t="n"/>
      <c r="N14" s="112" t="n"/>
      <c r="O14" s="112" t="n"/>
      <c r="P14" s="112" t="n"/>
      <c r="Q14" s="112" t="n"/>
      <c r="R14" s="138" t="n"/>
    </row>
    <row r="15">
      <c r="A15" s="109" t="inlineStr">
        <is>
          <t>F검증TER</t>
        </is>
      </c>
      <c r="B15" s="110" t="n"/>
      <c r="C15" s="110" t="n"/>
      <c r="D15" s="110" t="n"/>
      <c r="E15" s="110" t="n"/>
      <c r="F15" s="118" t="n"/>
      <c r="G15" s="111" t="n"/>
      <c r="H15" s="133">
        <f>SUM(H16:H25)</f>
        <v/>
      </c>
      <c r="I15" s="121">
        <f>SUM(I16:I25)</f>
        <v/>
      </c>
      <c r="J15" s="134">
        <f>SUM(J16:J25)</f>
        <v/>
      </c>
      <c r="K15" s="116" t="n"/>
      <c r="L15" s="110" t="n"/>
      <c r="M15" s="110" t="n"/>
      <c r="N15" s="110" t="n"/>
      <c r="O15" s="110" t="n"/>
      <c r="P15" s="110" t="n"/>
      <c r="Q15" s="110" t="n"/>
      <c r="R15" s="137" t="n"/>
    </row>
    <row r="16">
      <c r="A16" s="103" t="inlineStr">
        <is>
          <t>F검증TER</t>
        </is>
      </c>
      <c r="B16" s="104" t="inlineStr">
        <is>
          <t>하단 대외비 및 버전 안내</t>
        </is>
      </c>
      <c r="C16" s="104" t="inlineStr">
        <is>
          <t>-</t>
        </is>
      </c>
      <c r="D16" s="104" t="inlineStr">
        <is>
          <t>-</t>
        </is>
      </c>
      <c r="E16" s="104" t="inlineStr">
        <is>
          <t>-</t>
        </is>
      </c>
      <c r="F16" s="119" t="inlineStr">
        <is>
          <t>공통</t>
        </is>
      </c>
      <c r="G16" s="105" t="inlineStr">
        <is>
          <t>한빛글로벌 대외비(Confidential) 보안 고지 및 시스템 버전 표기</t>
        </is>
      </c>
      <c r="H16" s="135" t="n">
        <v>1</v>
      </c>
      <c r="I16" s="112" t="n">
        <v>0</v>
      </c>
      <c r="J16" s="114" t="n">
        <v>0</v>
      </c>
      <c r="K16" s="119" t="inlineStr">
        <is>
          <t>SCR_FTR_01</t>
        </is>
      </c>
      <c r="L16" s="112" t="inlineStr">
        <is>
          <t>O</t>
        </is>
      </c>
      <c r="M16" s="112" t="inlineStr">
        <is>
          <t>-</t>
        </is>
      </c>
      <c r="N16" s="112" t="inlineStr">
        <is>
          <t>O</t>
        </is>
      </c>
      <c r="O16" s="112" t="inlineStr">
        <is>
          <t>-</t>
        </is>
      </c>
      <c r="P16" s="112" t="inlineStr">
        <is>
          <t>O</t>
        </is>
      </c>
      <c r="Q16" s="112" t="inlineStr">
        <is>
          <t>-</t>
        </is>
      </c>
      <c r="R16" s="139" t="n"/>
    </row>
    <row r="17">
      <c r="A17" s="103" t="n"/>
      <c r="B17" s="104" t="n"/>
      <c r="C17" s="104" t="n"/>
      <c r="D17" s="104" t="n"/>
      <c r="E17" s="104" t="n"/>
      <c r="F17" s="119" t="n"/>
      <c r="G17" s="105" t="n"/>
      <c r="H17" s="135" t="n"/>
      <c r="I17" s="112" t="n"/>
      <c r="J17" s="114" t="n"/>
      <c r="K17" s="119" t="n"/>
      <c r="L17" s="112" t="n"/>
      <c r="M17" s="112" t="n"/>
      <c r="N17" s="112" t="n"/>
      <c r="O17" s="112" t="n"/>
      <c r="P17" s="112" t="n"/>
      <c r="Q17" s="112" t="n"/>
      <c r="R17" s="139" t="n"/>
    </row>
    <row r="18">
      <c r="A18" s="103" t="n"/>
      <c r="B18" s="104" t="n"/>
      <c r="C18" s="104" t="n"/>
      <c r="D18" s="104" t="n"/>
      <c r="E18" s="104" t="n"/>
      <c r="F18" s="119" t="n"/>
      <c r="G18" s="105" t="n"/>
      <c r="H18" s="135" t="n"/>
      <c r="I18" s="112" t="n"/>
      <c r="J18" s="114" t="n"/>
      <c r="K18" s="119" t="n"/>
      <c r="L18" s="112" t="n"/>
      <c r="M18" s="112" t="n"/>
      <c r="N18" s="112" t="n"/>
      <c r="O18" s="112" t="n"/>
      <c r="P18" s="112" t="n"/>
      <c r="Q18" s="112" t="n"/>
      <c r="R18" s="138" t="n"/>
    </row>
    <row r="19">
      <c r="A19" s="103" t="n"/>
      <c r="B19" s="104" t="n"/>
      <c r="C19" s="104" t="n"/>
      <c r="D19" s="104" t="n"/>
      <c r="E19" s="104" t="n"/>
      <c r="F19" s="119" t="n"/>
      <c r="G19" s="105" t="n"/>
      <c r="H19" s="135" t="n"/>
      <c r="I19" s="112" t="n"/>
      <c r="J19" s="114" t="n"/>
      <c r="K19" s="119" t="n"/>
      <c r="L19" s="112" t="n"/>
      <c r="M19" s="112" t="n"/>
      <c r="N19" s="112" t="n"/>
      <c r="O19" s="112" t="n"/>
      <c r="P19" s="112" t="n"/>
      <c r="Q19" s="112" t="n"/>
      <c r="R19" s="138" t="n"/>
    </row>
    <row r="20">
      <c r="A20" s="103" t="n"/>
      <c r="B20" s="104" t="n"/>
      <c r="C20" s="104" t="n"/>
      <c r="D20" s="104" t="n"/>
      <c r="E20" s="104" t="n"/>
      <c r="F20" s="119" t="n"/>
      <c r="G20" s="105" t="n"/>
      <c r="H20" s="135" t="n"/>
      <c r="I20" s="112" t="n"/>
      <c r="J20" s="114" t="n"/>
      <c r="K20" s="119" t="n"/>
      <c r="L20" s="112" t="n"/>
      <c r="M20" s="112" t="n"/>
      <c r="N20" s="112" t="n"/>
      <c r="O20" s="112" t="n"/>
      <c r="P20" s="112" t="n"/>
      <c r="Q20" s="112" t="n"/>
      <c r="R20" s="138" t="n"/>
    </row>
    <row r="21">
      <c r="A21" s="103" t="n"/>
      <c r="B21" s="104" t="n"/>
      <c r="C21" s="104" t="n"/>
      <c r="D21" s="104" t="n"/>
      <c r="E21" s="104" t="n"/>
      <c r="F21" s="119" t="n"/>
      <c r="G21" s="105" t="n"/>
      <c r="H21" s="135" t="n"/>
      <c r="I21" s="112" t="n"/>
      <c r="J21" s="114" t="n"/>
      <c r="K21" s="119" t="n"/>
      <c r="L21" s="112" t="n"/>
      <c r="M21" s="112" t="n"/>
      <c r="N21" s="112" t="n"/>
      <c r="O21" s="112" t="n"/>
      <c r="P21" s="112" t="n"/>
      <c r="Q21" s="112" t="n"/>
      <c r="R21" s="138" t="n"/>
    </row>
    <row r="22">
      <c r="A22" s="103" t="n"/>
      <c r="B22" s="104" t="n"/>
      <c r="C22" s="104" t="n"/>
      <c r="D22" s="104" t="n"/>
      <c r="E22" s="104" t="n"/>
      <c r="F22" s="119" t="n"/>
      <c r="G22" s="105" t="n"/>
      <c r="H22" s="135" t="n"/>
      <c r="I22" s="112" t="n"/>
      <c r="J22" s="114" t="n"/>
      <c r="K22" s="119" t="n"/>
      <c r="L22" s="112" t="n"/>
      <c r="M22" s="112" t="n"/>
      <c r="N22" s="112" t="n"/>
      <c r="O22" s="112" t="n"/>
      <c r="P22" s="112" t="n"/>
      <c r="Q22" s="112" t="n"/>
      <c r="R22" s="138" t="n"/>
    </row>
    <row r="23">
      <c r="A23" s="103" t="n"/>
      <c r="B23" s="104" t="n"/>
      <c r="C23" s="104" t="n"/>
      <c r="D23" s="104" t="n"/>
      <c r="E23" s="104" t="n"/>
      <c r="F23" s="119" t="n"/>
      <c r="G23" s="105" t="n"/>
      <c r="H23" s="135" t="n"/>
      <c r="I23" s="112" t="n"/>
      <c r="J23" s="114" t="n"/>
      <c r="K23" s="119" t="n"/>
      <c r="L23" s="112" t="n"/>
      <c r="M23" s="112" t="n"/>
      <c r="N23" s="112" t="n"/>
      <c r="O23" s="112" t="n"/>
      <c r="P23" s="112" t="n"/>
      <c r="Q23" s="112" t="n"/>
      <c r="R23" s="138" t="n"/>
    </row>
    <row r="24">
      <c r="A24" s="103" t="n"/>
      <c r="B24" s="104" t="n"/>
      <c r="C24" s="104" t="n"/>
      <c r="D24" s="104" t="n"/>
      <c r="E24" s="104" t="n"/>
      <c r="F24" s="119" t="n"/>
      <c r="G24" s="105" t="n"/>
      <c r="H24" s="135" t="n"/>
      <c r="I24" s="112" t="n"/>
      <c r="J24" s="114" t="n"/>
      <c r="K24" s="119" t="n"/>
      <c r="L24" s="112" t="n"/>
      <c r="M24" s="112" t="n"/>
      <c r="N24" s="112" t="n"/>
      <c r="O24" s="112" t="n"/>
      <c r="P24" s="112" t="n"/>
      <c r="Q24" s="112" t="n"/>
      <c r="R24" s="138" t="n"/>
    </row>
    <row r="25">
      <c r="A25" s="103" t="n"/>
      <c r="B25" s="104" t="n"/>
      <c r="C25" s="104" t="n"/>
      <c r="D25" s="104" t="n"/>
      <c r="E25" s="104" t="n"/>
      <c r="F25" s="119" t="n"/>
      <c r="G25" s="105" t="n"/>
      <c r="H25" s="135" t="n"/>
      <c r="I25" s="112" t="n"/>
      <c r="J25" s="114" t="n"/>
      <c r="K25" s="119" t="n"/>
      <c r="L25" s="112" t="n"/>
      <c r="M25" s="112" t="n"/>
      <c r="N25" s="112" t="n"/>
      <c r="O25" s="112" t="n"/>
      <c r="P25" s="112" t="n"/>
      <c r="Q25" s="112" t="n"/>
      <c r="R25" s="138" t="n"/>
    </row>
    <row r="26">
      <c r="A26" s="109" t="inlineStr">
        <is>
          <t>FO</t>
        </is>
      </c>
      <c r="B26" s="110" t="n"/>
      <c r="C26" s="110" t="n"/>
      <c r="D26" s="110" t="n"/>
      <c r="E26" s="110" t="n"/>
      <c r="F26" s="118" t="n"/>
      <c r="G26" s="111" t="n"/>
      <c r="H26" s="133">
        <f>SUM(H27:H65)</f>
        <v/>
      </c>
      <c r="I26" s="121">
        <f>SUM(I27:I65)</f>
        <v/>
      </c>
      <c r="J26" s="134">
        <f>SUM(J27:J65)</f>
        <v/>
      </c>
      <c r="K26" s="116" t="n"/>
      <c r="L26" s="110" t="n"/>
      <c r="M26" s="110" t="n"/>
      <c r="N26" s="110" t="n"/>
      <c r="O26" s="110" t="n"/>
      <c r="P26" s="110" t="n"/>
      <c r="Q26" s="110" t="n"/>
      <c r="R26" s="137" t="n"/>
    </row>
    <row r="27">
      <c r="A27" s="103" t="inlineStr">
        <is>
          <t>계약·규격검증 (FO)</t>
        </is>
      </c>
      <c r="B27" s="104" t="inlineStr">
        <is>
          <t>대시보드</t>
        </is>
      </c>
      <c r="C27" s="104" t="inlineStr">
        <is>
          <t>종합 검증 관제 대시보드</t>
        </is>
      </c>
      <c r="D27" s="104" t="inlineStr">
        <is>
          <t>-</t>
        </is>
      </c>
      <c r="E27" s="104" t="inlineStr">
        <is>
          <t>-</t>
        </is>
      </c>
      <c r="F27" s="119" t="inlineStr">
        <is>
          <t>화면</t>
        </is>
      </c>
      <c r="G27" s="105" t="inlineStr">
        <is>
          <t>개인/사업부별 검증 진행 현황 및 위험도 통계</t>
        </is>
      </c>
      <c r="H27" s="135" t="n">
        <v>1</v>
      </c>
      <c r="I27" s="112" t="n">
        <v>0</v>
      </c>
      <c r="J27" s="114" t="n">
        <v>0</v>
      </c>
      <c r="K27" s="119" t="inlineStr">
        <is>
          <t>SCR_DSH_01</t>
        </is>
      </c>
      <c r="L27" s="112" t="inlineStr">
        <is>
          <t>O</t>
        </is>
      </c>
      <c r="M27" s="112" t="inlineStr">
        <is>
          <t>-</t>
        </is>
      </c>
      <c r="N27" s="112" t="inlineStr">
        <is>
          <t>O</t>
        </is>
      </c>
      <c r="O27" s="112" t="inlineStr">
        <is>
          <t>-</t>
        </is>
      </c>
      <c r="P27" s="112" t="inlineStr">
        <is>
          <t>O</t>
        </is>
      </c>
      <c r="Q27" s="112" t="inlineStr">
        <is>
          <t>-</t>
        </is>
      </c>
      <c r="R27" s="138" t="n"/>
    </row>
    <row r="28">
      <c r="A28" s="103" t="inlineStr">
        <is>
          <t>계약·규격검증 (FO)</t>
        </is>
      </c>
      <c r="B28" s="104" t="inlineStr">
        <is>
          <t>신규 검증 요청</t>
        </is>
      </c>
      <c r="C28" s="104" t="inlineStr">
        <is>
          <t>계약·도서 및 설계도면 업로드</t>
        </is>
      </c>
      <c r="D28" s="104" t="inlineStr">
        <is>
          <t>-</t>
        </is>
      </c>
      <c r="E28" s="104" t="inlineStr">
        <is>
          <t>-</t>
        </is>
      </c>
      <c r="F28" s="119" t="inlineStr">
        <is>
          <t>화면</t>
        </is>
      </c>
      <c r="G28" s="105" t="inlineStr">
        <is>
          <t>PPTX/PDF/긴JPG 업로드 및 전자구매포털 의뢰건 자동 수신 확인</t>
        </is>
      </c>
      <c r="H28" s="135" t="n">
        <v>1</v>
      </c>
      <c r="I28" s="112" t="n">
        <v>0</v>
      </c>
      <c r="J28" s="114" t="n">
        <v>0</v>
      </c>
      <c r="K28" s="119" t="inlineStr">
        <is>
          <t>SCR_REV_01</t>
        </is>
      </c>
      <c r="L28" s="112" t="inlineStr">
        <is>
          <t>O</t>
        </is>
      </c>
      <c r="M28" s="112" t="inlineStr">
        <is>
          <t>O</t>
        </is>
      </c>
      <c r="N28" s="112" t="inlineStr">
        <is>
          <t>O</t>
        </is>
      </c>
      <c r="O28" s="112" t="inlineStr">
        <is>
          <t>O</t>
        </is>
      </c>
      <c r="P28" s="112" t="inlineStr">
        <is>
          <t>O</t>
        </is>
      </c>
      <c r="Q28" s="112" t="inlineStr">
        <is>
          <t>O</t>
        </is>
      </c>
      <c r="R28" s="138" t="n"/>
    </row>
    <row r="29">
      <c r="A29" s="103" t="inlineStr">
        <is>
          <t>계약·규격검증 (FO)</t>
        </is>
      </c>
      <c r="B29" s="104" t="inlineStr">
        <is>
          <t>신규 검증 요청</t>
        </is>
      </c>
      <c r="C29" s="104" t="inlineStr">
        <is>
          <t>CAD/PDF 설계도면 규격영역 스냅샷 추출</t>
        </is>
      </c>
      <c r="D29" s="104" t="inlineStr">
        <is>
          <t>-</t>
        </is>
      </c>
      <c r="E29" s="104" t="inlineStr">
        <is>
          <t>-</t>
        </is>
      </c>
      <c r="F29" s="119" t="inlineStr">
        <is>
          <t>화면</t>
        </is>
      </c>
      <c r="G29" s="105" t="inlineStr">
        <is>
          <t>CAD 설계도면 재생 중 검증할 다중 장면을 사용자가 직접 스냅샷·저장 후 일괄 검증</t>
        </is>
      </c>
      <c r="H29" s="135" t="n">
        <v>1</v>
      </c>
      <c r="I29" s="112" t="n">
        <v>0</v>
      </c>
      <c r="J29" s="114" t="n">
        <v>0</v>
      </c>
      <c r="K29" s="119" t="inlineStr">
        <is>
          <t>SCR_REV_01_V</t>
        </is>
      </c>
      <c r="L29" s="112" t="inlineStr">
        <is>
          <t>O</t>
        </is>
      </c>
      <c r="M29" s="112" t="inlineStr">
        <is>
          <t>O</t>
        </is>
      </c>
      <c r="N29" s="112" t="inlineStr">
        <is>
          <t>O</t>
        </is>
      </c>
      <c r="O29" s="112" t="inlineStr">
        <is>
          <t>O</t>
        </is>
      </c>
      <c r="P29" s="112" t="inlineStr">
        <is>
          <t>O</t>
        </is>
      </c>
      <c r="Q29" s="112" t="inlineStr">
        <is>
          <t>O</t>
        </is>
      </c>
      <c r="R29" s="138" t="n"/>
    </row>
    <row r="30">
      <c r="A30" s="103" t="inlineStr">
        <is>
          <t>계약·규격검증 (FO)</t>
        </is>
      </c>
      <c r="B30" s="104" t="inlineStr">
        <is>
          <t>신규 검증 요청</t>
        </is>
      </c>
      <c r="C30" s="104" t="inlineStr">
        <is>
          <t>AI 3단계 자동 판정 콘솔</t>
        </is>
      </c>
      <c r="D30" s="104" t="inlineStr">
        <is>
          <t>-</t>
        </is>
      </c>
      <c r="E30" s="104" t="inlineStr">
        <is>
          <t>-</t>
        </is>
      </c>
      <c r="F30" s="119" t="inlineStr">
        <is>
          <t>화면</t>
        </is>
      </c>
      <c r="G30" s="105" t="inlineStr">
        <is>
          <t>표현사전·자재BOM 룰 ➔ 공정위·표준원 법령·PLM-Nexus 시험검증 RAG ➔ 비학습 LLM 판정</t>
        </is>
      </c>
      <c r="H30" s="135" t="n">
        <v>1</v>
      </c>
      <c r="I30" s="112" t="n">
        <v>0</v>
      </c>
      <c r="J30" s="114" t="n">
        <v>0</v>
      </c>
      <c r="K30" s="119" t="inlineStr">
        <is>
          <t>SCR_REV_02</t>
        </is>
      </c>
      <c r="L30" s="112" t="inlineStr">
        <is>
          <t>O</t>
        </is>
      </c>
      <c r="M30" s="112" t="inlineStr">
        <is>
          <t>O</t>
        </is>
      </c>
      <c r="N30" s="112" t="inlineStr">
        <is>
          <t>O</t>
        </is>
      </c>
      <c r="O30" s="112" t="inlineStr">
        <is>
          <t>O</t>
        </is>
      </c>
      <c r="P30" s="112" t="inlineStr">
        <is>
          <t>O</t>
        </is>
      </c>
      <c r="Q30" s="112" t="inlineStr">
        <is>
          <t>-</t>
        </is>
      </c>
      <c r="R30" s="138" t="n"/>
    </row>
    <row r="31">
      <c r="A31" s="103" t="inlineStr">
        <is>
          <t>계약·규격검증 (FO)</t>
        </is>
      </c>
      <c r="B31" s="104" t="inlineStr">
        <is>
          <t>신규 검증 요청</t>
        </is>
      </c>
      <c r="C31" s="104" t="inlineStr">
        <is>
          <t>Side-by-Side 대조 및 표준대안 치환</t>
        </is>
      </c>
      <c r="D31" s="104" t="inlineStr">
        <is>
          <t>-</t>
        </is>
      </c>
      <c r="E31" s="104" t="inlineStr">
        <is>
          <t>-</t>
        </is>
      </c>
      <c r="F31" s="119" t="inlineStr">
        <is>
          <t>화면</t>
        </is>
      </c>
      <c r="G31" s="105" t="inlineStr">
        <is>
          <t>계약·도서/스냅샷장면 바운딩박스 하이라이트 동기화 및 법적 안전 표준수정조항 채택</t>
        </is>
      </c>
      <c r="H31" s="135" t="n">
        <v>1</v>
      </c>
      <c r="I31" s="112" t="n">
        <v>0</v>
      </c>
      <c r="J31" s="114" t="n">
        <v>0</v>
      </c>
      <c r="K31" s="119" t="inlineStr">
        <is>
          <t>SCR_REV_03</t>
        </is>
      </c>
      <c r="L31" s="112" t="inlineStr">
        <is>
          <t>O</t>
        </is>
      </c>
      <c r="M31" s="112" t="inlineStr">
        <is>
          <t>O</t>
        </is>
      </c>
      <c r="N31" s="112" t="inlineStr">
        <is>
          <t>O</t>
        </is>
      </c>
      <c r="O31" s="112" t="inlineStr">
        <is>
          <t>O</t>
        </is>
      </c>
      <c r="P31" s="112" t="inlineStr">
        <is>
          <t>O</t>
        </is>
      </c>
      <c r="Q31" s="112" t="inlineStr">
        <is>
          <t>O</t>
        </is>
      </c>
      <c r="R31" s="138" t="n"/>
    </row>
    <row r="32">
      <c r="A32" s="103" t="inlineStr">
        <is>
          <t>계약·규격검증 (FO)</t>
        </is>
      </c>
      <c r="B32" s="104" t="inlineStr">
        <is>
          <t>신규 검증 요청</t>
        </is>
      </c>
      <c r="C32" s="104" t="inlineStr">
        <is>
          <t>시험성적서 매핑 및 소명 메모</t>
        </is>
      </c>
      <c r="D32" s="104" t="inlineStr">
        <is>
          <t>-</t>
        </is>
      </c>
      <c r="E32" s="104" t="inlineStr">
        <is>
          <t>-</t>
        </is>
      </c>
      <c r="F32" s="119" t="inlineStr">
        <is>
          <t>화면</t>
        </is>
      </c>
      <c r="G32" s="105" t="inlineStr">
        <is>
          <t>PLM-Nexus 공인신뢰성시험·성능규격 성적서 연결 및 연구원 시험검증 확인</t>
        </is>
      </c>
      <c r="H32" s="135" t="n">
        <v>1</v>
      </c>
      <c r="I32" s="112" t="n">
        <v>0</v>
      </c>
      <c r="J32" s="114" t="n">
        <v>0</v>
      </c>
      <c r="K32" s="119" t="inlineStr">
        <is>
          <t>SCR_REV_04</t>
        </is>
      </c>
      <c r="L32" s="112" t="inlineStr">
        <is>
          <t>O</t>
        </is>
      </c>
      <c r="M32" s="112" t="inlineStr">
        <is>
          <t>O</t>
        </is>
      </c>
      <c r="N32" s="112" t="inlineStr">
        <is>
          <t>O</t>
        </is>
      </c>
      <c r="O32" s="112" t="inlineStr">
        <is>
          <t>O</t>
        </is>
      </c>
      <c r="P32" s="112" t="inlineStr">
        <is>
          <t>O</t>
        </is>
      </c>
      <c r="Q32" s="112" t="inlineStr">
        <is>
          <t>O</t>
        </is>
      </c>
      <c r="R32" s="138" t="n"/>
    </row>
    <row r="33">
      <c r="A33" s="103" t="inlineStr">
        <is>
          <t>법무·QA 전문검토 (FO)</t>
        </is>
      </c>
      <c r="B33" s="104" t="inlineStr">
        <is>
          <t>검증 접수 대기</t>
        </is>
      </c>
      <c r="C33" s="104" t="inlineStr">
        <is>
          <t>QA 검증 접수 목록 그리드</t>
        </is>
      </c>
      <c r="D33" s="104" t="inlineStr">
        <is>
          <t>-</t>
        </is>
      </c>
      <c r="E33" s="104" t="inlineStr">
        <is>
          <t>-</t>
        </is>
      </c>
      <c r="F33" s="119" t="inlineStr">
        <is>
          <t>화면</t>
        </is>
      </c>
      <c r="G33" s="105" t="inlineStr">
        <is>
          <t>긴급도/위험도 필터링 및 담당 검토역 배정</t>
        </is>
      </c>
      <c r="H33" s="135" t="n">
        <v>1</v>
      </c>
      <c r="I33" s="112" t="n">
        <v>0</v>
      </c>
      <c r="J33" s="114" t="n">
        <v>0</v>
      </c>
      <c r="K33" s="119" t="inlineStr">
        <is>
          <t>SCR_QAL_01</t>
        </is>
      </c>
      <c r="L33" s="112" t="inlineStr">
        <is>
          <t>O</t>
        </is>
      </c>
      <c r="M33" s="112" t="inlineStr">
        <is>
          <t>O</t>
        </is>
      </c>
      <c r="N33" s="112" t="inlineStr">
        <is>
          <t>O</t>
        </is>
      </c>
      <c r="O33" s="112" t="inlineStr">
        <is>
          <t>O</t>
        </is>
      </c>
      <c r="P33" s="112" t="inlineStr">
        <is>
          <t>-</t>
        </is>
      </c>
      <c r="Q33" s="112" t="inlineStr">
        <is>
          <t>-</t>
        </is>
      </c>
      <c r="R33" s="138" t="n"/>
    </row>
    <row r="34">
      <c r="A34" s="103" t="inlineStr">
        <is>
          <t>법무·QA 전문검토 (FO)</t>
        </is>
      </c>
      <c r="B34" s="104" t="inlineStr">
        <is>
          <t>전문 검증 판정</t>
        </is>
      </c>
      <c r="C34" s="104" t="inlineStr">
        <is>
          <t>법무·QA 판정 및 원클릭 피드백 콘솔</t>
        </is>
      </c>
      <c r="D34" s="104" t="inlineStr">
        <is>
          <t>-</t>
        </is>
      </c>
      <c r="E34" s="104" t="inlineStr">
        <is>
          <t>-</t>
        </is>
      </c>
      <c r="F34" s="119" t="inlineStr">
        <is>
          <t>화면</t>
        </is>
      </c>
      <c r="G34" s="105" t="inlineStr">
        <is>
          <t>AI 판정 오버라이드, 최종 의견 작성, 승인/반려 확정 및 전자구매포털 회신</t>
        </is>
      </c>
      <c r="H34" s="135" t="n">
        <v>1</v>
      </c>
      <c r="I34" s="112" t="n">
        <v>0</v>
      </c>
      <c r="J34" s="114" t="n">
        <v>0</v>
      </c>
      <c r="K34" s="119" t="inlineStr">
        <is>
          <t>SCR_QAL_02</t>
        </is>
      </c>
      <c r="L34" s="112" t="inlineStr">
        <is>
          <t>O</t>
        </is>
      </c>
      <c r="M34" s="112" t="inlineStr">
        <is>
          <t>O</t>
        </is>
      </c>
      <c r="N34" s="112" t="inlineStr">
        <is>
          <t>O</t>
        </is>
      </c>
      <c r="O34" s="112" t="inlineStr">
        <is>
          <t>O</t>
        </is>
      </c>
      <c r="P34" s="112" t="inlineStr">
        <is>
          <t>-</t>
        </is>
      </c>
      <c r="Q34" s="112" t="inlineStr">
        <is>
          <t>-</t>
        </is>
      </c>
      <c r="R34" s="138" t="n"/>
    </row>
    <row r="35">
      <c r="A35" s="103" t="inlineStr">
        <is>
          <t>법무·QA 전문검토 (FO)</t>
        </is>
      </c>
      <c r="B35" s="104" t="inlineStr">
        <is>
          <t>검증 확정 리포트</t>
        </is>
      </c>
      <c r="C35" s="104" t="inlineStr">
        <is>
          <t>검증 결과 리포트(PDF/Word) 출력</t>
        </is>
      </c>
      <c r="D35" s="104" t="inlineStr">
        <is>
          <t>-</t>
        </is>
      </c>
      <c r="E35" s="104" t="inlineStr">
        <is>
          <t>-</t>
        </is>
      </c>
      <c r="F35" s="119" t="inlineStr">
        <is>
          <t>화면</t>
        </is>
      </c>
      <c r="G35" s="105" t="inlineStr">
        <is>
          <t>문장/장면별 판정·법령근거·표준수정조항 종합 리포트 다운로드</t>
        </is>
      </c>
      <c r="H35" s="135" t="n">
        <v>1</v>
      </c>
      <c r="I35" s="112" t="n">
        <v>0</v>
      </c>
      <c r="J35" s="114" t="n">
        <v>0</v>
      </c>
      <c r="K35" s="119" t="inlineStr">
        <is>
          <t>SCR_QAL_03</t>
        </is>
      </c>
      <c r="L35" s="112" t="inlineStr">
        <is>
          <t>O</t>
        </is>
      </c>
      <c r="M35" s="112" t="inlineStr">
        <is>
          <t>-</t>
        </is>
      </c>
      <c r="N35" s="112" t="inlineStr">
        <is>
          <t>O</t>
        </is>
      </c>
      <c r="O35" s="112" t="inlineStr">
        <is>
          <t>-</t>
        </is>
      </c>
      <c r="P35" s="112" t="inlineStr">
        <is>
          <t>O</t>
        </is>
      </c>
      <c r="Q35" s="112" t="inlineStr">
        <is>
          <t>-</t>
        </is>
      </c>
      <c r="R35" s="138" t="n"/>
    </row>
    <row r="36">
      <c r="A36" s="103" t="inlineStr">
        <is>
          <t>이력조회 (FO)</t>
        </is>
      </c>
      <c r="B36" s="104" t="inlineStr">
        <is>
          <t>검증 이력 목록</t>
        </is>
      </c>
      <c r="C36" s="104" t="inlineStr">
        <is>
          <t>전체 검증 이력 다차원 검색</t>
        </is>
      </c>
      <c r="D36" s="104" t="inlineStr">
        <is>
          <t>-</t>
        </is>
      </c>
      <c r="E36" s="104" t="inlineStr">
        <is>
          <t>-</t>
        </is>
      </c>
      <c r="F36" s="119" t="inlineStr">
        <is>
          <t>화면</t>
        </is>
      </c>
      <c r="G36" s="105" t="inlineStr">
        <is>
          <t>사업본부/제품/키워드/시맨틱 유사 판정 사례 검색</t>
        </is>
      </c>
      <c r="H36" s="135" t="n">
        <v>1</v>
      </c>
      <c r="I36" s="112" t="n">
        <v>0</v>
      </c>
      <c r="J36" s="114" t="n">
        <v>0</v>
      </c>
      <c r="K36" s="119" t="inlineStr">
        <is>
          <t>SCR_HIS_01</t>
        </is>
      </c>
      <c r="L36" s="112" t="inlineStr">
        <is>
          <t>O</t>
        </is>
      </c>
      <c r="M36" s="112" t="inlineStr">
        <is>
          <t>-</t>
        </is>
      </c>
      <c r="N36" s="112" t="inlineStr">
        <is>
          <t>O</t>
        </is>
      </c>
      <c r="O36" s="112" t="inlineStr">
        <is>
          <t>-</t>
        </is>
      </c>
      <c r="P36" s="112" t="inlineStr">
        <is>
          <t>O</t>
        </is>
      </c>
      <c r="Q36" s="112" t="inlineStr">
        <is>
          <t>-</t>
        </is>
      </c>
      <c r="R36" s="138" t="n"/>
    </row>
    <row r="37">
      <c r="A37" s="103" t="inlineStr">
        <is>
          <t>이력조회 (FO)</t>
        </is>
      </c>
      <c r="B37" s="104" t="inlineStr">
        <is>
          <t>버전 비교(Diff)</t>
        </is>
      </c>
      <c r="C37" s="104" t="inlineStr">
        <is>
          <t>계약·도서 버전별 계약조항 변경 비교 뷰어</t>
        </is>
      </c>
      <c r="D37" s="104" t="inlineStr">
        <is>
          <t>-</t>
        </is>
      </c>
      <c r="E37" s="104" t="inlineStr">
        <is>
          <t>-</t>
        </is>
      </c>
      <c r="F37" s="119" t="inlineStr">
        <is>
          <t>화면</t>
        </is>
      </c>
      <c r="G37" s="105" t="inlineStr">
        <is>
          <t>수정 전·후 계약·도서 조항 및 판정 등급 변화 비교</t>
        </is>
      </c>
      <c r="H37" s="135" t="n">
        <v>1</v>
      </c>
      <c r="I37" s="112" t="n">
        <v>0</v>
      </c>
      <c r="J37" s="114" t="n">
        <v>0</v>
      </c>
      <c r="K37" s="119" t="inlineStr">
        <is>
          <t>SCR_HIS_02</t>
        </is>
      </c>
      <c r="L37" s="112" t="inlineStr">
        <is>
          <t>O</t>
        </is>
      </c>
      <c r="M37" s="112" t="inlineStr">
        <is>
          <t>-</t>
        </is>
      </c>
      <c r="N37" s="112" t="inlineStr">
        <is>
          <t>O</t>
        </is>
      </c>
      <c r="O37" s="112" t="inlineStr">
        <is>
          <t>-</t>
        </is>
      </c>
      <c r="P37" s="112" t="inlineStr">
        <is>
          <t>O</t>
        </is>
      </c>
      <c r="Q37" s="112" t="inlineStr">
        <is>
          <t>-</t>
        </is>
      </c>
      <c r="R37" s="138" t="n"/>
    </row>
    <row r="38">
      <c r="A38" s="103" t="n"/>
      <c r="B38" s="104" t="n"/>
      <c r="C38" s="104" t="n"/>
      <c r="D38" s="104" t="n"/>
      <c r="E38" s="104" t="n"/>
      <c r="F38" s="119" t="n"/>
      <c r="G38" s="105" t="n"/>
      <c r="H38" s="135" t="n"/>
      <c r="I38" s="112" t="n"/>
      <c r="J38" s="114" t="n"/>
      <c r="K38" s="119" t="n"/>
      <c r="L38" s="112" t="n"/>
      <c r="M38" s="112" t="n"/>
      <c r="N38" s="112" t="n"/>
      <c r="O38" s="112" t="n"/>
      <c r="P38" s="112" t="n"/>
      <c r="Q38" s="112" t="n"/>
      <c r="R38" s="138" t="n"/>
    </row>
    <row r="39">
      <c r="A39" s="103" t="n"/>
      <c r="B39" s="104" t="n"/>
      <c r="C39" s="104" t="n"/>
      <c r="D39" s="104" t="n"/>
      <c r="E39" s="104" t="n"/>
      <c r="F39" s="119" t="n"/>
      <c r="G39" s="105" t="n"/>
      <c r="H39" s="135" t="n"/>
      <c r="I39" s="112" t="n"/>
      <c r="J39" s="114" t="n"/>
      <c r="K39" s="119" t="n"/>
      <c r="L39" s="112" t="n"/>
      <c r="M39" s="112" t="n"/>
      <c r="N39" s="112" t="n"/>
      <c r="O39" s="112" t="n"/>
      <c r="P39" s="112" t="n"/>
      <c r="Q39" s="112" t="n"/>
      <c r="R39" s="138" t="n"/>
    </row>
    <row r="40">
      <c r="A40" s="103" t="n"/>
      <c r="B40" s="104" t="n"/>
      <c r="C40" s="104" t="n"/>
      <c r="D40" s="104" t="n"/>
      <c r="E40" s="104" t="n"/>
      <c r="F40" s="119" t="n"/>
      <c r="G40" s="105" t="n"/>
      <c r="H40" s="135" t="n"/>
      <c r="I40" s="112" t="n"/>
      <c r="J40" s="114" t="n"/>
      <c r="K40" s="119" t="n"/>
      <c r="L40" s="112" t="n"/>
      <c r="M40" s="112" t="n"/>
      <c r="N40" s="112" t="n"/>
      <c r="O40" s="112" t="n"/>
      <c r="P40" s="112" t="n"/>
      <c r="Q40" s="112" t="n"/>
      <c r="R40" s="138" t="n"/>
    </row>
    <row r="41">
      <c r="A41" s="103" t="n"/>
      <c r="B41" s="104" t="n"/>
      <c r="C41" s="104" t="n"/>
      <c r="D41" s="104" t="n"/>
      <c r="E41" s="104" t="n"/>
      <c r="F41" s="119" t="n"/>
      <c r="G41" s="105" t="n"/>
      <c r="H41" s="135" t="n"/>
      <c r="I41" s="112" t="n"/>
      <c r="J41" s="114" t="n"/>
      <c r="K41" s="119" t="n"/>
      <c r="L41" s="112" t="n"/>
      <c r="M41" s="112" t="n"/>
      <c r="N41" s="112" t="n"/>
      <c r="O41" s="112" t="n"/>
      <c r="P41" s="112" t="n"/>
      <c r="Q41" s="112" t="n"/>
      <c r="R41" s="138" t="n"/>
    </row>
    <row r="42">
      <c r="A42" s="103" t="n"/>
      <c r="B42" s="104" t="n"/>
      <c r="C42" s="104" t="n"/>
      <c r="D42" s="104" t="n"/>
      <c r="E42" s="104" t="n"/>
      <c r="F42" s="119" t="n"/>
      <c r="G42" s="105" t="n"/>
      <c r="H42" s="135" t="n"/>
      <c r="I42" s="112" t="n"/>
      <c r="J42" s="114" t="n"/>
      <c r="K42" s="119" t="n"/>
      <c r="L42" s="112" t="n"/>
      <c r="M42" s="112" t="n"/>
      <c r="N42" s="112" t="n"/>
      <c r="O42" s="112" t="n"/>
      <c r="P42" s="112" t="n"/>
      <c r="Q42" s="112" t="n"/>
      <c r="R42" s="138" t="n"/>
    </row>
    <row r="43">
      <c r="A43" s="103" t="n"/>
      <c r="B43" s="104" t="n"/>
      <c r="C43" s="104" t="n"/>
      <c r="D43" s="104" t="n"/>
      <c r="E43" s="104" t="n"/>
      <c r="F43" s="119" t="n"/>
      <c r="G43" s="105" t="n"/>
      <c r="H43" s="135" t="n"/>
      <c r="I43" s="112" t="n"/>
      <c r="J43" s="114" t="n"/>
      <c r="K43" s="119" t="n"/>
      <c r="L43" s="112" t="n"/>
      <c r="M43" s="112" t="n"/>
      <c r="N43" s="112" t="n"/>
      <c r="O43" s="112" t="n"/>
      <c r="P43" s="112" t="n"/>
      <c r="Q43" s="112" t="n"/>
      <c r="R43" s="138" t="n"/>
    </row>
    <row r="44">
      <c r="A44" s="103" t="n"/>
      <c r="B44" s="104" t="n"/>
      <c r="C44" s="104" t="n"/>
      <c r="D44" s="104" t="n"/>
      <c r="E44" s="104" t="n"/>
      <c r="F44" s="119" t="n"/>
      <c r="G44" s="105" t="n"/>
      <c r="H44" s="135" t="n"/>
      <c r="I44" s="112" t="n"/>
      <c r="J44" s="114" t="n"/>
      <c r="K44" s="119" t="n"/>
      <c r="L44" s="112" t="n"/>
      <c r="M44" s="112" t="n"/>
      <c r="N44" s="112" t="n"/>
      <c r="O44" s="112" t="n"/>
      <c r="P44" s="112" t="n"/>
      <c r="Q44" s="112" t="n"/>
      <c r="R44" s="138" t="n"/>
    </row>
    <row r="45">
      <c r="A45" s="103" t="n"/>
      <c r="B45" s="104" t="n"/>
      <c r="C45" s="104" t="n"/>
      <c r="D45" s="104" t="n"/>
      <c r="E45" s="104" t="n"/>
      <c r="F45" s="119" t="n"/>
      <c r="G45" s="105" t="n"/>
      <c r="H45" s="135" t="n"/>
      <c r="I45" s="112" t="n"/>
      <c r="J45" s="114" t="n"/>
      <c r="K45" s="119" t="n"/>
      <c r="L45" s="112" t="n"/>
      <c r="M45" s="112" t="n"/>
      <c r="N45" s="112" t="n"/>
      <c r="O45" s="112" t="n"/>
      <c r="P45" s="112" t="n"/>
      <c r="Q45" s="112" t="n"/>
      <c r="R45" s="138" t="n"/>
    </row>
    <row r="46">
      <c r="A46" s="103" t="n"/>
      <c r="B46" s="104" t="n"/>
      <c r="C46" s="104" t="n"/>
      <c r="D46" s="104" t="n"/>
      <c r="E46" s="104" t="n"/>
      <c r="F46" s="119" t="n"/>
      <c r="G46" s="105" t="n"/>
      <c r="H46" s="135" t="n"/>
      <c r="I46" s="112" t="n"/>
      <c r="J46" s="114" t="n"/>
      <c r="K46" s="119" t="n"/>
      <c r="L46" s="112" t="n"/>
      <c r="M46" s="112" t="n"/>
      <c r="N46" s="112" t="n"/>
      <c r="O46" s="112" t="n"/>
      <c r="P46" s="112" t="n"/>
      <c r="Q46" s="112" t="n"/>
      <c r="R46" s="138" t="n"/>
    </row>
    <row r="47">
      <c r="A47" s="103" t="n"/>
      <c r="B47" s="104" t="n"/>
      <c r="C47" s="104" t="n"/>
      <c r="D47" s="104" t="n"/>
      <c r="E47" s="104" t="n"/>
      <c r="F47" s="119" t="n"/>
      <c r="G47" s="105" t="n"/>
      <c r="H47" s="135" t="n"/>
      <c r="I47" s="112" t="n"/>
      <c r="J47" s="114" t="n"/>
      <c r="K47" s="119" t="n"/>
      <c r="L47" s="112" t="n"/>
      <c r="M47" s="112" t="n"/>
      <c r="N47" s="112" t="n"/>
      <c r="O47" s="112" t="n"/>
      <c r="P47" s="112" t="n"/>
      <c r="Q47" s="112" t="n"/>
      <c r="R47" s="138" t="n"/>
    </row>
    <row r="48">
      <c r="A48" s="103" t="n"/>
      <c r="B48" s="104" t="n"/>
      <c r="C48" s="104" t="n"/>
      <c r="D48" s="104" t="n"/>
      <c r="E48" s="104" t="n"/>
      <c r="F48" s="119" t="n"/>
      <c r="G48" s="105" t="n"/>
      <c r="H48" s="135" t="n"/>
      <c r="I48" s="112" t="n"/>
      <c r="J48" s="114" t="n"/>
      <c r="K48" s="119" t="n"/>
      <c r="L48" s="112" t="n"/>
      <c r="M48" s="112" t="n"/>
      <c r="N48" s="112" t="n"/>
      <c r="O48" s="112" t="n"/>
      <c r="P48" s="112" t="n"/>
      <c r="Q48" s="112" t="n"/>
      <c r="R48" s="138" t="n"/>
    </row>
    <row r="49">
      <c r="A49" s="103" t="n"/>
      <c r="B49" s="104" t="n"/>
      <c r="C49" s="104" t="n"/>
      <c r="D49" s="104" t="n"/>
      <c r="E49" s="104" t="n"/>
      <c r="F49" s="119" t="n"/>
      <c r="G49" s="105" t="n"/>
      <c r="H49" s="135" t="n"/>
      <c r="I49" s="112" t="n"/>
      <c r="J49" s="114" t="n"/>
      <c r="K49" s="119" t="n"/>
      <c r="L49" s="112" t="n"/>
      <c r="M49" s="112" t="n"/>
      <c r="N49" s="112" t="n"/>
      <c r="O49" s="112" t="n"/>
      <c r="P49" s="112" t="n"/>
      <c r="Q49" s="112" t="n"/>
      <c r="R49" s="138" t="n"/>
    </row>
    <row r="50">
      <c r="A50" s="103" t="n"/>
      <c r="B50" s="104" t="n"/>
      <c r="C50" s="104" t="n"/>
      <c r="D50" s="104" t="n"/>
      <c r="E50" s="104" t="n"/>
      <c r="F50" s="119" t="n"/>
      <c r="G50" s="105" t="n"/>
      <c r="H50" s="135" t="n"/>
      <c r="I50" s="112" t="n"/>
      <c r="J50" s="114" t="n"/>
      <c r="K50" s="119" t="n"/>
      <c r="L50" s="112" t="n"/>
      <c r="M50" s="112" t="n"/>
      <c r="N50" s="112" t="n"/>
      <c r="O50" s="112" t="n"/>
      <c r="P50" s="112" t="n"/>
      <c r="Q50" s="112" t="n"/>
      <c r="R50" s="138" t="n"/>
    </row>
    <row r="51">
      <c r="A51" s="103" t="n"/>
      <c r="B51" s="104" t="n"/>
      <c r="C51" s="104" t="n"/>
      <c r="D51" s="104" t="n"/>
      <c r="E51" s="104" t="n"/>
      <c r="F51" s="119" t="n"/>
      <c r="G51" s="105" t="n"/>
      <c r="H51" s="135" t="n"/>
      <c r="I51" s="112" t="n"/>
      <c r="J51" s="114" t="n"/>
      <c r="K51" s="119" t="n"/>
      <c r="L51" s="112" t="n"/>
      <c r="M51" s="112" t="n"/>
      <c r="N51" s="112" t="n"/>
      <c r="O51" s="112" t="n"/>
      <c r="P51" s="112" t="n"/>
      <c r="Q51" s="112" t="n"/>
      <c r="R51" s="138" t="n"/>
    </row>
    <row r="52">
      <c r="A52" s="103" t="n"/>
      <c r="B52" s="104" t="n"/>
      <c r="C52" s="104" t="n"/>
      <c r="D52" s="104" t="n"/>
      <c r="E52" s="104" t="n"/>
      <c r="F52" s="119" t="n"/>
      <c r="G52" s="105" t="n"/>
      <c r="H52" s="135" t="n"/>
      <c r="I52" s="112" t="n"/>
      <c r="J52" s="114" t="n"/>
      <c r="K52" s="119" t="n"/>
      <c r="L52" s="112" t="n"/>
      <c r="M52" s="112" t="n"/>
      <c r="N52" s="112" t="n"/>
      <c r="O52" s="112" t="n"/>
      <c r="P52" s="112" t="n"/>
      <c r="Q52" s="112" t="n"/>
      <c r="R52" s="138" t="n"/>
    </row>
    <row r="53">
      <c r="A53" s="103" t="n"/>
      <c r="B53" s="104" t="n"/>
      <c r="C53" s="104" t="n"/>
      <c r="D53" s="104" t="n"/>
      <c r="E53" s="104" t="n"/>
      <c r="F53" s="119" t="n"/>
      <c r="G53" s="105" t="n"/>
      <c r="H53" s="135" t="n"/>
      <c r="I53" s="112" t="n"/>
      <c r="J53" s="114" t="n"/>
      <c r="K53" s="119" t="n"/>
      <c r="L53" s="112" t="n"/>
      <c r="M53" s="112" t="n"/>
      <c r="N53" s="112" t="n"/>
      <c r="O53" s="112" t="n"/>
      <c r="P53" s="112" t="n"/>
      <c r="Q53" s="112" t="n"/>
      <c r="R53" s="138" t="n"/>
    </row>
    <row r="54">
      <c r="A54" s="103" t="n"/>
      <c r="B54" s="104" t="n"/>
      <c r="C54" s="104" t="n"/>
      <c r="D54" s="104" t="n"/>
      <c r="E54" s="104" t="n"/>
      <c r="F54" s="119" t="n"/>
      <c r="G54" s="105" t="n"/>
      <c r="H54" s="135" t="n"/>
      <c r="I54" s="112" t="n"/>
      <c r="J54" s="114" t="n"/>
      <c r="K54" s="119" t="n"/>
      <c r="L54" s="112" t="n"/>
      <c r="M54" s="112" t="n"/>
      <c r="N54" s="112" t="n"/>
      <c r="O54" s="112" t="n"/>
      <c r="P54" s="112" t="n"/>
      <c r="Q54" s="112" t="n"/>
      <c r="R54" s="138" t="n"/>
    </row>
    <row r="55">
      <c r="A55" s="103" t="n"/>
      <c r="B55" s="104" t="n"/>
      <c r="C55" s="104" t="n"/>
      <c r="D55" s="104" t="n"/>
      <c r="E55" s="104" t="n"/>
      <c r="F55" s="119" t="n"/>
      <c r="G55" s="105" t="n"/>
      <c r="H55" s="135" t="n"/>
      <c r="I55" s="112" t="n"/>
      <c r="J55" s="114" t="n"/>
      <c r="K55" s="119" t="n"/>
      <c r="L55" s="112" t="n"/>
      <c r="M55" s="112" t="n"/>
      <c r="N55" s="112" t="n"/>
      <c r="O55" s="112" t="n"/>
      <c r="P55" s="112" t="n"/>
      <c r="Q55" s="112" t="n"/>
      <c r="R55" s="138" t="n"/>
    </row>
    <row r="56">
      <c r="A56" s="103" t="n"/>
      <c r="B56" s="104" t="n"/>
      <c r="C56" s="104" t="n"/>
      <c r="D56" s="104" t="n"/>
      <c r="E56" s="104" t="n"/>
      <c r="F56" s="119" t="n"/>
      <c r="G56" s="105" t="n"/>
      <c r="H56" s="135" t="n"/>
      <c r="I56" s="112" t="n"/>
      <c r="J56" s="114" t="n"/>
      <c r="K56" s="119" t="n"/>
      <c r="L56" s="112" t="n"/>
      <c r="M56" s="112" t="n"/>
      <c r="N56" s="112" t="n"/>
      <c r="O56" s="112" t="n"/>
      <c r="P56" s="112" t="n"/>
      <c r="Q56" s="112" t="n"/>
      <c r="R56" s="138" t="n"/>
    </row>
    <row r="57">
      <c r="A57" s="103" t="n"/>
      <c r="B57" s="104" t="n"/>
      <c r="C57" s="104" t="n"/>
      <c r="D57" s="104" t="n"/>
      <c r="E57" s="104" t="n"/>
      <c r="F57" s="119" t="n"/>
      <c r="G57" s="105" t="n"/>
      <c r="H57" s="135" t="n"/>
      <c r="I57" s="112" t="n"/>
      <c r="J57" s="114" t="n"/>
      <c r="K57" s="119" t="n"/>
      <c r="L57" s="112" t="n"/>
      <c r="M57" s="112" t="n"/>
      <c r="N57" s="112" t="n"/>
      <c r="O57" s="112" t="n"/>
      <c r="P57" s="112" t="n"/>
      <c r="Q57" s="112" t="n"/>
      <c r="R57" s="138" t="n"/>
    </row>
    <row r="58">
      <c r="A58" s="103" t="n"/>
      <c r="B58" s="104" t="n"/>
      <c r="C58" s="104" t="n"/>
      <c r="D58" s="104" t="n"/>
      <c r="E58" s="104" t="n"/>
      <c r="F58" s="119" t="n"/>
      <c r="G58" s="105" t="n"/>
      <c r="H58" s="135" t="n"/>
      <c r="I58" s="112" t="n"/>
      <c r="J58" s="114" t="n"/>
      <c r="K58" s="119" t="n"/>
      <c r="L58" s="112" t="n"/>
      <c r="M58" s="112" t="n"/>
      <c r="N58" s="112" t="n"/>
      <c r="O58" s="112" t="n"/>
      <c r="P58" s="112" t="n"/>
      <c r="Q58" s="112" t="n"/>
      <c r="R58" s="138" t="n"/>
    </row>
    <row r="59">
      <c r="A59" s="103" t="n"/>
      <c r="B59" s="104" t="n"/>
      <c r="C59" s="104" t="n"/>
      <c r="D59" s="104" t="n"/>
      <c r="E59" s="104" t="n"/>
      <c r="F59" s="119" t="n"/>
      <c r="G59" s="105" t="n"/>
      <c r="H59" s="135" t="n"/>
      <c r="I59" s="112" t="n"/>
      <c r="J59" s="114" t="n"/>
      <c r="K59" s="119" t="n"/>
      <c r="L59" s="112" t="n"/>
      <c r="M59" s="112" t="n"/>
      <c r="N59" s="112" t="n"/>
      <c r="O59" s="112" t="n"/>
      <c r="P59" s="112" t="n"/>
      <c r="Q59" s="112" t="n"/>
      <c r="R59" s="138" t="n"/>
    </row>
    <row r="60">
      <c r="A60" s="103" t="n"/>
      <c r="B60" s="104" t="n"/>
      <c r="C60" s="104" t="n"/>
      <c r="D60" s="104" t="n"/>
      <c r="E60" s="104" t="n"/>
      <c r="F60" s="119" t="n"/>
      <c r="G60" s="105" t="n"/>
      <c r="H60" s="135" t="n"/>
      <c r="I60" s="112" t="n"/>
      <c r="J60" s="114" t="n"/>
      <c r="K60" s="119" t="n"/>
      <c r="L60" s="112" t="n"/>
      <c r="M60" s="112" t="n"/>
      <c r="N60" s="112" t="n"/>
      <c r="O60" s="112" t="n"/>
      <c r="P60" s="112" t="n"/>
      <c r="Q60" s="112" t="n"/>
      <c r="R60" s="138" t="n"/>
    </row>
    <row r="61">
      <c r="A61" s="103" t="n"/>
      <c r="B61" s="104" t="n"/>
      <c r="C61" s="104" t="n"/>
      <c r="D61" s="104" t="n"/>
      <c r="E61" s="104" t="n"/>
      <c r="F61" s="119" t="n"/>
      <c r="G61" s="105" t="n"/>
      <c r="H61" s="135" t="n"/>
      <c r="I61" s="112" t="n"/>
      <c r="J61" s="114" t="n"/>
      <c r="K61" s="119" t="n"/>
      <c r="L61" s="112" t="n"/>
      <c r="M61" s="112" t="n"/>
      <c r="N61" s="112" t="n"/>
      <c r="O61" s="112" t="n"/>
      <c r="P61" s="112" t="n"/>
      <c r="Q61" s="112" t="n"/>
      <c r="R61" s="138" t="n"/>
    </row>
    <row r="62">
      <c r="A62" s="103" t="n"/>
      <c r="B62" s="104" t="n"/>
      <c r="C62" s="104" t="n"/>
      <c r="D62" s="104" t="n"/>
      <c r="E62" s="104" t="n"/>
      <c r="F62" s="119" t="n"/>
      <c r="G62" s="105" t="n"/>
      <c r="H62" s="135" t="n"/>
      <c r="I62" s="112" t="n"/>
      <c r="J62" s="114" t="n"/>
      <c r="K62" s="119" t="n"/>
      <c r="L62" s="112" t="n"/>
      <c r="M62" s="112" t="n"/>
      <c r="N62" s="112" t="n"/>
      <c r="O62" s="112" t="n"/>
      <c r="P62" s="112" t="n"/>
      <c r="Q62" s="112" t="n"/>
      <c r="R62" s="138" t="n"/>
    </row>
    <row r="63">
      <c r="A63" s="103" t="n"/>
      <c r="B63" s="104" t="n"/>
      <c r="C63" s="104" t="n"/>
      <c r="D63" s="104" t="n"/>
      <c r="E63" s="104" t="n"/>
      <c r="F63" s="119" t="n"/>
      <c r="G63" s="105" t="n"/>
      <c r="H63" s="135" t="n"/>
      <c r="I63" s="112" t="n"/>
      <c r="J63" s="114" t="n"/>
      <c r="K63" s="119" t="n"/>
      <c r="L63" s="112" t="n"/>
      <c r="M63" s="112" t="n"/>
      <c r="N63" s="112" t="n"/>
      <c r="O63" s="112" t="n"/>
      <c r="P63" s="112" t="n"/>
      <c r="Q63" s="112" t="n"/>
      <c r="R63" s="138" t="n"/>
    </row>
    <row r="64">
      <c r="A64" s="103" t="n"/>
      <c r="B64" s="104" t="n"/>
      <c r="C64" s="104" t="n"/>
      <c r="D64" s="104" t="n"/>
      <c r="E64" s="104" t="n"/>
      <c r="F64" s="119" t="n"/>
      <c r="G64" s="105" t="n"/>
      <c r="H64" s="135" t="n"/>
      <c r="I64" s="112" t="n"/>
      <c r="J64" s="114" t="n"/>
      <c r="K64" s="119" t="n"/>
      <c r="L64" s="112" t="n"/>
      <c r="M64" s="112" t="n"/>
      <c r="N64" s="112" t="n"/>
      <c r="O64" s="112" t="n"/>
      <c r="P64" s="112" t="n"/>
      <c r="Q64" s="112" t="n"/>
      <c r="R64" s="138" t="n"/>
    </row>
    <row r="65">
      <c r="A65" s="103" t="n"/>
      <c r="B65" s="104" t="n"/>
      <c r="C65" s="104" t="n"/>
      <c r="D65" s="104" t="n"/>
      <c r="E65" s="104" t="n"/>
      <c r="F65" s="119" t="n"/>
      <c r="G65" s="105" t="n"/>
      <c r="H65" s="135" t="n"/>
      <c r="I65" s="112" t="n"/>
      <c r="J65" s="114" t="n"/>
      <c r="K65" s="119" t="n"/>
      <c r="L65" s="112" t="n"/>
      <c r="M65" s="112" t="n"/>
      <c r="N65" s="112" t="n"/>
      <c r="O65" s="112" t="n"/>
      <c r="P65" s="112" t="n"/>
      <c r="Q65" s="112" t="n"/>
      <c r="R65" s="138" t="n"/>
    </row>
    <row r="66">
      <c r="A66" s="109" t="inlineStr">
        <is>
          <t>BO</t>
        </is>
      </c>
      <c r="B66" s="110" t="n"/>
      <c r="C66" s="110" t="n"/>
      <c r="D66" s="110" t="n"/>
      <c r="E66" s="110" t="n"/>
      <c r="F66" s="118" t="n"/>
      <c r="G66" s="111" t="n"/>
      <c r="H66" s="133">
        <f>SUM(H67:H104)</f>
        <v/>
      </c>
      <c r="I66" s="121">
        <f>SUM(I67:I104)</f>
        <v/>
      </c>
      <c r="J66" s="134">
        <f>SUM(J67:J104)</f>
        <v/>
      </c>
      <c r="K66" s="116" t="n"/>
      <c r="L66" s="110" t="n"/>
      <c r="M66" s="110" t="n"/>
      <c r="N66" s="110" t="n"/>
      <c r="O66" s="110" t="n"/>
      <c r="P66" s="110" t="n"/>
      <c r="Q66" s="110" t="n"/>
      <c r="R66" s="137" t="n"/>
    </row>
    <row r="67">
      <c r="A67" s="103" t="inlineStr">
        <is>
          <t>규제·시험검증관리 (BO)</t>
        </is>
      </c>
      <c r="B67" s="104" t="inlineStr">
        <is>
          <t>금지표현 룰사전</t>
        </is>
      </c>
      <c r="C67" s="104" t="inlineStr">
        <is>
          <t>계약·기술규격 금지/주의 표현사전 관리</t>
        </is>
      </c>
      <c r="D67" s="104" t="inlineStr">
        <is>
          <t>-</t>
        </is>
      </c>
      <c r="E67" s="104" t="inlineStr">
        <is>
          <t>-</t>
        </is>
      </c>
      <c r="F67" s="119" t="inlineStr">
        <is>
          <t>어드민</t>
        </is>
      </c>
      <c r="G67" s="105" t="inlineStr">
        <is>
          <t>공정위·표준원 가이드라인·자주 틀리는 사례 기반 규칙 등록/엑셀 업로드</t>
        </is>
      </c>
      <c r="H67" s="135" t="n">
        <v>1</v>
      </c>
      <c r="I67" s="112" t="n">
        <v>0</v>
      </c>
      <c r="J67" s="114" t="n">
        <v>0</v>
      </c>
      <c r="K67" s="119" t="inlineStr">
        <is>
          <t>SCR_STD_01</t>
        </is>
      </c>
      <c r="L67" s="112" t="inlineStr">
        <is>
          <t>O</t>
        </is>
      </c>
      <c r="M67" s="112" t="inlineStr">
        <is>
          <t>O</t>
        </is>
      </c>
      <c r="N67" s="112" t="inlineStr">
        <is>
          <t>O</t>
        </is>
      </c>
      <c r="O67" s="112" t="inlineStr">
        <is>
          <t>O</t>
        </is>
      </c>
      <c r="P67" s="112" t="inlineStr">
        <is>
          <t>-</t>
        </is>
      </c>
      <c r="Q67" s="112" t="inlineStr">
        <is>
          <t>-</t>
        </is>
      </c>
      <c r="R67" s="138" t="n"/>
    </row>
    <row r="68">
      <c r="A68" s="103" t="inlineStr">
        <is>
          <t>규제·시험검증관리 (BO)</t>
        </is>
      </c>
      <c r="B68" s="104" t="inlineStr">
        <is>
          <t>법령·심결사례 RAG</t>
        </is>
      </c>
      <c r="C68" s="104" t="inlineStr">
        <is>
          <t>법령·시정명령·심결 수집 및 지능형 Diff 색인</t>
        </is>
      </c>
      <c r="D68" s="104" t="inlineStr">
        <is>
          <t>-</t>
        </is>
      </c>
      <c r="E68" s="104" t="inlineStr">
        <is>
          <t>-</t>
        </is>
      </c>
      <c r="F68" s="119" t="inlineStr">
        <is>
          <t>어드민</t>
        </is>
      </c>
      <c r="G68" s="105" t="inlineStr">
        <is>
          <t>국가법령·공정위·표준원 심결사례 크롤링, 기존 조항과 지능형 비교 후 변경분 재임베딩</t>
        </is>
      </c>
      <c r="H68" s="135" t="n">
        <v>1</v>
      </c>
      <c r="I68" s="112" t="n">
        <v>0</v>
      </c>
      <c r="J68" s="114" t="n">
        <v>0</v>
      </c>
      <c r="K68" s="119" t="inlineStr">
        <is>
          <t>SCR_STD_02</t>
        </is>
      </c>
      <c r="L68" s="112" t="inlineStr">
        <is>
          <t>O</t>
        </is>
      </c>
      <c r="M68" s="112" t="inlineStr">
        <is>
          <t>O</t>
        </is>
      </c>
      <c r="N68" s="112" t="inlineStr">
        <is>
          <t>O</t>
        </is>
      </c>
      <c r="O68" s="112" t="inlineStr">
        <is>
          <t>O</t>
        </is>
      </c>
      <c r="P68" s="112" t="inlineStr">
        <is>
          <t>-</t>
        </is>
      </c>
      <c r="Q68" s="112" t="inlineStr">
        <is>
          <t>-</t>
        </is>
      </c>
      <c r="R68" s="138" t="n"/>
    </row>
    <row r="69">
      <c r="A69" s="103" t="inlineStr">
        <is>
          <t>규제·시험검증관리 (BO)</t>
        </is>
      </c>
      <c r="B69" s="104" t="inlineStr">
        <is>
          <t>자재BOM·시험검증 연계</t>
        </is>
      </c>
      <c r="C69" s="104" t="inlineStr">
        <is>
          <t>자재BOM 유해물질한도 및 PLM-Nexus 시험검증 조회</t>
        </is>
      </c>
      <c r="D69" s="104" t="inlineStr">
        <is>
          <t>-</t>
        </is>
      </c>
      <c r="E69" s="104" t="inlineStr">
        <is>
          <t>-</t>
        </is>
      </c>
      <c r="F69" s="119" t="inlineStr">
        <is>
          <t>어드민</t>
        </is>
      </c>
      <c r="G69" s="105" t="inlineStr">
        <is>
          <t>사내 자재BOM RDB·PLM-Nexus 시험검증데이터 조회 ([Option] HB-Monitor 벡터 검색 연동)</t>
        </is>
      </c>
      <c r="H69" s="135" t="n">
        <v>1</v>
      </c>
      <c r="I69" s="112" t="n">
        <v>0</v>
      </c>
      <c r="J69" s="114" t="n">
        <v>0</v>
      </c>
      <c r="K69" s="119" t="inlineStr">
        <is>
          <t>SCR_STD_03</t>
        </is>
      </c>
      <c r="L69" s="112" t="inlineStr">
        <is>
          <t>O</t>
        </is>
      </c>
      <c r="M69" s="112" t="inlineStr">
        <is>
          <t>O</t>
        </is>
      </c>
      <c r="N69" s="112" t="inlineStr">
        <is>
          <t>O</t>
        </is>
      </c>
      <c r="O69" s="112" t="inlineStr">
        <is>
          <t>-</t>
        </is>
      </c>
      <c r="P69" s="112" t="inlineStr">
        <is>
          <t>O</t>
        </is>
      </c>
      <c r="Q69" s="112" t="inlineStr">
        <is>
          <t>-</t>
        </is>
      </c>
      <c r="R69" s="138" t="n"/>
    </row>
    <row r="70">
      <c r="A70" s="103" t="inlineStr">
        <is>
          <t>시스템관리 (BO)</t>
        </is>
      </c>
      <c r="B70" s="104" t="inlineStr">
        <is>
          <t>사용자/권한관리</t>
        </is>
      </c>
      <c r="C70" s="104" t="inlineStr">
        <is>
          <t>사내 SSO 계정 및 RBAC 권한 설정</t>
        </is>
      </c>
      <c r="D70" s="104" t="inlineStr">
        <is>
          <t>-</t>
        </is>
      </c>
      <c r="E70" s="104" t="inlineStr">
        <is>
          <t>-</t>
        </is>
      </c>
      <c r="F70" s="119" t="inlineStr">
        <is>
          <t>어드민</t>
        </is>
      </c>
      <c r="G70" s="105" t="inlineStr">
        <is>
          <t>구매담당/품질연구원/법무QA/관리자 역할 매핑 및 접근 통제</t>
        </is>
      </c>
      <c r="H70" s="135" t="n">
        <v>1</v>
      </c>
      <c r="I70" s="112" t="n">
        <v>0</v>
      </c>
      <c r="J70" s="114" t="n">
        <v>0</v>
      </c>
      <c r="K70" s="119" t="inlineStr">
        <is>
          <t>SCR_ADM_01</t>
        </is>
      </c>
      <c r="L70" s="112" t="inlineStr">
        <is>
          <t>O</t>
        </is>
      </c>
      <c r="M70" s="112" t="inlineStr">
        <is>
          <t>O</t>
        </is>
      </c>
      <c r="N70" s="112" t="inlineStr">
        <is>
          <t>-</t>
        </is>
      </c>
      <c r="O70" s="112" t="inlineStr">
        <is>
          <t>-</t>
        </is>
      </c>
      <c r="P70" s="112" t="inlineStr">
        <is>
          <t>-</t>
        </is>
      </c>
      <c r="Q70" s="112" t="inlineStr">
        <is>
          <t>-</t>
        </is>
      </c>
      <c r="R70" s="138" t="n"/>
    </row>
    <row r="71">
      <c r="A71" s="103" t="inlineStr">
        <is>
          <t>시스템관리 (BO)</t>
        </is>
      </c>
      <c r="B71" s="104" t="inlineStr">
        <is>
          <t>AI 품질 벤치마크</t>
        </is>
      </c>
      <c r="C71" s="104" t="inlineStr">
        <is>
          <t>골든셋 회귀 테스트 및 정확도 리포트</t>
        </is>
      </c>
      <c r="D71" s="104" t="inlineStr">
        <is>
          <t>-</t>
        </is>
      </c>
      <c r="E71" s="104" t="inlineStr">
        <is>
          <t>-</t>
        </is>
      </c>
      <c r="F71" s="119" t="inlineStr">
        <is>
          <t>어드민</t>
        </is>
      </c>
      <c r="G71" s="105" t="inlineStr">
        <is>
          <t>골든셋(50건+) 기반 정밀도·재현율 측정 및 프롬프트 버전 관리</t>
        </is>
      </c>
      <c r="H71" s="135" t="n">
        <v>1</v>
      </c>
      <c r="I71" s="112" t="n">
        <v>0</v>
      </c>
      <c r="J71" s="114" t="n">
        <v>0</v>
      </c>
      <c r="K71" s="119" t="inlineStr">
        <is>
          <t>SCR_ADM_02</t>
        </is>
      </c>
      <c r="L71" s="112" t="inlineStr">
        <is>
          <t>O</t>
        </is>
      </c>
      <c r="M71" s="112" t="inlineStr">
        <is>
          <t>O</t>
        </is>
      </c>
      <c r="N71" s="112" t="inlineStr">
        <is>
          <t>O</t>
        </is>
      </c>
      <c r="O71" s="112" t="inlineStr">
        <is>
          <t>-</t>
        </is>
      </c>
      <c r="P71" s="112" t="inlineStr">
        <is>
          <t>-</t>
        </is>
      </c>
      <c r="Q71" s="112" t="inlineStr">
        <is>
          <t>-</t>
        </is>
      </c>
      <c r="R71" s="138" t="n"/>
    </row>
    <row r="72">
      <c r="A72" s="103" t="inlineStr">
        <is>
          <t>시스템관리 (BO)</t>
        </is>
      </c>
      <c r="B72" s="104" t="inlineStr">
        <is>
          <t>시스템 연계 관제</t>
        </is>
      </c>
      <c r="C72" s="104" t="inlineStr">
        <is>
          <t>전자구매포털/피엘엠넥서스/SSO/[Option]통합관제(HB-Monitor)</t>
        </is>
      </c>
      <c r="D72" s="104" t="inlineStr">
        <is>
          <t>-</t>
        </is>
      </c>
      <c r="E72" s="104" t="inlineStr">
        <is>
          <t>-</t>
        </is>
      </c>
      <c r="F72" s="119" t="inlineStr">
        <is>
          <t>어드민</t>
        </is>
      </c>
      <c r="G72" s="105" t="inlineStr">
        <is>
          <t>대외 인터페이스 송수신 로그, 재시도 큐 및 AWS EC2 헬스 모니터링</t>
        </is>
      </c>
      <c r="H72" s="135" t="n">
        <v>1</v>
      </c>
      <c r="I72" s="112" t="n">
        <v>0</v>
      </c>
      <c r="J72" s="114" t="n">
        <v>0</v>
      </c>
      <c r="K72" s="119" t="inlineStr">
        <is>
          <t>SCR_ADM_03</t>
        </is>
      </c>
      <c r="L72" s="112" t="inlineStr">
        <is>
          <t>O</t>
        </is>
      </c>
      <c r="M72" s="112" t="inlineStr">
        <is>
          <t>O</t>
        </is>
      </c>
      <c r="N72" s="112" t="inlineStr">
        <is>
          <t>-</t>
        </is>
      </c>
      <c r="O72" s="112" t="inlineStr">
        <is>
          <t>-</t>
        </is>
      </c>
      <c r="P72" s="112" t="inlineStr">
        <is>
          <t>-</t>
        </is>
      </c>
      <c r="Q72" s="112" t="inlineStr">
        <is>
          <t>-</t>
        </is>
      </c>
      <c r="R72" s="138" t="n"/>
    </row>
    <row r="73">
      <c r="A73" s="103" t="n"/>
      <c r="B73" s="104" t="n"/>
      <c r="C73" s="104" t="n"/>
      <c r="D73" s="104" t="n"/>
      <c r="E73" s="104" t="n"/>
      <c r="F73" s="119" t="n"/>
      <c r="G73" s="105" t="n"/>
      <c r="H73" s="135" t="n"/>
      <c r="I73" s="112" t="n"/>
      <c r="J73" s="114" t="n"/>
      <c r="K73" s="119" t="n"/>
      <c r="L73" s="112" t="n"/>
      <c r="M73" s="112" t="n"/>
      <c r="N73" s="112" t="n"/>
      <c r="O73" s="112" t="n"/>
      <c r="P73" s="112" t="n"/>
      <c r="Q73" s="112" t="n"/>
      <c r="R73" s="138" t="n"/>
    </row>
    <row r="74">
      <c r="A74" s="103" t="n"/>
      <c r="B74" s="104" t="n"/>
      <c r="C74" s="104" t="n"/>
      <c r="D74" s="104" t="n"/>
      <c r="E74" s="104" t="n"/>
      <c r="F74" s="119" t="n"/>
      <c r="G74" s="105" t="n"/>
      <c r="H74" s="135" t="n"/>
      <c r="I74" s="112" t="n"/>
      <c r="J74" s="114" t="n"/>
      <c r="K74" s="119" t="n"/>
      <c r="L74" s="112" t="n"/>
      <c r="M74" s="112" t="n"/>
      <c r="N74" s="112" t="n"/>
      <c r="O74" s="112" t="n"/>
      <c r="P74" s="112" t="n"/>
      <c r="Q74" s="112" t="n"/>
      <c r="R74" s="138" t="n"/>
    </row>
    <row r="75">
      <c r="A75" s="103" t="n"/>
      <c r="B75" s="104" t="n"/>
      <c r="C75" s="104" t="n"/>
      <c r="D75" s="104" t="n"/>
      <c r="E75" s="104" t="n"/>
      <c r="F75" s="119" t="n"/>
      <c r="G75" s="105" t="n"/>
      <c r="H75" s="135" t="n"/>
      <c r="I75" s="112" t="n"/>
      <c r="J75" s="114" t="n"/>
      <c r="K75" s="119" t="n"/>
      <c r="L75" s="112" t="n"/>
      <c r="M75" s="112" t="n"/>
      <c r="N75" s="112" t="n"/>
      <c r="O75" s="112" t="n"/>
      <c r="P75" s="112" t="n"/>
      <c r="Q75" s="112" t="n"/>
      <c r="R75" s="138" t="n"/>
    </row>
    <row r="76">
      <c r="A76" s="103" t="n"/>
      <c r="B76" s="104" t="n"/>
      <c r="C76" s="104" t="n"/>
      <c r="D76" s="104" t="n"/>
      <c r="E76" s="104" t="n"/>
      <c r="F76" s="119" t="n"/>
      <c r="G76" s="105" t="n"/>
      <c r="H76" s="135" t="n"/>
      <c r="I76" s="112" t="n"/>
      <c r="J76" s="114" t="n"/>
      <c r="K76" s="119" t="n"/>
      <c r="L76" s="112" t="n"/>
      <c r="M76" s="112" t="n"/>
      <c r="N76" s="112" t="n"/>
      <c r="O76" s="112" t="n"/>
      <c r="P76" s="112" t="n"/>
      <c r="Q76" s="112" t="n"/>
      <c r="R76" s="138" t="n"/>
    </row>
    <row r="77">
      <c r="A77" s="103" t="n"/>
      <c r="B77" s="104" t="n"/>
      <c r="C77" s="104" t="n"/>
      <c r="D77" s="104" t="n"/>
      <c r="E77" s="104" t="n"/>
      <c r="F77" s="119" t="n"/>
      <c r="G77" s="105" t="n"/>
      <c r="H77" s="135" t="n"/>
      <c r="I77" s="112" t="n"/>
      <c r="J77" s="114" t="n"/>
      <c r="K77" s="119" t="n"/>
      <c r="L77" s="112" t="n"/>
      <c r="M77" s="112" t="n"/>
      <c r="N77" s="112" t="n"/>
      <c r="O77" s="112" t="n"/>
      <c r="P77" s="112" t="n"/>
      <c r="Q77" s="112" t="n"/>
      <c r="R77" s="138" t="n"/>
    </row>
    <row r="78">
      <c r="A78" s="103" t="n"/>
      <c r="B78" s="104" t="n"/>
      <c r="C78" s="104" t="n"/>
      <c r="D78" s="104" t="n"/>
      <c r="E78" s="104" t="n"/>
      <c r="F78" s="119" t="n"/>
      <c r="G78" s="105" t="n"/>
      <c r="H78" s="135" t="n"/>
      <c r="I78" s="112" t="n"/>
      <c r="J78" s="114" t="n"/>
      <c r="K78" s="119" t="n"/>
      <c r="L78" s="112" t="n"/>
      <c r="M78" s="112" t="n"/>
      <c r="N78" s="112" t="n"/>
      <c r="O78" s="112" t="n"/>
      <c r="P78" s="112" t="n"/>
      <c r="Q78" s="112" t="n"/>
      <c r="R78" s="138" t="n"/>
    </row>
    <row r="79">
      <c r="A79" s="103" t="n"/>
      <c r="B79" s="104" t="n"/>
      <c r="C79" s="104" t="n"/>
      <c r="D79" s="104" t="n"/>
      <c r="E79" s="104" t="n"/>
      <c r="F79" s="119" t="n"/>
      <c r="G79" s="105" t="n"/>
      <c r="H79" s="135" t="n"/>
      <c r="I79" s="112" t="n"/>
      <c r="J79" s="114" t="n"/>
      <c r="K79" s="119" t="n"/>
      <c r="L79" s="112" t="n"/>
      <c r="M79" s="112" t="n"/>
      <c r="N79" s="112" t="n"/>
      <c r="O79" s="112" t="n"/>
      <c r="P79" s="112" t="n"/>
      <c r="Q79" s="112" t="n"/>
      <c r="R79" s="138" t="n"/>
    </row>
    <row r="80">
      <c r="A80" s="103" t="n"/>
      <c r="B80" s="104" t="n"/>
      <c r="C80" s="104" t="n"/>
      <c r="D80" s="104" t="n"/>
      <c r="E80" s="104" t="n"/>
      <c r="F80" s="119" t="n"/>
      <c r="G80" s="105" t="n"/>
      <c r="H80" s="135" t="n"/>
      <c r="I80" s="112" t="n"/>
      <c r="J80" s="114" t="n"/>
      <c r="K80" s="119" t="n"/>
      <c r="L80" s="112" t="n"/>
      <c r="M80" s="112" t="n"/>
      <c r="N80" s="112" t="n"/>
      <c r="O80" s="112" t="n"/>
      <c r="P80" s="112" t="n"/>
      <c r="Q80" s="112" t="n"/>
      <c r="R80" s="138" t="n"/>
    </row>
    <row r="81">
      <c r="A81" s="103" t="n"/>
      <c r="B81" s="104" t="n"/>
      <c r="C81" s="104" t="n"/>
      <c r="D81" s="104" t="n"/>
      <c r="E81" s="104" t="n"/>
      <c r="F81" s="119" t="n"/>
      <c r="G81" s="105" t="n"/>
      <c r="H81" s="135" t="n"/>
      <c r="I81" s="112" t="n"/>
      <c r="J81" s="114" t="n"/>
      <c r="K81" s="119" t="n"/>
      <c r="L81" s="112" t="n"/>
      <c r="M81" s="112" t="n"/>
      <c r="N81" s="112" t="n"/>
      <c r="O81" s="112" t="n"/>
      <c r="P81" s="112" t="n"/>
      <c r="Q81" s="112" t="n"/>
      <c r="R81" s="138" t="n"/>
    </row>
    <row r="82">
      <c r="A82" s="103" t="n"/>
      <c r="B82" s="104" t="n"/>
      <c r="C82" s="104" t="n"/>
      <c r="D82" s="104" t="n"/>
      <c r="E82" s="104" t="n"/>
      <c r="F82" s="119" t="n"/>
      <c r="G82" s="105" t="n"/>
      <c r="H82" s="135" t="n"/>
      <c r="I82" s="112" t="n"/>
      <c r="J82" s="114" t="n"/>
      <c r="K82" s="119" t="n"/>
      <c r="L82" s="112" t="n"/>
      <c r="M82" s="112" t="n"/>
      <c r="N82" s="112" t="n"/>
      <c r="O82" s="112" t="n"/>
      <c r="P82" s="112" t="n"/>
      <c r="Q82" s="112" t="n"/>
      <c r="R82" s="138" t="n"/>
    </row>
    <row r="83">
      <c r="A83" s="103" t="n"/>
      <c r="B83" s="104" t="n"/>
      <c r="C83" s="104" t="n"/>
      <c r="D83" s="104" t="n"/>
      <c r="E83" s="104" t="n"/>
      <c r="F83" s="119" t="n"/>
      <c r="G83" s="105" t="n"/>
      <c r="H83" s="135" t="n"/>
      <c r="I83" s="112" t="n"/>
      <c r="J83" s="114" t="n"/>
      <c r="K83" s="119" t="n"/>
      <c r="L83" s="112" t="n"/>
      <c r="M83" s="112" t="n"/>
      <c r="N83" s="112" t="n"/>
      <c r="O83" s="112" t="n"/>
      <c r="P83" s="112" t="n"/>
      <c r="Q83" s="112" t="n"/>
      <c r="R83" s="138" t="n"/>
    </row>
    <row r="84">
      <c r="A84" s="103" t="n"/>
      <c r="B84" s="104" t="n"/>
      <c r="C84" s="104" t="n"/>
      <c r="D84" s="104" t="n"/>
      <c r="E84" s="104" t="n"/>
      <c r="F84" s="119" t="n"/>
      <c r="G84" s="105" t="n"/>
      <c r="H84" s="135" t="n"/>
      <c r="I84" s="112" t="n"/>
      <c r="J84" s="114" t="n"/>
      <c r="K84" s="119" t="n"/>
      <c r="L84" s="112" t="n"/>
      <c r="M84" s="112" t="n"/>
      <c r="N84" s="112" t="n"/>
      <c r="O84" s="112" t="n"/>
      <c r="P84" s="112" t="n"/>
      <c r="Q84" s="112" t="n"/>
      <c r="R84" s="138" t="n"/>
    </row>
    <row r="85">
      <c r="A85" s="103" t="n"/>
      <c r="B85" s="104" t="n"/>
      <c r="C85" s="104" t="n"/>
      <c r="D85" s="104" t="n"/>
      <c r="E85" s="104" t="n"/>
      <c r="F85" s="119" t="n"/>
      <c r="G85" s="105" t="n"/>
      <c r="H85" s="135" t="n"/>
      <c r="I85" s="112" t="n"/>
      <c r="J85" s="114" t="n"/>
      <c r="K85" s="119" t="n"/>
      <c r="L85" s="112" t="n"/>
      <c r="M85" s="112" t="n"/>
      <c r="N85" s="112" t="n"/>
      <c r="O85" s="112" t="n"/>
      <c r="P85" s="112" t="n"/>
      <c r="Q85" s="112" t="n"/>
      <c r="R85" s="138" t="n"/>
    </row>
    <row r="86">
      <c r="A86" s="103" t="n"/>
      <c r="B86" s="104" t="n"/>
      <c r="C86" s="104" t="n"/>
      <c r="D86" s="104" t="n"/>
      <c r="E86" s="104" t="n"/>
      <c r="F86" s="119" t="n"/>
      <c r="G86" s="105" t="n"/>
      <c r="H86" s="135" t="n"/>
      <c r="I86" s="112" t="n"/>
      <c r="J86" s="114" t="n"/>
      <c r="K86" s="119" t="n"/>
      <c r="L86" s="112" t="n"/>
      <c r="M86" s="112" t="n"/>
      <c r="N86" s="112" t="n"/>
      <c r="O86" s="112" t="n"/>
      <c r="P86" s="112" t="n"/>
      <c r="Q86" s="112" t="n"/>
      <c r="R86" s="138" t="n"/>
    </row>
    <row r="87">
      <c r="A87" s="103" t="n"/>
      <c r="B87" s="104" t="n"/>
      <c r="C87" s="104" t="n"/>
      <c r="D87" s="104" t="n"/>
      <c r="E87" s="104" t="n"/>
      <c r="F87" s="119" t="n"/>
      <c r="G87" s="105" t="n"/>
      <c r="H87" s="135" t="n"/>
      <c r="I87" s="112" t="n"/>
      <c r="J87" s="114" t="n"/>
      <c r="K87" s="119" t="n"/>
      <c r="L87" s="112" t="n"/>
      <c r="M87" s="112" t="n"/>
      <c r="N87" s="112" t="n"/>
      <c r="O87" s="112" t="n"/>
      <c r="P87" s="112" t="n"/>
      <c r="Q87" s="112" t="n"/>
      <c r="R87" s="138" t="n"/>
    </row>
    <row r="88">
      <c r="A88" s="103" t="n"/>
      <c r="B88" s="104" t="n"/>
      <c r="C88" s="104" t="n"/>
      <c r="D88" s="104" t="n"/>
      <c r="E88" s="104" t="n"/>
      <c r="F88" s="119" t="n"/>
      <c r="G88" s="105" t="n"/>
      <c r="H88" s="135" t="n"/>
      <c r="I88" s="112" t="n"/>
      <c r="J88" s="114" t="n"/>
      <c r="K88" s="119" t="n"/>
      <c r="L88" s="112" t="n"/>
      <c r="M88" s="112" t="n"/>
      <c r="N88" s="112" t="n"/>
      <c r="O88" s="112" t="n"/>
      <c r="P88" s="112" t="n"/>
      <c r="Q88" s="112" t="n"/>
      <c r="R88" s="138" t="n"/>
    </row>
    <row r="89">
      <c r="A89" s="103" t="n"/>
      <c r="B89" s="104" t="n"/>
      <c r="C89" s="104" t="n"/>
      <c r="D89" s="104" t="n"/>
      <c r="E89" s="104" t="n"/>
      <c r="F89" s="119" t="n"/>
      <c r="G89" s="105" t="n"/>
      <c r="H89" s="135" t="n"/>
      <c r="I89" s="112" t="n"/>
      <c r="J89" s="114" t="n"/>
      <c r="K89" s="119" t="n"/>
      <c r="L89" s="112" t="n"/>
      <c r="M89" s="112" t="n"/>
      <c r="N89" s="112" t="n"/>
      <c r="O89" s="112" t="n"/>
      <c r="P89" s="112" t="n"/>
      <c r="Q89" s="112" t="n"/>
      <c r="R89" s="138" t="n"/>
    </row>
    <row r="90">
      <c r="A90" s="103" t="n"/>
      <c r="B90" s="104" t="n"/>
      <c r="C90" s="104" t="n"/>
      <c r="D90" s="104" t="n"/>
      <c r="E90" s="104" t="n"/>
      <c r="F90" s="119" t="n"/>
      <c r="G90" s="105" t="n"/>
      <c r="H90" s="135" t="n"/>
      <c r="I90" s="112" t="n"/>
      <c r="J90" s="114" t="n"/>
      <c r="K90" s="119" t="n"/>
      <c r="L90" s="112" t="n"/>
      <c r="M90" s="112" t="n"/>
      <c r="N90" s="112" t="n"/>
      <c r="O90" s="112" t="n"/>
      <c r="P90" s="112" t="n"/>
      <c r="Q90" s="112" t="n"/>
      <c r="R90" s="138" t="n"/>
    </row>
    <row r="91">
      <c r="A91" s="103" t="n"/>
      <c r="B91" s="104" t="n"/>
      <c r="C91" s="104" t="n"/>
      <c r="D91" s="104" t="n"/>
      <c r="E91" s="104" t="n"/>
      <c r="F91" s="119" t="n"/>
      <c r="G91" s="105" t="n"/>
      <c r="H91" s="135" t="n"/>
      <c r="I91" s="112" t="n"/>
      <c r="J91" s="114" t="n"/>
      <c r="K91" s="119" t="n"/>
      <c r="L91" s="112" t="n"/>
      <c r="M91" s="112" t="n"/>
      <c r="N91" s="112" t="n"/>
      <c r="O91" s="112" t="n"/>
      <c r="P91" s="112" t="n"/>
      <c r="Q91" s="112" t="n"/>
      <c r="R91" s="138" t="n"/>
    </row>
    <row r="92">
      <c r="A92" s="103" t="n"/>
      <c r="B92" s="104" t="n"/>
      <c r="C92" s="104" t="n"/>
      <c r="D92" s="104" t="n"/>
      <c r="E92" s="104" t="n"/>
      <c r="F92" s="119" t="n"/>
      <c r="G92" s="105" t="n"/>
      <c r="H92" s="135" t="n"/>
      <c r="I92" s="112" t="n"/>
      <c r="J92" s="114" t="n"/>
      <c r="K92" s="119" t="n"/>
      <c r="L92" s="112" t="n"/>
      <c r="M92" s="112" t="n"/>
      <c r="N92" s="112" t="n"/>
      <c r="O92" s="112" t="n"/>
      <c r="P92" s="112" t="n"/>
      <c r="Q92" s="112" t="n"/>
      <c r="R92" s="138" t="n"/>
    </row>
    <row r="93">
      <c r="A93" s="103" t="n"/>
      <c r="B93" s="104" t="n"/>
      <c r="C93" s="104" t="n"/>
      <c r="D93" s="104" t="n"/>
      <c r="E93" s="104" t="n"/>
      <c r="F93" s="119" t="n"/>
      <c r="G93" s="105" t="n"/>
      <c r="H93" s="135" t="n"/>
      <c r="I93" s="112" t="n"/>
      <c r="J93" s="114" t="n"/>
      <c r="K93" s="119" t="n"/>
      <c r="L93" s="112" t="n"/>
      <c r="M93" s="112" t="n"/>
      <c r="N93" s="112" t="n"/>
      <c r="O93" s="112" t="n"/>
      <c r="P93" s="112" t="n"/>
      <c r="Q93" s="112" t="n"/>
      <c r="R93" s="138" t="n"/>
    </row>
    <row r="94">
      <c r="A94" s="103" t="n"/>
      <c r="B94" s="104" t="n"/>
      <c r="C94" s="104" t="n"/>
      <c r="D94" s="104" t="n"/>
      <c r="E94" s="104" t="n"/>
      <c r="F94" s="119" t="n"/>
      <c r="G94" s="105" t="n"/>
      <c r="H94" s="135" t="n"/>
      <c r="I94" s="112" t="n"/>
      <c r="J94" s="114" t="n"/>
      <c r="K94" s="119" t="n"/>
      <c r="L94" s="112" t="n"/>
      <c r="M94" s="112" t="n"/>
      <c r="N94" s="112" t="n"/>
      <c r="O94" s="112" t="n"/>
      <c r="P94" s="112" t="n"/>
      <c r="Q94" s="112" t="n"/>
      <c r="R94" s="138" t="n"/>
    </row>
    <row r="95">
      <c r="A95" s="103" t="n"/>
      <c r="B95" s="104" t="n"/>
      <c r="C95" s="104" t="n"/>
      <c r="D95" s="104" t="n"/>
      <c r="E95" s="104" t="n"/>
      <c r="F95" s="119" t="n"/>
      <c r="G95" s="105" t="n"/>
      <c r="H95" s="135" t="n"/>
      <c r="I95" s="112" t="n"/>
      <c r="J95" s="114" t="n"/>
      <c r="K95" s="119" t="n"/>
      <c r="L95" s="112" t="n"/>
      <c r="M95" s="112" t="n"/>
      <c r="N95" s="112" t="n"/>
      <c r="O95" s="112" t="n"/>
      <c r="P95" s="112" t="n"/>
      <c r="Q95" s="112" t="n"/>
      <c r="R95" s="138" t="n"/>
    </row>
    <row r="96">
      <c r="A96" s="103" t="n"/>
      <c r="B96" s="104" t="n"/>
      <c r="C96" s="104" t="n"/>
      <c r="D96" s="104" t="n"/>
      <c r="E96" s="104" t="n"/>
      <c r="F96" s="119" t="n"/>
      <c r="G96" s="105" t="n"/>
      <c r="H96" s="135" t="n"/>
      <c r="I96" s="112" t="n"/>
      <c r="J96" s="114" t="n"/>
      <c r="K96" s="119" t="n"/>
      <c r="L96" s="112" t="n"/>
      <c r="M96" s="112" t="n"/>
      <c r="N96" s="112" t="n"/>
      <c r="O96" s="112" t="n"/>
      <c r="P96" s="112" t="n"/>
      <c r="Q96" s="112" t="n"/>
      <c r="R96" s="138" t="n"/>
    </row>
    <row r="97">
      <c r="A97" s="103" t="n"/>
      <c r="B97" s="104" t="n"/>
      <c r="C97" s="104" t="n"/>
      <c r="D97" s="104" t="n"/>
      <c r="E97" s="104" t="n"/>
      <c r="F97" s="119" t="n"/>
      <c r="G97" s="105" t="n"/>
      <c r="H97" s="135" t="n"/>
      <c r="I97" s="112" t="n"/>
      <c r="J97" s="114" t="n"/>
      <c r="K97" s="119" t="n"/>
      <c r="L97" s="112" t="n"/>
      <c r="M97" s="112" t="n"/>
      <c r="N97" s="112" t="n"/>
      <c r="O97" s="112" t="n"/>
      <c r="P97" s="112" t="n"/>
      <c r="Q97" s="112" t="n"/>
      <c r="R97" s="138" t="n"/>
    </row>
    <row r="98">
      <c r="A98" s="103" t="n"/>
      <c r="B98" s="104" t="n"/>
      <c r="C98" s="104" t="n"/>
      <c r="D98" s="104" t="n"/>
      <c r="E98" s="104" t="n"/>
      <c r="F98" s="119" t="n"/>
      <c r="G98" s="105" t="n"/>
      <c r="H98" s="135" t="n"/>
      <c r="I98" s="112" t="n"/>
      <c r="J98" s="114" t="n"/>
      <c r="K98" s="119" t="n"/>
      <c r="L98" s="112" t="n"/>
      <c r="M98" s="112" t="n"/>
      <c r="N98" s="112" t="n"/>
      <c r="O98" s="112" t="n"/>
      <c r="P98" s="112" t="n"/>
      <c r="Q98" s="112" t="n"/>
      <c r="R98" s="138" t="n"/>
    </row>
    <row r="99">
      <c r="A99" s="103" t="n"/>
      <c r="B99" s="104" t="n"/>
      <c r="C99" s="104" t="n"/>
      <c r="D99" s="104" t="n"/>
      <c r="E99" s="104" t="n"/>
      <c r="F99" s="119" t="n"/>
      <c r="G99" s="105" t="n"/>
      <c r="H99" s="135" t="n"/>
      <c r="I99" s="112" t="n"/>
      <c r="J99" s="114" t="n"/>
      <c r="K99" s="119" t="n"/>
      <c r="L99" s="112" t="n"/>
      <c r="M99" s="112" t="n"/>
      <c r="N99" s="112" t="n"/>
      <c r="O99" s="112" t="n"/>
      <c r="P99" s="112" t="n"/>
      <c r="Q99" s="112" t="n"/>
      <c r="R99" s="138" t="n"/>
    </row>
    <row r="100">
      <c r="A100" s="103" t="n"/>
      <c r="B100" s="104" t="n"/>
      <c r="C100" s="104" t="n"/>
      <c r="D100" s="104" t="n"/>
      <c r="E100" s="104" t="n"/>
      <c r="F100" s="119" t="n"/>
      <c r="G100" s="105" t="n"/>
      <c r="H100" s="135" t="n"/>
      <c r="I100" s="112" t="n"/>
      <c r="J100" s="114" t="n"/>
      <c r="K100" s="119" t="n"/>
      <c r="L100" s="112" t="n"/>
      <c r="M100" s="112" t="n"/>
      <c r="N100" s="112" t="n"/>
      <c r="O100" s="112" t="n"/>
      <c r="P100" s="112" t="n"/>
      <c r="Q100" s="112" t="n"/>
      <c r="R100" s="138" t="n"/>
    </row>
    <row r="101">
      <c r="A101" s="103" t="n"/>
      <c r="B101" s="104" t="n"/>
      <c r="C101" s="104" t="n"/>
      <c r="D101" s="104" t="n"/>
      <c r="E101" s="104" t="n"/>
      <c r="F101" s="119" t="n"/>
      <c r="G101" s="105" t="n"/>
      <c r="H101" s="135" t="n"/>
      <c r="I101" s="112" t="n"/>
      <c r="J101" s="114" t="n"/>
      <c r="K101" s="119" t="n"/>
      <c r="L101" s="112" t="n"/>
      <c r="M101" s="112" t="n"/>
      <c r="N101" s="112" t="n"/>
      <c r="O101" s="112" t="n"/>
      <c r="P101" s="112" t="n"/>
      <c r="Q101" s="112" t="n"/>
      <c r="R101" s="138" t="n"/>
    </row>
    <row r="102">
      <c r="A102" s="103" t="n"/>
      <c r="B102" s="104" t="n"/>
      <c r="C102" s="104" t="n"/>
      <c r="D102" s="104" t="n"/>
      <c r="E102" s="104" t="n"/>
      <c r="F102" s="119" t="n"/>
      <c r="G102" s="105" t="n"/>
      <c r="H102" s="135" t="n"/>
      <c r="I102" s="112" t="n"/>
      <c r="J102" s="114" t="n"/>
      <c r="K102" s="119" t="n"/>
      <c r="L102" s="112" t="n"/>
      <c r="M102" s="112" t="n"/>
      <c r="N102" s="112" t="n"/>
      <c r="O102" s="112" t="n"/>
      <c r="P102" s="112" t="n"/>
      <c r="Q102" s="112" t="n"/>
      <c r="R102" s="138" t="n"/>
    </row>
    <row r="103">
      <c r="A103" s="103" t="n"/>
      <c r="B103" s="104" t="n"/>
      <c r="C103" s="104" t="n"/>
      <c r="D103" s="104" t="n"/>
      <c r="E103" s="104" t="n"/>
      <c r="F103" s="119" t="n"/>
      <c r="G103" s="105" t="n"/>
      <c r="H103" s="135" t="n"/>
      <c r="I103" s="112" t="n"/>
      <c r="J103" s="114" t="n"/>
      <c r="K103" s="119" t="n"/>
      <c r="L103" s="112" t="n"/>
      <c r="M103" s="112" t="n"/>
      <c r="N103" s="112" t="n"/>
      <c r="O103" s="112" t="n"/>
      <c r="P103" s="112" t="n"/>
      <c r="Q103" s="112" t="n"/>
      <c r="R103" s="138" t="n"/>
    </row>
    <row r="104">
      <c r="A104" s="103" t="n"/>
      <c r="B104" s="104" t="n"/>
      <c r="C104" s="104" t="n"/>
      <c r="D104" s="104" t="n"/>
      <c r="E104" s="104" t="n"/>
      <c r="F104" s="119" t="n"/>
      <c r="G104" s="105" t="n"/>
      <c r="H104" s="135" t="n"/>
      <c r="I104" s="112" t="n"/>
      <c r="J104" s="114" t="n"/>
      <c r="K104" s="119" t="n"/>
      <c r="L104" s="112" t="n"/>
      <c r="M104" s="112" t="n"/>
      <c r="N104" s="112" t="n"/>
      <c r="O104" s="112" t="n"/>
      <c r="P104" s="112" t="n"/>
      <c r="Q104" s="112" t="n"/>
      <c r="R104" s="138" t="n"/>
    </row>
    <row r="105">
      <c r="A105" s="109" t="inlineStr">
        <is>
          <t>기타</t>
        </is>
      </c>
      <c r="B105" s="110" t="n"/>
      <c r="C105" s="110" t="n"/>
      <c r="D105" s="110" t="n"/>
      <c r="E105" s="110" t="n"/>
      <c r="F105" s="118" t="n"/>
      <c r="G105" s="111" t="n"/>
      <c r="H105" s="133">
        <f>SUM(H106:H109)</f>
        <v/>
      </c>
      <c r="I105" s="121">
        <f>SUM(I106:I109)</f>
        <v/>
      </c>
      <c r="J105" s="134">
        <f>SUM(J106:J109)</f>
        <v/>
      </c>
      <c r="K105" s="116" t="n"/>
      <c r="L105" s="110" t="n"/>
      <c r="M105" s="110" t="n"/>
      <c r="N105" s="110" t="n"/>
      <c r="O105" s="110" t="n"/>
      <c r="P105" s="110" t="n"/>
      <c r="Q105" s="110" t="n"/>
      <c r="R105" s="137" t="n"/>
    </row>
    <row r="106">
      <c r="A106" s="103" t="n"/>
      <c r="B106" s="104" t="n"/>
      <c r="C106" s="104" t="n"/>
      <c r="D106" s="104" t="n"/>
      <c r="E106" s="104" t="n"/>
      <c r="F106" s="119" t="n"/>
      <c r="G106" s="105" t="n"/>
      <c r="H106" s="135" t="n"/>
      <c r="I106" s="112" t="n"/>
      <c r="J106" s="114" t="n"/>
      <c r="K106" s="119" t="n"/>
      <c r="L106" s="112" t="n"/>
      <c r="M106" s="112" t="n"/>
      <c r="N106" s="112" t="n"/>
      <c r="O106" s="112" t="n"/>
      <c r="P106" s="112" t="n"/>
      <c r="Q106" s="112" t="n"/>
      <c r="R106" s="138" t="n"/>
    </row>
    <row r="107">
      <c r="A107" s="103" t="n"/>
      <c r="B107" s="104" t="n"/>
      <c r="C107" s="104" t="n"/>
      <c r="D107" s="104" t="n"/>
      <c r="E107" s="104" t="n"/>
      <c r="F107" s="119" t="n"/>
      <c r="G107" s="105" t="n"/>
      <c r="H107" s="135" t="n"/>
      <c r="I107" s="112" t="n"/>
      <c r="J107" s="114" t="n"/>
      <c r="K107" s="119" t="n"/>
      <c r="L107" s="112" t="n"/>
      <c r="M107" s="112" t="n"/>
      <c r="N107" s="112" t="n"/>
      <c r="O107" s="112" t="n"/>
      <c r="P107" s="112" t="n"/>
      <c r="Q107" s="112" t="n"/>
      <c r="R107" s="138" t="n"/>
    </row>
    <row r="108">
      <c r="A108" s="103" t="n"/>
      <c r="B108" s="104" t="n"/>
      <c r="C108" s="104" t="n"/>
      <c r="D108" s="104" t="n"/>
      <c r="E108" s="104" t="n"/>
      <c r="F108" s="119" t="n"/>
      <c r="G108" s="105" t="n"/>
      <c r="H108" s="135" t="n"/>
      <c r="I108" s="112" t="n"/>
      <c r="J108" s="114" t="n"/>
      <c r="K108" s="119" t="n"/>
      <c r="L108" s="112" t="n"/>
      <c r="M108" s="112" t="n"/>
      <c r="N108" s="112" t="n"/>
      <c r="O108" s="112" t="n"/>
      <c r="P108" s="112" t="n"/>
      <c r="Q108" s="112" t="n"/>
      <c r="R108" s="138" t="n"/>
    </row>
    <row r="109" ht="14.25" customHeight="1" s="206" thickBot="1">
      <c r="A109" s="106" t="n"/>
      <c r="B109" s="107" t="n"/>
      <c r="C109" s="107" t="n"/>
      <c r="D109" s="107" t="n"/>
      <c r="E109" s="107" t="n"/>
      <c r="F109" s="120" t="n"/>
      <c r="G109" s="108" t="n"/>
      <c r="H109" s="136" t="n"/>
      <c r="I109" s="113" t="n"/>
      <c r="J109" s="115" t="n"/>
      <c r="K109" s="120" t="n"/>
      <c r="L109" s="113" t="n"/>
      <c r="M109" s="113" t="n"/>
      <c r="N109" s="113" t="n"/>
      <c r="O109" s="113" t="n"/>
      <c r="P109" s="113" t="n"/>
      <c r="Q109" s="113" t="n"/>
      <c r="R109" s="140" t="n"/>
    </row>
  </sheetData>
  <mergeCells count="11">
    <mergeCell ref="K6:R6"/>
    <mergeCell ref="P4:Q4"/>
    <mergeCell ref="A3:E4"/>
    <mergeCell ref="F3:G4"/>
    <mergeCell ref="L4:M4"/>
    <mergeCell ref="A6:G6"/>
    <mergeCell ref="R3:R5"/>
    <mergeCell ref="L3:Q3"/>
    <mergeCell ref="K3:K5"/>
    <mergeCell ref="H3:J4"/>
    <mergeCell ref="N4:O4"/>
  </mergeCells>
  <dataValidations count="3">
    <dataValidation sqref="L7:Q7 L10:Q10 L15:Q15 L26:Q26 L66:Q66 L105:Q105" showDropDown="0" showInputMessage="1" showErrorMessage="1" allowBlank="1" type="list">
      <formula1>"○"</formula1>
    </dataValidation>
    <dataValidation sqref="L8:Q9 L11:Q14 L16:Q25 L27:Q65 L67:Q104 L106:Q109" showDropDown="0" showInputMessage="1" showErrorMessage="1" allowBlank="1" type="list">
      <formula1>"○,X"</formula1>
    </dataValidation>
    <dataValidation sqref="F7:F38 F66 F105" showDropDown="0" showInputMessage="1" showErrorMessage="1" allowBlank="1" type="list">
      <formula1>"HTML,게시판,프로그램,솔루션,링크,팝업,기타"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Normal="100" workbookViewId="0">
      <selection activeCell="H36" sqref="H36"/>
    </sheetView>
  </sheetViews>
  <sheetFormatPr baseColWidth="8" defaultRowHeight="13.5"/>
  <cols>
    <col width="9.140625" customWidth="1" style="66" min="1" max="16384"/>
  </cols>
  <sheetData>
    <row r="1" ht="26.25" customHeight="1" s="206">
      <c r="A1" s="67" t="inlineStr">
        <is>
          <t>메뉴구조도</t>
        </is>
      </c>
    </row>
    <row r="3">
      <c r="A3" s="239" t="inlineStr">
        <is>
          <t>메뉴ID</t>
        </is>
      </c>
      <c r="B3" s="239" t="inlineStr">
        <is>
          <t>1 Depth</t>
        </is>
      </c>
      <c r="C3" s="239" t="inlineStr">
        <is>
          <t>2 Depth</t>
        </is>
      </c>
      <c r="D3" s="239" t="inlineStr">
        <is>
          <t>3 Depth</t>
        </is>
      </c>
      <c r="E3" s="239" t="inlineStr">
        <is>
          <t>화면ID</t>
        </is>
      </c>
      <c r="F3" s="239" t="inlineStr">
        <is>
          <t>화면명</t>
        </is>
      </c>
      <c r="G3" s="239" t="inlineStr">
        <is>
          <t>구매담당자</t>
        </is>
      </c>
      <c r="H3" s="239" t="inlineStr">
        <is>
          <t>법무·QA전문위원</t>
        </is>
      </c>
      <c r="I3" s="239" t="inlineStr">
        <is>
          <t>관리자</t>
        </is>
      </c>
      <c r="J3" s="239" t="inlineStr">
        <is>
          <t>설명</t>
        </is>
      </c>
    </row>
    <row r="4">
      <c r="A4" s="239" t="inlineStr">
        <is>
          <t>MNU_DSH_01</t>
        </is>
      </c>
      <c r="B4" s="240" t="inlineStr">
        <is>
          <t>대시보드</t>
        </is>
      </c>
      <c r="C4" s="240" t="inlineStr">
        <is>
          <t>메인 대시보드</t>
        </is>
      </c>
      <c r="D4" s="239" t="inlineStr">
        <is>
          <t>-</t>
        </is>
      </c>
      <c r="E4" s="239" t="inlineStr">
        <is>
          <t>SCR_DSH_01</t>
        </is>
      </c>
      <c r="F4" s="240" t="inlineStr">
        <is>
          <t>종합 검증 관제 대시보드</t>
        </is>
      </c>
      <c r="G4" s="239" t="inlineStr">
        <is>
          <t>O</t>
        </is>
      </c>
      <c r="H4" s="239" t="inlineStr">
        <is>
          <t>O</t>
        </is>
      </c>
      <c r="I4" s="239" t="inlineStr">
        <is>
          <t>O</t>
        </is>
      </c>
      <c r="J4" s="240" t="inlineStr">
        <is>
          <t>개인별 검증 현황 및 KPI 통계</t>
        </is>
      </c>
    </row>
    <row r="5">
      <c r="A5" s="239" t="inlineStr">
        <is>
          <t>MNU_REV_01</t>
        </is>
      </c>
      <c r="B5" s="240" t="inlineStr">
        <is>
          <t>계약·규격검증</t>
        </is>
      </c>
      <c r="C5" s="240" t="inlineStr">
        <is>
          <t>신규 검증 요청</t>
        </is>
      </c>
      <c r="D5" s="239" t="inlineStr">
        <is>
          <t>계약·도서 등록</t>
        </is>
      </c>
      <c r="E5" s="239" t="inlineStr">
        <is>
          <t>SCR_REV_01</t>
        </is>
      </c>
      <c r="F5" s="240" t="inlineStr">
        <is>
          <t>검증 요청 등록 및 계약·도서·설계도면 스냅샷 추출</t>
        </is>
      </c>
      <c r="G5" s="239" t="inlineStr">
        <is>
          <t>O</t>
        </is>
      </c>
      <c r="H5" s="239" t="inlineStr">
        <is>
          <t>O</t>
        </is>
      </c>
      <c r="I5" s="239" t="inlineStr">
        <is>
          <t>O</t>
        </is>
      </c>
      <c r="J5" s="240" t="inlineStr">
        <is>
          <t>PPTX/PDF/긴JPG 첨부 및 CAD/PDF 설계도면 규격영역 스냅샷 추출·저장</t>
        </is>
      </c>
    </row>
    <row r="6">
      <c r="A6" s="239" t="inlineStr">
        <is>
          <t>MNU_REV_02</t>
        </is>
      </c>
      <c r="B6" s="240" t="inlineStr">
        <is>
          <t>계약·규격검증</t>
        </is>
      </c>
      <c r="C6" s="240" t="inlineStr">
        <is>
          <t>신규 검증 요청</t>
        </is>
      </c>
      <c r="D6" s="239" t="inlineStr">
        <is>
          <t>AI 사전 판정</t>
        </is>
      </c>
      <c r="E6" s="239" t="inlineStr">
        <is>
          <t>SCR_REV_02</t>
        </is>
      </c>
      <c r="F6" s="240" t="inlineStr">
        <is>
          <t>AI 3단계 자동 판정 콘솔</t>
        </is>
      </c>
      <c r="G6" s="239" t="inlineStr">
        <is>
          <t>O</t>
        </is>
      </c>
      <c r="H6" s="239" t="inlineStr">
        <is>
          <t>O</t>
        </is>
      </c>
      <c r="I6" s="239" t="inlineStr">
        <is>
          <t>O</t>
        </is>
      </c>
      <c r="J6" s="240" t="inlineStr">
        <is>
          <t>룰사전/RAG/Agent 실시간 분석</t>
        </is>
      </c>
    </row>
    <row r="7">
      <c r="A7" s="239" t="inlineStr">
        <is>
          <t>MNU_REV_03</t>
        </is>
      </c>
      <c r="B7" s="240" t="inlineStr">
        <is>
          <t>계약·규격검증</t>
        </is>
      </c>
      <c r="C7" s="240" t="inlineStr">
        <is>
          <t>신규 검증 요청</t>
        </is>
      </c>
      <c r="D7" s="239" t="inlineStr">
        <is>
          <t>조항 대조/수정</t>
        </is>
      </c>
      <c r="E7" s="239" t="inlineStr">
        <is>
          <t>SCR_REV_03</t>
        </is>
      </c>
      <c r="F7" s="240" t="inlineStr">
        <is>
          <t>Side-by-Side 대조 및 표준대안 치환</t>
        </is>
      </c>
      <c r="G7" s="239" t="inlineStr">
        <is>
          <t>O</t>
        </is>
      </c>
      <c r="H7" s="239" t="inlineStr">
        <is>
          <t>O</t>
        </is>
      </c>
      <c r="I7" s="239" t="inlineStr">
        <is>
          <t>O</t>
        </is>
      </c>
      <c r="J7" s="240" t="inlineStr">
        <is>
          <t>바운딩박스 동기화 및 대체표현 적용</t>
        </is>
      </c>
    </row>
    <row r="8">
      <c r="A8" s="239" t="inlineStr">
        <is>
          <t>MNU_REV_04</t>
        </is>
      </c>
      <c r="B8" s="240" t="inlineStr">
        <is>
          <t>계약·규격검증</t>
        </is>
      </c>
      <c r="C8" s="240" t="inlineStr">
        <is>
          <t>신규 검증 요청</t>
        </is>
      </c>
      <c r="D8" s="239" t="inlineStr">
        <is>
          <t>소명자료 첨부</t>
        </is>
      </c>
      <c r="E8" s="239" t="inlineStr">
        <is>
          <t>SCR_REV_04</t>
        </is>
      </c>
      <c r="F8" s="240" t="inlineStr">
        <is>
          <t>시험성적서 매핑 및 소명 메모</t>
        </is>
      </c>
      <c r="G8" s="239" t="inlineStr">
        <is>
          <t>O</t>
        </is>
      </c>
      <c r="H8" s="239" t="inlineStr">
        <is>
          <t>O</t>
        </is>
      </c>
      <c r="I8" s="239" t="inlineStr">
        <is>
          <t>O</t>
        </is>
      </c>
      <c r="J8" s="240" t="inlineStr">
        <is>
          <t>PLM-Nexus 시험성적서 연결</t>
        </is>
      </c>
    </row>
    <row r="9">
      <c r="A9" s="239" t="inlineStr">
        <is>
          <t>MNU_QA_01</t>
        </is>
      </c>
      <c r="B9" s="240" t="inlineStr">
        <is>
          <t>법무·QA 전문검토</t>
        </is>
      </c>
      <c r="C9" s="240" t="inlineStr">
        <is>
          <t>검증 접수 대기</t>
        </is>
      </c>
      <c r="D9" s="239" t="inlineStr">
        <is>
          <t>-</t>
        </is>
      </c>
      <c r="E9" s="239" t="inlineStr">
        <is>
          <t>SCR_QAL_01</t>
        </is>
      </c>
      <c r="F9" s="240" t="inlineStr">
        <is>
          <t>QA 검증 접수 목록 그리드</t>
        </is>
      </c>
      <c r="G9" s="239" t="inlineStr">
        <is>
          <t>-</t>
        </is>
      </c>
      <c r="H9" s="239" t="inlineStr">
        <is>
          <t>O</t>
        </is>
      </c>
      <c r="I9" s="239" t="inlineStr">
        <is>
          <t>O</t>
        </is>
      </c>
      <c r="J9" s="240" t="inlineStr">
        <is>
          <t>긴급도/위험도 필터링 및 검증 배정</t>
        </is>
      </c>
    </row>
    <row r="10">
      <c r="A10" s="239" t="inlineStr">
        <is>
          <t>MNU_QA_02</t>
        </is>
      </c>
      <c r="B10" s="240" t="inlineStr">
        <is>
          <t>법무·QA 전문검토</t>
        </is>
      </c>
      <c r="C10" s="240" t="inlineStr">
        <is>
          <t>전문 검증 판정</t>
        </is>
      </c>
      <c r="D10" s="239" t="inlineStr">
        <is>
          <t>-</t>
        </is>
      </c>
      <c r="E10" s="239" t="inlineStr">
        <is>
          <t>SCR_QAL_02</t>
        </is>
      </c>
      <c r="F10" s="240" t="inlineStr">
        <is>
          <t>법무·QA 전문위원 판정 및 오버라이드 콘솔</t>
        </is>
      </c>
      <c r="G10" s="239" t="inlineStr">
        <is>
          <t>-</t>
        </is>
      </c>
      <c r="H10" s="239" t="inlineStr">
        <is>
          <t>O</t>
        </is>
      </c>
      <c r="I10" s="239" t="inlineStr">
        <is>
          <t>O</t>
        </is>
      </c>
      <c r="J10" s="240" t="inlineStr">
        <is>
          <t>전문가 의견 작성, 승인/반려/조건부승인</t>
        </is>
      </c>
    </row>
    <row r="11">
      <c r="A11" s="239" t="inlineStr">
        <is>
          <t>MNU_QA_03</t>
        </is>
      </c>
      <c r="B11" s="240" t="inlineStr">
        <is>
          <t>법무·QA 전문검토</t>
        </is>
      </c>
      <c r="C11" s="240" t="inlineStr">
        <is>
          <t>검증 확정 리포트</t>
        </is>
      </c>
      <c r="D11" s="239" t="inlineStr">
        <is>
          <t>-</t>
        </is>
      </c>
      <c r="E11" s="239" t="inlineStr">
        <is>
          <t>SCR_QAL_03</t>
        </is>
      </c>
      <c r="F11" s="240" t="inlineStr">
        <is>
          <t>공문 PDF 결과서 조회 및 출력</t>
        </is>
      </c>
      <c r="G11" s="239" t="inlineStr">
        <is>
          <t>O</t>
        </is>
      </c>
      <c r="H11" s="239" t="inlineStr">
        <is>
          <t>O</t>
        </is>
      </c>
      <c r="I11" s="239" t="inlineStr">
        <is>
          <t>O</t>
        </is>
      </c>
      <c r="J11" s="240" t="inlineStr">
        <is>
          <t>전자서명 완료 PDF 리포트 열람</t>
        </is>
      </c>
    </row>
    <row r="12">
      <c r="A12" s="239" t="inlineStr">
        <is>
          <t>MNU_HIS_01</t>
        </is>
      </c>
      <c r="B12" s="240" t="inlineStr">
        <is>
          <t>이력조회</t>
        </is>
      </c>
      <c r="C12" s="240" t="inlineStr">
        <is>
          <t>검증 이력 목록</t>
        </is>
      </c>
      <c r="D12" s="239" t="inlineStr">
        <is>
          <t>-</t>
        </is>
      </c>
      <c r="E12" s="239" t="inlineStr">
        <is>
          <t>SCR_HIS_01</t>
        </is>
      </c>
      <c r="F12" s="240" t="inlineStr">
        <is>
          <t>전체 검증 이력 조회 및 검색</t>
        </is>
      </c>
      <c r="G12" s="239" t="inlineStr">
        <is>
          <t>O</t>
        </is>
      </c>
      <c r="H12" s="239" t="inlineStr">
        <is>
          <t>O</t>
        </is>
      </c>
      <c r="I12" s="239" t="inlineStr">
        <is>
          <t>O</t>
        </is>
      </c>
      <c r="J12" s="240" t="inlineStr">
        <is>
          <t>사업본부/제품/일자별 다차원 검색</t>
        </is>
      </c>
      <c r="M12" s="75" t="n"/>
    </row>
    <row r="13">
      <c r="A13" s="239" t="inlineStr">
        <is>
          <t>MNU_HIS_02</t>
        </is>
      </c>
      <c r="B13" s="240" t="inlineStr">
        <is>
          <t>이력조회</t>
        </is>
      </c>
      <c r="C13" s="240" t="inlineStr">
        <is>
          <t>버전 비교(Diff)</t>
        </is>
      </c>
      <c r="D13" s="239" t="inlineStr">
        <is>
          <t>-</t>
        </is>
      </c>
      <c r="E13" s="239" t="inlineStr">
        <is>
          <t>SCR_HIS_02</t>
        </is>
      </c>
      <c r="F13" s="240" t="inlineStr">
        <is>
          <t>계약·도서 버전별 계약조항 변경 이력 뷰어</t>
        </is>
      </c>
      <c r="G13" s="239" t="inlineStr">
        <is>
          <t>O</t>
        </is>
      </c>
      <c r="H13" s="239" t="inlineStr">
        <is>
          <t>O</t>
        </is>
      </c>
      <c r="I13" s="239" t="inlineStr">
        <is>
          <t>O</t>
        </is>
      </c>
      <c r="J13" s="240" t="inlineStr">
        <is>
          <t>v1.0 vs v1.1 vs 확정본 diff</t>
        </is>
      </c>
    </row>
    <row r="14">
      <c r="A14" s="239" t="inlineStr">
        <is>
          <t>MNU_HIS_03</t>
        </is>
      </c>
      <c r="B14" s="240" t="inlineStr">
        <is>
          <t>이력조회</t>
        </is>
      </c>
      <c r="C14" s="240" t="inlineStr">
        <is>
          <t>감사로그 추적</t>
        </is>
      </c>
      <c r="D14" s="239" t="inlineStr">
        <is>
          <t>-</t>
        </is>
      </c>
      <c r="E14" s="239" t="inlineStr">
        <is>
          <t>SCR_HIS_03</t>
        </is>
      </c>
      <c r="F14" s="240" t="inlineStr">
        <is>
          <t>불변 감사로그 및 해시 체인 조회</t>
        </is>
      </c>
      <c r="G14" s="239" t="inlineStr">
        <is>
          <t>-</t>
        </is>
      </c>
      <c r="H14" s="239" t="inlineStr">
        <is>
          <t>O</t>
        </is>
      </c>
      <c r="I14" s="239" t="inlineStr">
        <is>
          <t>O</t>
        </is>
      </c>
      <c r="J14" s="240" t="inlineStr">
        <is>
          <t>공정위·표준원 사후 소명용 무결성 이력</t>
        </is>
      </c>
    </row>
    <row r="15">
      <c r="A15" s="239" t="inlineStr">
        <is>
          <t>MNU_REG_01</t>
        </is>
      </c>
      <c r="B15" s="240" t="inlineStr">
        <is>
          <t>규제정보</t>
        </is>
      </c>
      <c r="C15" s="240" t="inlineStr">
        <is>
          <t>금지표현 룰사전</t>
        </is>
      </c>
      <c r="D15" s="239" t="inlineStr">
        <is>
          <t>-</t>
        </is>
      </c>
      <c r="E15" s="239" t="inlineStr">
        <is>
          <t>SCR_STD_01</t>
        </is>
      </c>
      <c r="F15" s="240" t="inlineStr">
        <is>
          <t>구매계약·기술규격 금지/주의 룰 관리</t>
        </is>
      </c>
      <c r="G15" s="239" t="inlineStr">
        <is>
          <t>-</t>
        </is>
      </c>
      <c r="H15" s="239" t="inlineStr">
        <is>
          <t>O</t>
        </is>
      </c>
      <c r="I15" s="239" t="inlineStr">
        <is>
          <t>O</t>
        </is>
      </c>
      <c r="J15" s="240" t="inlineStr">
        <is>
          <t>10대 카테고리 룰 등록/수정/삭제</t>
        </is>
      </c>
    </row>
    <row r="16">
      <c r="A16" s="239" t="inlineStr">
        <is>
          <t>MNU_REG_02</t>
        </is>
      </c>
      <c r="B16" s="240" t="inlineStr">
        <is>
          <t>규제정보</t>
        </is>
      </c>
      <c r="C16" s="240" t="inlineStr">
        <is>
          <t>공정위·표준원 심결사례</t>
        </is>
      </c>
      <c r="D16" s="239" t="inlineStr">
        <is>
          <t>-</t>
        </is>
      </c>
      <c r="E16" s="239" t="inlineStr">
        <is>
          <t>SCR_STD_02</t>
        </is>
      </c>
      <c r="F16" s="240" t="inlineStr">
        <is>
          <t>공정위·표준원 하도급 심결례 및 RAG 색인</t>
        </is>
      </c>
      <c r="G16" s="239" t="inlineStr">
        <is>
          <t>-</t>
        </is>
      </c>
      <c r="H16" s="239" t="inlineStr">
        <is>
          <t>O</t>
        </is>
      </c>
      <c r="I16" s="239" t="inlineStr">
        <is>
          <t>O</t>
        </is>
      </c>
      <c r="J16" s="240" t="inlineStr">
        <is>
          <t>PDF 판례 적재 및 pgvector 임베딩</t>
        </is>
      </c>
    </row>
    <row r="17">
      <c r="A17" s="239" t="inlineStr">
        <is>
          <t>MNU_REG_03</t>
        </is>
      </c>
      <c r="B17" s="240" t="inlineStr">
        <is>
          <t>규제정보</t>
        </is>
      </c>
      <c r="C17" s="240" t="inlineStr">
        <is>
          <t>자재BOM·시험검증 규제조회</t>
        </is>
      </c>
      <c r="D17" s="239" t="inlineStr">
        <is>
          <t>-</t>
        </is>
      </c>
      <c r="E17" s="239" t="inlineStr">
        <is>
          <t>SCR_STD_03</t>
        </is>
      </c>
      <c r="F17" s="240" t="inlineStr">
        <is>
          <t>원소재 자재BOM 유해물질한도 및 PLM-Nexus 시험검증 조회</t>
        </is>
      </c>
      <c r="G17" s="239" t="inlineStr">
        <is>
          <t>O</t>
        </is>
      </c>
      <c r="H17" s="239" t="inlineStr">
        <is>
          <t>O</t>
        </is>
      </c>
      <c r="I17" s="239" t="inlineStr">
        <is>
          <t>O</t>
        </is>
      </c>
      <c r="J17" s="240" t="inlineStr">
        <is>
          <t>자재BOM RDB·PLM-Nexus 시험검증 조회 ([Option] HB-Monitor 연동)</t>
        </is>
      </c>
    </row>
    <row r="18">
      <c r="A18" s="239" t="inlineStr">
        <is>
          <t>MNU_ADM_01</t>
        </is>
      </c>
      <c r="B18" s="240" t="inlineStr">
        <is>
          <t>시스템관리</t>
        </is>
      </c>
      <c r="C18" s="240" t="inlineStr">
        <is>
          <t>사용자/권한관리</t>
        </is>
      </c>
      <c r="D18" s="239" t="inlineStr">
        <is>
          <t>-</t>
        </is>
      </c>
      <c r="E18" s="239" t="inlineStr">
        <is>
          <t>SCR_ADM_01</t>
        </is>
      </c>
      <c r="F18" s="240" t="inlineStr">
        <is>
          <t>사내 SSO 계정 및 RBAC 권한 설정</t>
        </is>
      </c>
      <c r="G18" s="239" t="inlineStr">
        <is>
          <t>-</t>
        </is>
      </c>
      <c r="H18" s="239" t="inlineStr">
        <is>
          <t>-</t>
        </is>
      </c>
      <c r="I18" s="239" t="inlineStr">
        <is>
          <t>O</t>
        </is>
      </c>
      <c r="J18" s="240" t="inlineStr">
        <is>
          <t>구매담당자, QA, 관리자 권한 매핑</t>
        </is>
      </c>
    </row>
    <row r="19">
      <c r="A19" s="239" t="inlineStr">
        <is>
          <t>MNU_ADM_02</t>
        </is>
      </c>
      <c r="B19" s="240" t="inlineStr">
        <is>
          <t>시스템관리</t>
        </is>
      </c>
      <c r="C19" s="240" t="inlineStr">
        <is>
          <t>AI 품질 벤치마크</t>
        </is>
      </c>
      <c r="D19" s="239" t="inlineStr">
        <is>
          <t>-</t>
        </is>
      </c>
      <c r="E19" s="239" t="inlineStr">
        <is>
          <t>SCR_ADM_02</t>
        </is>
      </c>
      <c r="F19" s="240" t="inlineStr">
        <is>
          <t>골든셋 회귀 테스트 및 정확도 리포트</t>
        </is>
      </c>
      <c r="G19" s="239" t="inlineStr">
        <is>
          <t>-</t>
        </is>
      </c>
      <c r="H19" s="239" t="inlineStr">
        <is>
          <t>-</t>
        </is>
      </c>
      <c r="I19" s="239" t="inlineStr">
        <is>
          <t>O</t>
        </is>
      </c>
      <c r="J19" s="240" t="inlineStr">
        <is>
          <t>정밀도/재현율/F1 지표 모니터링</t>
        </is>
      </c>
    </row>
    <row r="20">
      <c r="A20" s="239" t="inlineStr">
        <is>
          <t>MNU_ADM_03</t>
        </is>
      </c>
      <c r="B20" s="240" t="inlineStr">
        <is>
          <t>시스템관리</t>
        </is>
      </c>
      <c r="C20" s="240" t="inlineStr">
        <is>
          <t>시스템 연계 현황</t>
        </is>
      </c>
      <c r="D20" s="239" t="inlineStr">
        <is>
          <t>-</t>
        </is>
      </c>
      <c r="E20" s="239" t="inlineStr">
        <is>
          <t>SCR_ADM_03</t>
        </is>
      </c>
      <c r="F20" s="240" t="inlineStr">
        <is>
          <t>SSO/SRM-Portal/PLM-Nexus/[Option]HB-Monitor 연계 모니터링</t>
        </is>
      </c>
      <c r="G20" s="239" t="inlineStr">
        <is>
          <t>-</t>
        </is>
      </c>
      <c r="H20" s="239" t="inlineStr">
        <is>
          <t>-</t>
        </is>
      </c>
      <c r="I20" s="239" t="inlineStr">
        <is>
          <t>O</t>
        </is>
      </c>
      <c r="J20" s="240" t="inlineStr">
        <is>
          <t>인터페이스 전송 로그 및 장애 큐 관리</t>
        </is>
      </c>
    </row>
  </sheetData>
  <printOptions horizontalCentered="1" verticalCentered="1"/>
  <pageMargins left="0" right="0" top="0" bottom="0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황세진</dc:creator>
  <dcterms:created xmlns:dcterms="http://purl.org/dc/terms/" xmlns:xsi="http://www.w3.org/2001/XMLSchema-instance" xsi:type="dcterms:W3CDTF">2022-02-24T07:49:22Z</dcterms:created>
  <dcterms:modified xmlns:dcterms="http://purl.org/dc/terms/" xmlns:xsi="http://www.w3.org/2001/XMLSchema-instance" xsi:type="dcterms:W3CDTF">2026-10-23T00:13:44Z</dcterms:modified>
  <cp:lastModifiedBy>주식회사 엠파시 (Empasy Inc.)</cp:lastModifiedBy>
  <cp:lastPrinted>2023-07-27T06:10:51Z</cp:lastPrinted>
</cp:coreProperties>
</file>