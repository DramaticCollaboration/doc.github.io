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데이터이관_정합성대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b val="1"/>
      <color rgb="001E293B"/>
      <sz val="10"/>
    </font>
    <font>
      <name val="맑은 고딕"/>
      <b val="1"/>
      <color rgb="00FFFFFF"/>
      <sz val="10"/>
    </font>
    <font>
      <name val="맑은 고딕"/>
      <b val="1"/>
      <color rgb="000F172A"/>
      <sz val="9.5"/>
    </font>
    <font>
      <name val="맑은 고딕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E2E8F0"/>
      </patternFill>
    </fill>
    <fill>
      <patternFill patternType="solid">
        <fgColor rgb="002563EB"/>
      </patternFill>
    </fill>
    <fill>
      <patternFill patternType="solid">
        <fgColor rgb="00F8FAFC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3" fontId="4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14" customWidth="1" min="4" max="4"/>
    <col width="14" customWidth="1" min="5" max="5"/>
    <col width="12" customWidth="1" min="6" max="6"/>
    <col width="12" customWidth="1" min="7" max="7"/>
    <col width="42" customWidth="1" min="8" max="8"/>
    <col width="12" customWidth="1" min="9" max="9"/>
  </cols>
  <sheetData>
    <row r="1" ht="30" customHeight="1">
      <c r="A1" s="1" t="inlineStr">
        <is>
          <t>[EMP-XLS-P5-02] 초기 마스터 및 레거시 데이터 이관 정합성 대사표 — 주식회사 한빛글로벌 SyncFlow AI 시스템 구축</t>
        </is>
      </c>
    </row>
    <row r="2" ht="22" customHeight="1">
      <c r="A2" s="2" t="inlineStr">
        <is>
          <t>PLM-Nexus 자재BOM 마스터, 법령·가이드라인 RAG 벡터, 100대 규제 룰셋 및 임직원 권한 이관 100% 대사 검증 | 발주처: 주식회사 한빛글로벌 | 수행사: 주식회사 엠파시 | 기준일: 2026.10</t>
        </is>
      </c>
    </row>
    <row r="4" ht="25" customHeight="1">
      <c r="A4" s="3" t="inlineStr">
        <is>
          <t>이관 그룹</t>
        </is>
      </c>
      <c r="B4" s="3" t="inlineStr">
        <is>
          <t>원천 시스템 / 테이블 (Source)</t>
        </is>
      </c>
      <c r="C4" s="3" t="inlineStr">
        <is>
          <t>대상 테이블 (SyncFlow AI PRD)</t>
        </is>
      </c>
      <c r="D4" s="3" t="inlineStr">
        <is>
          <t>원천 건수 (A)</t>
        </is>
      </c>
      <c r="E4" s="3" t="inlineStr">
        <is>
          <t>이관 건수 (B)</t>
        </is>
      </c>
      <c r="F4" s="3" t="inlineStr">
        <is>
          <t>오차 (A-B)</t>
        </is>
      </c>
      <c r="G4" s="3" t="inlineStr">
        <is>
          <t>정합률 (%)</t>
        </is>
      </c>
      <c r="H4" s="3" t="inlineStr">
        <is>
          <t>체크섬·무결성 검증 결과</t>
        </is>
      </c>
      <c r="I4" s="3" t="inlineStr">
        <is>
          <t>최종 판정</t>
        </is>
      </c>
    </row>
    <row r="5" ht="21" customHeight="1">
      <c r="A5" s="4" t="inlineStr">
        <is>
          <t>임직원·권한</t>
        </is>
      </c>
      <c r="B5" s="5" t="inlineStr">
        <is>
          <t>HB-SSO 인사뷰 (V_HB_EMP_AUTH)</t>
        </is>
      </c>
      <c r="C5" s="6" t="inlineStr">
        <is>
          <t>tb_sys_user / tb_user_role</t>
        </is>
      </c>
      <c r="D5" s="7" t="n">
        <v>4820</v>
      </c>
      <c r="E5" s="7" t="n">
        <v>4820</v>
      </c>
      <c r="F5" s="7">
        <f>D5-E5</f>
        <v/>
      </c>
      <c r="G5" s="7">
        <f>E5/D5*100</f>
        <v/>
      </c>
      <c r="H5" s="6" t="inlineStr">
        <is>
          <t>부서코드 및 역할(검토위원/구매담당자/관리자) 100% 일치</t>
        </is>
      </c>
      <c r="I5" s="6" t="inlineStr">
        <is>
          <t>적격</t>
        </is>
      </c>
    </row>
    <row r="6" ht="21" customHeight="1">
      <c r="A6" s="8" t="inlineStr">
        <is>
          <t>공통코드·용어</t>
        </is>
      </c>
      <c r="B6" s="9" t="inlineStr">
        <is>
          <t>표준코드마스터 (EMP_DEG_070)</t>
        </is>
      </c>
      <c r="C6" s="10" t="inlineStr">
        <is>
          <t>tb_cmn_grp_cd / tb_cmn_dtl_cd</t>
        </is>
      </c>
      <c r="D6" s="11" t="n">
        <v>385</v>
      </c>
      <c r="E6" s="11" t="n">
        <v>385</v>
      </c>
      <c r="F6" s="11">
        <f>D6-E6</f>
        <v/>
      </c>
      <c r="G6" s="11">
        <f>E6/D6*100</f>
        <v/>
      </c>
      <c r="H6" s="10" t="inlineStr">
        <is>
          <t>32개 코드그룹 및 353개 상세코드 무결성 일치</t>
        </is>
      </c>
      <c r="I6" s="10" t="inlineStr">
        <is>
          <t>적격</t>
        </is>
      </c>
    </row>
    <row r="7" ht="21" customHeight="1">
      <c r="A7" s="4" t="inlineStr">
        <is>
          <t>자재BOM 마스터</t>
        </is>
      </c>
      <c r="B7" s="5" t="inlineStr">
        <is>
          <t>PLM-Nexus 뷰 (V_AI_INGREDIENT_SPEC)</t>
        </is>
      </c>
      <c r="C7" s="6" t="inlineStr">
        <is>
          <t>tb_ingredient_mst</t>
        </is>
      </c>
      <c r="D7" s="7" t="n">
        <v>28450</v>
      </c>
      <c r="E7" s="7" t="n">
        <v>28450</v>
      </c>
      <c r="F7" s="7">
        <f>D7-E7</f>
        <v/>
      </c>
      <c r="G7" s="7">
        <f>E7/D7*100</f>
        <v/>
      </c>
      <c r="H7" s="6" t="inlineStr">
        <is>
          <t>CAS 번호, 국문/영문 CAS/RoHS명, 유해물질한도 수치 오차 0건</t>
        </is>
      </c>
      <c r="I7" s="6" t="inlineStr">
        <is>
          <t>적격</t>
        </is>
      </c>
    </row>
    <row r="8" ht="21" customHeight="1">
      <c r="A8" s="8" t="inlineStr">
        <is>
          <t>제품·설계사양 매핑</t>
        </is>
      </c>
      <c r="B8" s="9" t="inlineStr">
        <is>
          <t>PLM-Nexus 제품뷰 (V_AI_PRODUCT_BOM)</t>
        </is>
      </c>
      <c r="C8" s="10" t="inlineStr">
        <is>
          <t>tb_product_ingredient_map</t>
        </is>
      </c>
      <c r="D8" s="11" t="n">
        <v>142600</v>
      </c>
      <c r="E8" s="11" t="n">
        <v>142600</v>
      </c>
      <c r="F8" s="11">
        <f>D8-E8</f>
        <v/>
      </c>
      <c r="G8" s="11">
        <f>E8/D8*100</f>
        <v/>
      </c>
      <c r="H8" s="10" t="inlineStr">
        <is>
          <t>사업본부(전장시스템·배터리모듈 등) 4,200개 품목 매핑 일치</t>
        </is>
      </c>
      <c r="I8" s="10" t="inlineStr">
        <is>
          <t>적격</t>
        </is>
      </c>
    </row>
    <row r="9" ht="21" customHeight="1">
      <c r="A9" s="4" t="inlineStr">
        <is>
          <t>규제 룰셋 사전</t>
        </is>
      </c>
      <c r="B9" s="5" t="inlineStr">
        <is>
          <t>컴플라이언스 사전 (EMP_EXE_010)</t>
        </is>
      </c>
      <c r="C9" s="6" t="inlineStr">
        <is>
          <t>tb_compliance_rule</t>
        </is>
      </c>
      <c r="D9" s="7" t="n">
        <v>120</v>
      </c>
      <c r="E9" s="7" t="n">
        <v>120</v>
      </c>
      <c r="F9" s="7">
        <f>D9-E9</f>
        <v/>
      </c>
      <c r="G9" s="7">
        <f>E9/D9*100</f>
        <v/>
      </c>
      <c r="H9" s="6" t="inlineStr">
        <is>
          <t>국문 100대 룰셋 + 영문 20대(CR-2026-003) 정규식 검증 완료</t>
        </is>
      </c>
      <c r="I9" s="6" t="inlineStr">
        <is>
          <t>적격</t>
        </is>
      </c>
    </row>
    <row r="10" ht="21" customHeight="1">
      <c r="A10" s="8" t="inlineStr">
        <is>
          <t>RAG 벡터 지식</t>
        </is>
      </c>
      <c r="B10" s="9" t="inlineStr">
        <is>
          <t>공정위·표준원 고시·가이드라인·판례 청크</t>
        </is>
      </c>
      <c r="C10" s="10" t="inlineStr">
        <is>
          <t>tb_rag_document_chunk (pgvector)</t>
        </is>
      </c>
      <c r="D10" s="11" t="n">
        <v>48500</v>
      </c>
      <c r="E10" s="11" t="n">
        <v>48500</v>
      </c>
      <c r="F10" s="11">
        <f>D10-E10</f>
        <v/>
      </c>
      <c r="G10" s="11">
        <f>E10/D10*100</f>
        <v/>
      </c>
      <c r="H10" s="10" t="inlineStr">
        <is>
          <t>1536차원 벡터 임베딩 Null 0건, HNSW 인덱스 빌드 완료</t>
        </is>
      </c>
      <c r="I10" s="10" t="inlineStr">
        <is>
          <t>적격</t>
        </is>
      </c>
    </row>
    <row r="11" ht="21" customHeight="1">
      <c r="A11" s="4" t="inlineStr">
        <is>
          <t>골든셋 기준표</t>
        </is>
      </c>
      <c r="B11" s="5" t="inlineStr">
        <is>
          <t>표준 평가 골든셋 (EMP_TST_050)</t>
        </is>
      </c>
      <c r="C11" s="6" t="inlineStr">
        <is>
          <t>tb_golden_test_case</t>
        </is>
      </c>
      <c r="D11" s="12" t="n">
        <v>58</v>
      </c>
      <c r="E11" s="12" t="n">
        <v>58</v>
      </c>
      <c r="F11" s="7">
        <f>D11-E11</f>
        <v/>
      </c>
      <c r="G11" s="7">
        <f>E11/D11*100</f>
        <v/>
      </c>
      <c r="H11" s="6" t="inlineStr">
        <is>
          <t>기본 50문항 + 감리 보강 8문항 정답 레이블 100% 일치</t>
        </is>
      </c>
      <c r="I11" s="6" t="inlineStr">
        <is>
          <t>적격</t>
        </is>
      </c>
    </row>
    <row r="12" ht="21" customHeight="1">
      <c r="A12" s="13" t="inlineStr">
        <is>
          <t>합계</t>
        </is>
      </c>
      <c r="B12" s="13" t="inlineStr">
        <is>
          <t>총 7개 핵심 데이터 그룹</t>
        </is>
      </c>
      <c r="C12" s="14" t="inlineStr">
        <is>
          <t>상용 DB(RDS PostgreSQL 16 PRD) 이관 총계</t>
        </is>
      </c>
      <c r="D12" s="15">
        <f>SUM(D5:D11)</f>
        <v/>
      </c>
      <c r="E12" s="15">
        <f>SUM(E5:E11)</f>
        <v/>
      </c>
      <c r="F12" s="15">
        <f>SUM(F5:F11)</f>
        <v/>
      </c>
      <c r="G12" s="15">
        <f>E12/D12*100</f>
        <v/>
      </c>
      <c r="H12" s="14" t="inlineStr">
        <is>
          <t>총 224,933건 오차 0건 (100.0% 일치 확인)</t>
        </is>
      </c>
      <c r="I12" s="14" t="inlineStr">
        <is>
          <t>최종 합격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2026-10-28T18:50:04Z</dcterms:created>
  <dcterms:modified xmlns:dcterms="http://purl.org/dc/terms/" xmlns:xsi="http://www.w3.org/2001/XMLSchema-instance" xsi:type="dcterms:W3CDTF">2026-10-28T18:50:04Z</dcterms:modified>
</cp:coreProperties>
</file>