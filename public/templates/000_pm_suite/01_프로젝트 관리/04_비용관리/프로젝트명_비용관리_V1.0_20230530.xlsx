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수금_및_원가집행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20" customWidth="1" min="4" max="4"/>
    <col width="14" customWidth="1" min="5" max="5"/>
    <col width="16" customWidth="1" min="6" max="6"/>
    <col width="16" customWidth="1" min="7" max="7"/>
    <col width="30" customWidth="1" min="8" max="8"/>
  </cols>
  <sheetData>
    <row r="1" ht="30" customHeight="1">
      <c r="A1" s="1" t="inlineStr">
        <is>
          <t>[PM-13] SyncGuard AI 프로젝트 비용관리 및 대금 청구·외주 집행 대장 — 주식회사 한빛글로벌 SyncGuard AI 시스템 구축</t>
        </is>
      </c>
    </row>
    <row r="2" ht="22" customHeight="1">
      <c r="A2" s="2" t="inlineStr">
        <is>
          <t>계약 대금(선금 30%·중도금 40%·잔금 30%) 수금 일정 및 외주·클라우드 원가 집행 실적표 | 발주처: 주식회사 한빛글로벌 | 수행사: 주식회사 엠파시 | 기준일: 2026.10</t>
        </is>
      </c>
    </row>
    <row r="4" ht="25" customHeight="1">
      <c r="A4" s="3" t="inlineStr">
        <is>
          <t>구분</t>
        </is>
      </c>
      <c r="B4" s="3" t="inlineStr">
        <is>
          <t>세부 항목</t>
        </is>
      </c>
      <c r="C4" s="3" t="inlineStr">
        <is>
          <t>계약/예산 금액 (VAT 포함)</t>
        </is>
      </c>
      <c r="D4" s="3" t="inlineStr">
        <is>
          <t>집행/수령 금액</t>
        </is>
      </c>
      <c r="E4" s="3" t="inlineStr">
        <is>
          <t>잔액</t>
        </is>
      </c>
      <c r="F4" s="3" t="inlineStr">
        <is>
          <t>세금계산서 발행일</t>
        </is>
      </c>
      <c r="G4" s="3" t="inlineStr">
        <is>
          <t>입금/지급 완료일</t>
        </is>
      </c>
      <c r="H4" s="3" t="inlineStr">
        <is>
          <t>상태 및 비고</t>
        </is>
      </c>
    </row>
    <row r="5" ht="21" customHeight="1">
      <c r="A5" s="4" t="inlineStr">
        <is>
          <t>매출(수금)</t>
        </is>
      </c>
      <c r="B5" s="5" t="inlineStr">
        <is>
          <t>1차 선금 (계약금의 30%)</t>
        </is>
      </c>
      <c r="C5" s="6" t="n">
        <v>135000000</v>
      </c>
      <c r="D5" s="6" t="n">
        <v>135000000</v>
      </c>
      <c r="E5" s="7" t="n">
        <v>0</v>
      </c>
      <c r="F5" s="8" t="inlineStr">
        <is>
          <t>2026-05-06</t>
        </is>
      </c>
      <c r="G5" s="8" t="inlineStr">
        <is>
          <t>2026-05-15</t>
        </is>
      </c>
      <c r="H5" s="8" t="inlineStr">
        <is>
          <t>수령 완료 (SGI 선금보증 제출)</t>
        </is>
      </c>
    </row>
    <row r="6" ht="21" customHeight="1">
      <c r="A6" s="9" t="inlineStr">
        <is>
          <t>매출(수금)</t>
        </is>
      </c>
      <c r="B6" s="10" t="inlineStr">
        <is>
          <t>2차 중도금 (공정률 72.5% 기성, 40%)</t>
        </is>
      </c>
      <c r="C6" s="11" t="n">
        <v>180000000</v>
      </c>
      <c r="D6" s="11" t="n">
        <v>180000000</v>
      </c>
      <c r="E6" s="12" t="n">
        <v>0</v>
      </c>
      <c r="F6" s="13" t="inlineStr">
        <is>
          <t>2026-08-20</t>
        </is>
      </c>
      <c r="G6" s="13" t="inlineStr">
        <is>
          <t>2026-08-25</t>
        </is>
      </c>
      <c r="H6" s="13" t="inlineStr">
        <is>
          <t>수령 완료 (중간검수 합격)</t>
        </is>
      </c>
    </row>
    <row r="7" ht="21" customHeight="1">
      <c r="A7" s="4" t="inlineStr">
        <is>
          <t>매출(수금)</t>
        </is>
      </c>
      <c r="B7" s="5" t="inlineStr">
        <is>
          <t>3차 잔금 (최종 준공검수 완료, 30%)</t>
        </is>
      </c>
      <c r="C7" s="6" t="n">
        <v>135000000</v>
      </c>
      <c r="D7" s="6" t="n">
        <v>135000000</v>
      </c>
      <c r="E7" s="7" t="n">
        <v>0</v>
      </c>
      <c r="F7" s="8" t="inlineStr">
        <is>
          <t>2026-10-31</t>
        </is>
      </c>
      <c r="G7" s="8" t="inlineStr">
        <is>
          <t>2026-11-10</t>
        </is>
      </c>
      <c r="H7" s="8" t="inlineStr">
        <is>
          <t>청구 완료 (하자보증증권 제출)</t>
        </is>
      </c>
    </row>
    <row r="8" ht="21" customHeight="1">
      <c r="A8" s="14" t="inlineStr">
        <is>
          <t>매출합계</t>
        </is>
      </c>
      <c r="B8" s="14" t="inlineStr">
        <is>
          <t>총 계약 매출액 (HB-IT-2026-0042)</t>
        </is>
      </c>
      <c r="C8" s="15">
        <f>SUM(C5:C7)</f>
        <v/>
      </c>
      <c r="D8" s="15">
        <f>SUM(D5:D7)</f>
        <v/>
      </c>
      <c r="E8" s="15">
        <f>SUM(E5:E7)</f>
        <v/>
      </c>
      <c r="F8" s="16" t="inlineStr">
        <is>
          <t>-</t>
        </is>
      </c>
      <c r="G8" s="16" t="inlineStr">
        <is>
          <t>-</t>
        </is>
      </c>
      <c r="H8" s="16" t="inlineStr">
        <is>
          <t>100% 수금 프로세스 완결</t>
        </is>
      </c>
    </row>
    <row r="9" ht="21" customHeight="1">
      <c r="A9" s="4" t="inlineStr">
        <is>
          <t>원가(집행)</t>
        </is>
      </c>
      <c r="B9" s="5" t="inlineStr">
        <is>
          <t>본사 직접 인건비 (PM·AA·PL·QA 6명)</t>
        </is>
      </c>
      <c r="C9" s="6" t="n">
        <v>206000000</v>
      </c>
      <c r="D9" s="6" t="n">
        <v>206000000</v>
      </c>
      <c r="E9" s="7" t="n">
        <v>0</v>
      </c>
      <c r="F9" s="8" t="inlineStr">
        <is>
          <t>매월 25일</t>
        </is>
      </c>
      <c r="G9" s="8" t="inlineStr">
        <is>
          <t>2026.05~10</t>
        </is>
      </c>
      <c r="H9" s="8" t="inlineStr">
        <is>
          <t>총 15.5 M/M 본사 정규직 투입</t>
        </is>
      </c>
    </row>
    <row r="10" ht="21" customHeight="1">
      <c r="A10" s="9" t="inlineStr">
        <is>
          <t>원가(집행)</t>
        </is>
      </c>
      <c r="B10" s="10" t="inlineStr">
        <is>
          <t>외주 도급비 — ㈜데이터브릿지 (기간계 연계)</t>
        </is>
      </c>
      <c r="C10" s="11" t="n">
        <v>60000000</v>
      </c>
      <c r="D10" s="11" t="n">
        <v>60000000</v>
      </c>
      <c r="E10" s="12" t="n">
        <v>0</v>
      </c>
      <c r="F10" s="13" t="inlineStr">
        <is>
          <t>2026.05/07/10</t>
        </is>
      </c>
      <c r="G10" s="13" t="inlineStr">
        <is>
          <t>2026-10-25</t>
        </is>
      </c>
      <c r="H10" s="13" t="inlineStr">
        <is>
          <t>선금 1.8천만 / 중도 2.4천만 / 잔금 1.8천만</t>
        </is>
      </c>
    </row>
    <row r="11" ht="21" customHeight="1">
      <c r="A11" s="4" t="inlineStr">
        <is>
          <t>원가(집행)</t>
        </is>
      </c>
      <c r="B11" s="5" t="inlineStr">
        <is>
          <t>전문 프리랜서 위탁비 — 신유진 수석 (OCR/룰셋)</t>
        </is>
      </c>
      <c r="C11" s="6" t="n">
        <v>24000000</v>
      </c>
      <c r="D11" s="6" t="n">
        <v>24000000</v>
      </c>
      <c r="E11" s="7" t="n">
        <v>0</v>
      </c>
      <c r="F11" s="8" t="inlineStr">
        <is>
          <t>매월 25일</t>
        </is>
      </c>
      <c r="G11" s="8" t="inlineStr">
        <is>
          <t>2026-09-25</t>
        </is>
      </c>
      <c r="H11" s="8" t="inlineStr">
        <is>
          <t>4개월 마일스톤 검수 지급 완료</t>
        </is>
      </c>
    </row>
    <row r="12" ht="21" customHeight="1">
      <c r="A12" s="9" t="inlineStr">
        <is>
          <t>원가(집행)</t>
        </is>
      </c>
      <c r="B12" s="10" t="inlineStr">
        <is>
          <t>보증보험 수수료·개발환경·워크샵 제경비</t>
        </is>
      </c>
      <c r="C12" s="11" t="n">
        <v>28000000</v>
      </c>
      <c r="D12" s="11" t="n">
        <v>27450000</v>
      </c>
      <c r="E12" s="11" t="n">
        <v>550000</v>
      </c>
      <c r="F12" s="13" t="inlineStr">
        <is>
          <t>수시</t>
        </is>
      </c>
      <c r="G12" s="13" t="inlineStr">
        <is>
          <t>2026-10-30</t>
        </is>
      </c>
      <c r="H12" s="13" t="inlineStr">
        <is>
          <t>예산 범위 내 절감 집행</t>
        </is>
      </c>
    </row>
    <row r="13" ht="21" customHeight="1">
      <c r="A13" s="14" t="inlineStr">
        <is>
          <t>원가합계</t>
        </is>
      </c>
      <c r="B13" s="14" t="inlineStr">
        <is>
          <t>총 프로젝트 수행 원가 합계</t>
        </is>
      </c>
      <c r="C13" s="15">
        <f>SUM(C9:C12)</f>
        <v/>
      </c>
      <c r="D13" s="15">
        <f>SUM(D9:D12)</f>
        <v/>
      </c>
      <c r="E13" s="15">
        <f>SUM(E9:E12)</f>
        <v/>
      </c>
      <c r="F13" s="16" t="inlineStr">
        <is>
          <t>-</t>
        </is>
      </c>
      <c r="G13" s="16" t="inlineStr">
        <is>
          <t>-</t>
        </is>
      </c>
      <c r="H13" s="16" t="inlineStr">
        <is>
          <t>프로젝트 공헌이익률 29.5% 달성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2026-10-28T17:55:13Z</dcterms:created>
  <dcterms:modified xmlns:dcterms="http://purl.org/dc/terms/" xmlns:xsi="http://www.w3.org/2001/XMLSchema-instance" xsi:type="dcterms:W3CDTF">2026-10-28T17:55:13Z</dcterms:modified>
</cp:coreProperties>
</file>