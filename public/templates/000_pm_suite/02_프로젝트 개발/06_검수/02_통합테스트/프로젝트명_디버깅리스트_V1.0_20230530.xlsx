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82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hidden" r:id="rId2"/>
    <sheet xmlns:r="http://schemas.openxmlformats.org/officeDocument/2006/relationships" name="결함처리현황" sheetId="3" state="visible" r:id="rId3"/>
    <sheet xmlns:r="http://schemas.openxmlformats.org/officeDocument/2006/relationships" name="화면및기능 Daily Check" sheetId="4" state="hidden" r:id="rId4"/>
  </sheets>
  <definedNames>
    <definedName name="ACTUAL_RATE">#REF!</definedName>
    <definedName name="ACTUAL_WORKLOAD">#REF!</definedName>
    <definedName name="ACTUAL_WORKLOAD2">#REF!</definedName>
    <definedName name="English_Name">#REF!</definedName>
    <definedName name="PLANNED_RATE">#REF!</definedName>
    <definedName name="PLANNED_WORKLOAD">#REF!</definedName>
    <definedName name="RATE_GAP">#REF!</definedName>
    <definedName name="STD_CAL">#REF!</definedName>
    <definedName name="TOTAL_WORKLOAD">#REF!</definedName>
    <definedName name="UD_CAL1">#REF!</definedName>
    <definedName name="UD_CAL2">#REF!</definedName>
    <definedName name="_xlnm.Print_Area" localSheetId="0">'표지'!$A$1:$H$38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m\/dd"/>
    <numFmt numFmtId="166" formatCode="m&quot;/&quot;d;@"/>
  </numFmts>
  <fonts count="36">
    <font>
      <name val="Calibri"/>
      <color rgb="FF000000"/>
      <sz val="10"/>
      <scheme val="minor"/>
    </font>
    <font>
      <name val="Calibri"/>
      <family val="2"/>
      <color theme="1"/>
      <sz val="11"/>
    </font>
    <font>
      <name val="Malgun Gothic"/>
      <charset val="129"/>
      <family val="3"/>
      <b val="1"/>
      <color theme="1"/>
      <sz val="26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b val="1"/>
      <color theme="1"/>
      <sz val="16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&quot;맑은 고딕&quot;"/>
      <charset val="129"/>
      <family val="3"/>
      <color rgb="FF000000"/>
      <sz val="9"/>
    </font>
    <font>
      <name val="Malgun Gothic"/>
      <charset val="129"/>
      <family val="3"/>
      <b val="1"/>
      <color rgb="FFFF0000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color rgb="FF999999"/>
      <sz val="10"/>
    </font>
    <font>
      <name val="Malgun Gothic"/>
      <charset val="129"/>
      <family val="3"/>
      <color rgb="FFFF0000"/>
      <sz val="10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rgb="FFB7B7B7"/>
      <sz val="10"/>
    </font>
    <font>
      <name val="맑은 고딕"/>
      <charset val="129"/>
      <family val="3"/>
      <color rgb="FF000000"/>
      <sz val="9"/>
    </font>
    <font>
      <name val="Calibri"/>
      <charset val="129"/>
      <family val="3"/>
      <sz val="8"/>
      <scheme val="minor"/>
    </font>
    <font>
      <name val="굴림"/>
      <charset val="129"/>
      <family val="3"/>
      <sz val="10"/>
    </font>
    <font>
      <name val="Calibri"/>
      <charset val="129"/>
      <family val="3"/>
      <sz val="11"/>
      <scheme val="minor"/>
    </font>
    <font>
      <name val="Calibri"/>
      <charset val="129"/>
      <family val="3"/>
      <b val="1"/>
      <sz val="10"/>
      <scheme val="minor"/>
    </font>
    <font>
      <name val="Calibri"/>
      <charset val="129"/>
      <family val="3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color theme="1"/>
      <sz val="10"/>
    </font>
    <font>
      <name val="맑은 고딕"/>
      <charset val="129"/>
      <family val="3"/>
      <sz val="9"/>
    </font>
    <font>
      <name val="맑은 고딕"/>
      <charset val="129"/>
      <family val="3"/>
      <sz val="10"/>
      <u val="single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sz val="14"/>
    </font>
    <font>
      <name val="맑은 고딕"/>
      <sz val="9"/>
    </font>
  </fonts>
  <fills count="29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"/>
        <bgColor theme="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theme="8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499893185216834"/>
        <bgColor rgb="FFBFBFBF"/>
      </patternFill>
    </fill>
    <fill>
      <patternFill patternType="solid">
        <fgColor theme="2" tint="-0.0499893185216834"/>
        <bgColor indexed="64"/>
      </patternFill>
    </fill>
    <fill>
      <patternFill patternType="solid">
        <fgColor theme="7"/>
        <bgColor rgb="FFBFBFBF"/>
      </patternFill>
    </fill>
    <fill>
      <patternFill patternType="solid">
        <fgColor theme="7" tint="0.7999816888943144"/>
        <bgColor rgb="FFBFBFBF"/>
      </patternFill>
    </fill>
    <fill>
      <patternFill patternType="solid">
        <fgColor theme="7" tint="0.7999816888943144"/>
        <bgColor rgb="FFF2F2F2"/>
      </patternFill>
    </fill>
  </fills>
  <borders count="1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/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/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D8D8D8"/>
      </bottom>
      <diagonal/>
    </border>
    <border>
      <left style="medium">
        <color rgb="FF000000"/>
      </left>
      <right/>
      <top style="thin">
        <color rgb="FF000000"/>
      </top>
      <bottom style="thin">
        <color rgb="FFD8D8D8"/>
      </bottom>
      <diagonal/>
    </border>
    <border>
      <left/>
      <right/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medium">
        <color rgb="FF000000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rgb="FFD8D8D8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rgb="FF000000"/>
      </right>
      <top style="thin">
        <color theme="0" tint="-0.1499679555650502"/>
      </top>
      <bottom/>
      <diagonal/>
    </border>
    <border>
      <left/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theme="0" tint="-0.1499679555650502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4"/>
    <xf numFmtId="0" fontId="20" fillId="0" borderId="4" applyAlignment="1">
      <alignment vertical="center"/>
    </xf>
  </cellStyleXfs>
  <cellXfs count="38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4" fillId="2" borderId="5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4" fillId="4" borderId="16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164" fontId="5" fillId="2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0" fontId="5" fillId="2" borderId="20" applyAlignment="1" pivotButton="0" quotePrefix="0" xfId="0">
      <alignment horizontal="left" vertical="center"/>
    </xf>
    <xf numFmtId="0" fontId="5" fillId="2" borderId="20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164" fontId="5" fillId="2" borderId="23" applyAlignment="1" pivotButton="0" quotePrefix="0" xfId="0">
      <alignment horizontal="center" vertical="center"/>
    </xf>
    <xf numFmtId="0" fontId="5" fillId="2" borderId="23" applyAlignment="1" pivotButton="0" quotePrefix="0" xfId="0">
      <alignment horizontal="left" vertical="center"/>
    </xf>
    <xf numFmtId="0" fontId="5" fillId="2" borderId="23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0" fontId="5" fillId="2" borderId="26" applyAlignment="1" pivotButton="0" quotePrefix="0" xfId="0">
      <alignment horizontal="left" vertical="center"/>
    </xf>
    <xf numFmtId="0" fontId="5" fillId="2" borderId="26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4" fillId="0" borderId="0" pivotButton="0" quotePrefix="0" xfId="0"/>
    <xf numFmtId="10" fontId="7" fillId="0" borderId="0" applyAlignment="1" pivotButton="0" quotePrefix="0" xfId="0">
      <alignment horizontal="center"/>
    </xf>
    <xf numFmtId="0" fontId="7" fillId="5" borderId="28" applyAlignment="1" pivotButton="0" quotePrefix="0" xfId="0">
      <alignment horizontal="center"/>
    </xf>
    <xf numFmtId="10" fontId="7" fillId="0" borderId="28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7" fillId="0" borderId="28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11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0" fillId="6" borderId="1" applyAlignment="1" pivotButton="0" quotePrefix="0" xfId="0">
      <alignment horizontal="right" vertical="center"/>
    </xf>
    <xf numFmtId="0" fontId="16" fillId="7" borderId="48" applyAlignment="1" pivotButton="0" quotePrefix="0" xfId="0">
      <alignment horizontal="center" vertical="center"/>
    </xf>
    <xf numFmtId="0" fontId="16" fillId="7" borderId="28" applyAlignment="1" pivotButton="0" quotePrefix="0" xfId="0">
      <alignment horizontal="center" vertical="center"/>
    </xf>
    <xf numFmtId="0" fontId="16" fillId="8" borderId="28" applyAlignment="1" pivotButton="0" quotePrefix="0" xfId="0">
      <alignment horizontal="center" vertical="center"/>
    </xf>
    <xf numFmtId="0" fontId="16" fillId="8" borderId="49" applyAlignment="1" pivotButton="0" quotePrefix="0" xfId="0">
      <alignment horizontal="center" vertical="center"/>
    </xf>
    <xf numFmtId="0" fontId="16" fillId="9" borderId="29" applyAlignment="1" pivotButton="0" quotePrefix="0" xfId="0">
      <alignment horizontal="center" vertical="center"/>
    </xf>
    <xf numFmtId="0" fontId="16" fillId="9" borderId="28" applyAlignment="1" pivotButton="0" quotePrefix="0" xfId="0">
      <alignment horizontal="center" vertical="center"/>
    </xf>
    <xf numFmtId="0" fontId="16" fillId="9" borderId="49" applyAlignment="1" pivotButton="0" quotePrefix="0" xfId="0">
      <alignment horizontal="center" vertical="center"/>
    </xf>
    <xf numFmtId="0" fontId="17" fillId="10" borderId="50" applyAlignment="1" pivotButton="0" quotePrefix="0" xfId="0">
      <alignment horizontal="center" vertical="center"/>
    </xf>
    <xf numFmtId="0" fontId="17" fillId="10" borderId="51" applyAlignment="1" pivotButton="0" quotePrefix="0" xfId="0">
      <alignment vertical="center"/>
    </xf>
    <xf numFmtId="0" fontId="17" fillId="10" borderId="52" applyAlignment="1" pivotButton="0" quotePrefix="0" xfId="0">
      <alignment horizontal="center" vertical="center"/>
    </xf>
    <xf numFmtId="165" fontId="17" fillId="10" borderId="22" applyAlignment="1" pivotButton="0" quotePrefix="0" xfId="0">
      <alignment horizontal="center" vertical="center"/>
    </xf>
    <xf numFmtId="165" fontId="17" fillId="10" borderId="23" applyAlignment="1" pivotButton="0" quotePrefix="0" xfId="0">
      <alignment horizontal="center" vertical="center"/>
    </xf>
    <xf numFmtId="165" fontId="17" fillId="10" borderId="51" applyAlignment="1" pivotButton="0" quotePrefix="0" xfId="0">
      <alignment horizontal="center" vertical="center"/>
    </xf>
    <xf numFmtId="165" fontId="17" fillId="10" borderId="53" applyAlignment="1" pivotButton="0" quotePrefix="0" xfId="0">
      <alignment horizontal="center" vertical="center"/>
    </xf>
    <xf numFmtId="165" fontId="17" fillId="10" borderId="54" applyAlignment="1" pivotButton="0" quotePrefix="0" xfId="0">
      <alignment horizontal="center" vertical="center"/>
    </xf>
    <xf numFmtId="0" fontId="17" fillId="10" borderId="22" applyAlignment="1" pivotButton="0" quotePrefix="0" xfId="0">
      <alignment horizontal="center" vertical="center"/>
    </xf>
    <xf numFmtId="0" fontId="17" fillId="10" borderId="23" applyAlignment="1" pivotButton="0" quotePrefix="0" xfId="0">
      <alignment vertical="center"/>
    </xf>
    <xf numFmtId="0" fontId="17" fillId="10" borderId="55" applyAlignment="1" pivotButton="0" quotePrefix="0" xfId="0">
      <alignment horizontal="center" vertical="center"/>
    </xf>
    <xf numFmtId="165" fontId="17" fillId="10" borderId="24" applyAlignment="1" pivotButton="0" quotePrefix="0" xfId="0">
      <alignment horizontal="center" vertical="center"/>
    </xf>
    <xf numFmtId="165" fontId="17" fillId="10" borderId="37" applyAlignment="1" pivotButton="0" quotePrefix="0" xfId="0">
      <alignment horizontal="center" vertical="center"/>
    </xf>
    <xf numFmtId="0" fontId="17" fillId="10" borderId="23" applyAlignment="1" pivotButton="0" quotePrefix="1" xfId="0">
      <alignment horizontal="center" vertical="center"/>
    </xf>
    <xf numFmtId="0" fontId="17" fillId="10" borderId="24" applyAlignment="1" pivotButton="0" quotePrefix="1" xfId="0">
      <alignment horizontal="center" vertical="center"/>
    </xf>
    <xf numFmtId="0" fontId="17" fillId="10" borderId="23" applyAlignment="1" pivotButton="0" quotePrefix="0" xfId="0">
      <alignment horizontal="center" vertical="center"/>
    </xf>
    <xf numFmtId="0" fontId="17" fillId="10" borderId="24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/>
    </xf>
    <xf numFmtId="0" fontId="13" fillId="10" borderId="23" applyAlignment="1" pivotButton="0" quotePrefix="0" xfId="0">
      <alignment vertical="center"/>
    </xf>
    <xf numFmtId="0" fontId="13" fillId="10" borderId="55" applyAlignment="1" pivotButton="0" quotePrefix="0" xfId="0">
      <alignment horizontal="center" vertical="center"/>
    </xf>
    <xf numFmtId="165" fontId="13" fillId="10" borderId="22" applyAlignment="1" pivotButton="0" quotePrefix="0" xfId="0">
      <alignment horizontal="center" vertical="center"/>
    </xf>
    <xf numFmtId="165" fontId="13" fillId="10" borderId="23" applyAlignment="1" pivotButton="0" quotePrefix="0" xfId="0">
      <alignment horizontal="center" vertical="center"/>
    </xf>
    <xf numFmtId="165" fontId="13" fillId="10" borderId="24" applyAlignment="1" pivotButton="0" quotePrefix="1" xfId="0">
      <alignment horizontal="center" vertical="center"/>
    </xf>
    <xf numFmtId="165" fontId="13" fillId="10" borderId="37" applyAlignment="1" pivotButton="0" quotePrefix="0" xfId="0">
      <alignment horizontal="center" vertical="center"/>
    </xf>
    <xf numFmtId="0" fontId="13" fillId="10" borderId="23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165" fontId="13" fillId="10" borderId="22" applyAlignment="1" pivotButton="0" quotePrefix="1" xfId="0">
      <alignment horizontal="center" vertical="center"/>
    </xf>
    <xf numFmtId="165" fontId="13" fillId="10" borderId="23" applyAlignment="1" pivotButton="0" quotePrefix="1" xfId="0">
      <alignment horizontal="center" vertical="center"/>
    </xf>
    <xf numFmtId="0" fontId="11" fillId="2" borderId="34" applyAlignment="1" pivotButton="0" quotePrefix="0" xfId="0">
      <alignment horizontal="center" vertical="center"/>
    </xf>
    <xf numFmtId="0" fontId="11" fillId="2" borderId="35" applyAlignment="1" pivotButton="0" quotePrefix="0" xfId="0">
      <alignment vertical="center"/>
    </xf>
    <xf numFmtId="0" fontId="11" fillId="2" borderId="56" applyAlignment="1" pivotButton="0" quotePrefix="0" xfId="0">
      <alignment horizontal="center" vertical="center"/>
    </xf>
    <xf numFmtId="165" fontId="11" fillId="2" borderId="22" applyAlignment="1" pivotButton="0" quotePrefix="1" xfId="0">
      <alignment horizontal="center" vertical="center"/>
    </xf>
    <xf numFmtId="165" fontId="11" fillId="2" borderId="23" applyAlignment="1" pivotButton="0" quotePrefix="1" xfId="0">
      <alignment horizontal="center" vertical="center"/>
    </xf>
    <xf numFmtId="165" fontId="11" fillId="2" borderId="35" applyAlignment="1" pivotButton="0" quotePrefix="0" xfId="0">
      <alignment horizontal="center" vertical="center"/>
    </xf>
    <xf numFmtId="165" fontId="11" fillId="2" borderId="36" applyAlignment="1" pivotButton="0" quotePrefix="0" xfId="0">
      <alignment horizontal="center" vertical="center"/>
    </xf>
    <xf numFmtId="165" fontId="11" fillId="2" borderId="57" applyAlignment="1" pivotButton="0" quotePrefix="0" xfId="0">
      <alignment horizontal="center" vertical="center"/>
    </xf>
    <xf numFmtId="165" fontId="11" fillId="2" borderId="22" applyAlignment="1" pivotButton="0" quotePrefix="0" xfId="0">
      <alignment horizontal="center" vertical="center"/>
    </xf>
    <xf numFmtId="165" fontId="11" fillId="2" borderId="23" applyAlignment="1" pivotButton="0" quotePrefix="0" xfId="0">
      <alignment horizontal="center" vertical="center"/>
    </xf>
    <xf numFmtId="0" fontId="11" fillId="2" borderId="55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14" fillId="2" borderId="26" applyAlignment="1" pivotButton="0" quotePrefix="0" xfId="0">
      <alignment vertical="center"/>
    </xf>
    <xf numFmtId="0" fontId="11" fillId="2" borderId="58" applyAlignment="1" pivotButton="0" quotePrefix="0" xfId="0">
      <alignment horizontal="center" vertical="center"/>
    </xf>
    <xf numFmtId="165" fontId="11" fillId="2" borderId="25" applyAlignment="1" pivotButton="0" quotePrefix="0" xfId="0">
      <alignment horizontal="center" vertical="center"/>
    </xf>
    <xf numFmtId="165" fontId="11" fillId="2" borderId="26" applyAlignment="1" pivotButton="0" quotePrefix="0" xfId="0">
      <alignment horizontal="center" vertical="center"/>
    </xf>
    <xf numFmtId="165" fontId="11" fillId="2" borderId="27" applyAlignment="1" pivotButton="0" quotePrefix="0" xfId="0">
      <alignment horizontal="center" vertical="center"/>
    </xf>
    <xf numFmtId="165" fontId="11" fillId="2" borderId="59" applyAlignment="1" pivotButton="0" quotePrefix="0" xfId="0">
      <alignment horizontal="center" vertical="center"/>
    </xf>
    <xf numFmtId="0" fontId="16" fillId="3" borderId="28" applyAlignment="1" pivotButton="0" quotePrefix="0" xfId="0">
      <alignment horizontal="center" vertical="center"/>
    </xf>
    <xf numFmtId="0" fontId="16" fillId="3" borderId="49" applyAlignment="1" pivotButton="0" quotePrefix="0" xfId="0">
      <alignment horizontal="center" vertical="center"/>
    </xf>
    <xf numFmtId="0" fontId="17" fillId="10" borderId="65" applyAlignment="1" pivotButton="0" quotePrefix="0" xfId="0">
      <alignment horizontal="center" vertical="center"/>
    </xf>
    <xf numFmtId="0" fontId="17" fillId="10" borderId="51" applyAlignment="1" pivotButton="0" quotePrefix="0" xfId="0">
      <alignment horizontal="center" vertical="center"/>
    </xf>
    <xf numFmtId="0" fontId="17" fillId="10" borderId="9" applyAlignment="1" pivotButton="0" quotePrefix="0" xfId="0">
      <alignment horizontal="center" vertical="center"/>
    </xf>
    <xf numFmtId="0" fontId="17" fillId="11" borderId="22" applyAlignment="1" pivotButton="0" quotePrefix="0" xfId="0">
      <alignment horizontal="center" vertical="center"/>
    </xf>
    <xf numFmtId="0" fontId="17" fillId="11" borderId="23" applyAlignment="1" pivotButton="0" quotePrefix="0" xfId="0">
      <alignment vertical="center"/>
    </xf>
    <xf numFmtId="0" fontId="17" fillId="11" borderId="9" applyAlignment="1" pivotButton="0" quotePrefix="0" xfId="0">
      <alignment horizontal="center" vertical="center"/>
    </xf>
    <xf numFmtId="165" fontId="17" fillId="11" borderId="23" applyAlignment="1" pivotButton="0" quotePrefix="0" xfId="0">
      <alignment horizontal="center" vertical="center"/>
    </xf>
    <xf numFmtId="165" fontId="17" fillId="11" borderId="24" applyAlignment="1" pivotButton="0" quotePrefix="0" xfId="0">
      <alignment horizontal="center" vertical="center"/>
    </xf>
    <xf numFmtId="165" fontId="17" fillId="11" borderId="37" applyAlignment="1" pivotButton="0" quotePrefix="0" xfId="0">
      <alignment horizontal="center" vertical="center"/>
    </xf>
    <xf numFmtId="0" fontId="17" fillId="11" borderId="23" applyAlignment="1" pivotButton="0" quotePrefix="0" xfId="0">
      <alignment horizontal="center" vertical="center"/>
    </xf>
    <xf numFmtId="0" fontId="17" fillId="10" borderId="25" applyAlignment="1" pivotButton="0" quotePrefix="0" xfId="0">
      <alignment horizontal="center" vertical="center"/>
    </xf>
    <xf numFmtId="0" fontId="17" fillId="10" borderId="26" applyAlignment="1" pivotButton="0" quotePrefix="0" xfId="0">
      <alignment vertical="center"/>
    </xf>
    <xf numFmtId="0" fontId="17" fillId="10" borderId="13" applyAlignment="1" pivotButton="0" quotePrefix="0" xfId="0">
      <alignment horizontal="center" vertical="center"/>
    </xf>
    <xf numFmtId="165" fontId="17" fillId="10" borderId="26" applyAlignment="1" pivotButton="0" quotePrefix="0" xfId="0">
      <alignment horizontal="center" vertical="center"/>
    </xf>
    <xf numFmtId="165" fontId="17" fillId="10" borderId="27" applyAlignment="1" pivotButton="0" quotePrefix="0" xfId="0">
      <alignment horizontal="center" vertical="center"/>
    </xf>
    <xf numFmtId="165" fontId="17" fillId="10" borderId="59" applyAlignment="1" pivotButton="0" quotePrefix="0" xfId="0">
      <alignment horizontal="center" vertical="center"/>
    </xf>
    <xf numFmtId="0" fontId="17" fillId="10" borderId="26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vertical="center"/>
    </xf>
    <xf numFmtId="0" fontId="11" fillId="0" borderId="11" applyAlignment="1" pivotButton="0" quotePrefix="0" xfId="0">
      <alignment horizontal="center" vertical="center"/>
    </xf>
    <xf numFmtId="165" fontId="11" fillId="0" borderId="23" applyAlignment="1" pivotButton="0" quotePrefix="0" xfId="0">
      <alignment horizontal="center" vertical="center"/>
    </xf>
    <xf numFmtId="165" fontId="11" fillId="0" borderId="24" applyAlignment="1" pivotButton="0" quotePrefix="0" xfId="0">
      <alignment horizontal="center" vertical="center"/>
    </xf>
    <xf numFmtId="165" fontId="11" fillId="0" borderId="70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2" borderId="26" applyAlignment="1" pivotButton="0" quotePrefix="0" xfId="0">
      <alignment vertical="center"/>
    </xf>
    <xf numFmtId="0" fontId="11" fillId="2" borderId="13" applyAlignment="1" pivotButton="0" quotePrefix="0" xfId="0">
      <alignment horizontal="center" vertical="center"/>
    </xf>
    <xf numFmtId="0" fontId="25" fillId="12" borderId="74" applyAlignment="1" pivotButton="0" quotePrefix="0" xfId="1">
      <alignment horizontal="center" vertical="center"/>
    </xf>
    <xf numFmtId="0" fontId="25" fillId="12" borderId="75" applyAlignment="1" pivotButton="0" quotePrefix="0" xfId="1">
      <alignment horizontal="center" vertical="center"/>
    </xf>
    <xf numFmtId="0" fontId="25" fillId="12" borderId="76" applyAlignment="1" pivotButton="0" quotePrefix="0" xfId="1">
      <alignment horizontal="center" vertical="center"/>
    </xf>
    <xf numFmtId="0" fontId="0" fillId="12" borderId="0" pivotButton="0" quotePrefix="0" xfId="0"/>
    <xf numFmtId="0" fontId="26" fillId="2" borderId="1" applyAlignment="1" pivotButton="0" quotePrefix="0" xfId="0">
      <alignment vertical="center"/>
    </xf>
    <xf numFmtId="0" fontId="26" fillId="2" borderId="1" applyAlignment="1" pivotButton="0" quotePrefix="0" xfId="0">
      <alignment horizontal="center" vertical="center"/>
    </xf>
    <xf numFmtId="0" fontId="26" fillId="12" borderId="0" pivotButton="0" quotePrefix="0" xfId="0"/>
    <xf numFmtId="0" fontId="26" fillId="12" borderId="0" applyAlignment="1" pivotButton="0" quotePrefix="0" xfId="0">
      <alignment vertical="center"/>
    </xf>
    <xf numFmtId="0" fontId="26" fillId="12" borderId="4" pivotButton="0" quotePrefix="0" xfId="0"/>
    <xf numFmtId="0" fontId="30" fillId="2" borderId="1" applyAlignment="1" pivotButton="0" quotePrefix="0" xfId="0">
      <alignment vertical="center"/>
    </xf>
    <xf numFmtId="0" fontId="29" fillId="2" borderId="1" applyAlignment="1" pivotButton="0" quotePrefix="0" xfId="0">
      <alignment vertical="center"/>
    </xf>
    <xf numFmtId="0" fontId="29" fillId="12" borderId="0" pivotButton="0" quotePrefix="0" xfId="0"/>
    <xf numFmtId="0" fontId="32" fillId="15" borderId="23" applyAlignment="1" pivotButton="0" quotePrefix="0" xfId="0">
      <alignment vertical="center" wrapText="1"/>
    </xf>
    <xf numFmtId="0" fontId="29" fillId="15" borderId="1" applyAlignment="1" pivotButton="0" quotePrefix="0" xfId="0">
      <alignment vertical="center"/>
    </xf>
    <xf numFmtId="0" fontId="29" fillId="16" borderId="1" applyAlignment="1" pivotButton="0" quotePrefix="0" xfId="0">
      <alignment vertical="center"/>
    </xf>
    <xf numFmtId="0" fontId="26" fillId="2" borderId="4" applyAlignment="1" pivotButton="0" quotePrefix="0" xfId="0">
      <alignment vertical="center"/>
    </xf>
    <xf numFmtId="0" fontId="31" fillId="2" borderId="20" applyAlignment="1" pivotButton="0" quotePrefix="0" xfId="0">
      <alignment vertical="center" wrapText="1"/>
    </xf>
    <xf numFmtId="0" fontId="29" fillId="2" borderId="20" applyAlignment="1" pivotButton="0" quotePrefix="0" xfId="0">
      <alignment vertical="center" wrapText="1"/>
    </xf>
    <xf numFmtId="0" fontId="28" fillId="19" borderId="85" applyAlignment="1" pivotButton="0" quotePrefix="0" xfId="0">
      <alignment horizontal="center" vertical="center"/>
    </xf>
    <xf numFmtId="0" fontId="28" fillId="20" borderId="86" applyAlignment="1" pivotButton="0" quotePrefix="0" xfId="0">
      <alignment horizontal="center" vertical="center"/>
    </xf>
    <xf numFmtId="0" fontId="28" fillId="19" borderId="86" applyAlignment="1" pivotButton="0" quotePrefix="0" xfId="0">
      <alignment horizontal="center" vertical="center"/>
    </xf>
    <xf numFmtId="0" fontId="28" fillId="21" borderId="85" applyAlignment="1" pivotButton="0" quotePrefix="0" xfId="0">
      <alignment horizontal="center" vertical="center" wrapText="1"/>
    </xf>
    <xf numFmtId="0" fontId="28" fillId="23" borderId="86" applyAlignment="1" pivotButton="0" quotePrefix="0" xfId="0">
      <alignment horizontal="center" vertical="center"/>
    </xf>
    <xf numFmtId="0" fontId="27" fillId="17" borderId="4" applyAlignment="1" pivotButton="0" quotePrefix="0" xfId="0">
      <alignment horizontal="center"/>
    </xf>
    <xf numFmtId="10" fontId="27" fillId="18" borderId="4" applyAlignment="1" pivotButton="0" quotePrefix="0" xfId="0">
      <alignment horizontal="center"/>
    </xf>
    <xf numFmtId="0" fontId="27" fillId="17" borderId="95" applyAlignment="1" pivotButton="0" quotePrefix="0" xfId="0">
      <alignment horizontal="center" vertical="center"/>
    </xf>
    <xf numFmtId="0" fontId="27" fillId="24" borderId="99" applyAlignment="1" pivotButton="0" quotePrefix="0" xfId="0">
      <alignment horizontal="center" vertical="center"/>
    </xf>
    <xf numFmtId="0" fontId="27" fillId="26" borderId="93" applyAlignment="1" pivotButton="0" quotePrefix="0" xfId="0">
      <alignment horizontal="center" vertical="center"/>
    </xf>
    <xf numFmtId="0" fontId="27" fillId="26" borderId="94" applyAlignment="1" pivotButton="0" quotePrefix="0" xfId="0">
      <alignment horizontal="center" vertical="center"/>
    </xf>
    <xf numFmtId="0" fontId="27" fillId="26" borderId="101" applyAlignment="1" pivotButton="0" quotePrefix="0" xfId="0">
      <alignment horizontal="center" vertical="center"/>
    </xf>
    <xf numFmtId="0" fontId="27" fillId="27" borderId="98" applyAlignment="1" pivotButton="0" quotePrefix="0" xfId="0">
      <alignment horizontal="center" vertical="center"/>
    </xf>
    <xf numFmtId="0" fontId="27" fillId="27" borderId="96" applyAlignment="1" pivotButton="0" quotePrefix="0" xfId="0">
      <alignment horizontal="center" vertical="center"/>
    </xf>
    <xf numFmtId="10" fontId="27" fillId="28" borderId="97" applyAlignment="1" pivotButton="0" quotePrefix="0" xfId="0">
      <alignment horizontal="center" vertical="center"/>
    </xf>
    <xf numFmtId="10" fontId="27" fillId="28" borderId="103" applyAlignment="1" pivotButton="0" quotePrefix="0" xfId="0">
      <alignment horizontal="center" vertical="center"/>
    </xf>
    <xf numFmtId="0" fontId="34" fillId="2" borderId="1" applyAlignment="1" pivotButton="0" quotePrefix="0" xfId="0">
      <alignment vertical="center"/>
    </xf>
    <xf numFmtId="3" fontId="18" fillId="25" borderId="100" applyAlignment="1" pivotButton="0" quotePrefix="0" xfId="0">
      <alignment horizontal="center" vertical="center"/>
    </xf>
    <xf numFmtId="3" fontId="18" fillId="25" borderId="102" applyAlignment="1" pivotButton="0" quotePrefix="0" xfId="0">
      <alignment horizontal="center" vertical="center"/>
    </xf>
    <xf numFmtId="3" fontId="18" fillId="22" borderId="32" applyAlignment="1" pivotButton="0" quotePrefix="0" xfId="0">
      <alignment horizontal="center" vertical="center"/>
    </xf>
    <xf numFmtId="3" fontId="18" fillId="22" borderId="92" applyAlignment="1" pivotButton="0" quotePrefix="0" xfId="0">
      <alignment horizontal="center" vertical="center"/>
    </xf>
    <xf numFmtId="3" fontId="18" fillId="12" borderId="81" applyAlignment="1" pivotButton="0" quotePrefix="0" xfId="0">
      <alignment horizontal="center" vertical="center"/>
    </xf>
    <xf numFmtId="3" fontId="18" fillId="12" borderId="82" applyAlignment="1" pivotButton="0" quotePrefix="0" xfId="0">
      <alignment horizontal="center" vertical="center"/>
    </xf>
    <xf numFmtId="0" fontId="29" fillId="15" borderId="23" applyAlignment="1" pivotButton="0" quotePrefix="0" xfId="0">
      <alignment vertical="center" wrapText="1"/>
    </xf>
    <xf numFmtId="0" fontId="29" fillId="15" borderId="24" applyAlignment="1" pivotButton="0" quotePrefix="0" xfId="0">
      <alignment vertical="center" wrapText="1"/>
    </xf>
    <xf numFmtId="0" fontId="29" fillId="2" borderId="19" applyAlignment="1" pivotButton="0" quotePrefix="0" xfId="0">
      <alignment horizontal="center" vertical="center" wrapText="1"/>
    </xf>
    <xf numFmtId="164" fontId="29" fillId="2" borderId="20" applyAlignment="1" pivotButton="0" quotePrefix="0" xfId="0">
      <alignment horizontal="center" vertical="center" wrapText="1"/>
    </xf>
    <xf numFmtId="0" fontId="29" fillId="2" borderId="20" applyAlignment="1" pivotButton="0" quotePrefix="0" xfId="0">
      <alignment horizontal="center" vertical="center" wrapText="1"/>
    </xf>
    <xf numFmtId="0" fontId="29" fillId="2" borderId="20" applyAlignment="1" pivotButton="0" quotePrefix="0" xfId="0">
      <alignment horizontal="left" vertical="center" wrapText="1"/>
    </xf>
    <xf numFmtId="0" fontId="29" fillId="14" borderId="20" applyAlignment="1" pivotButton="0" quotePrefix="0" xfId="0">
      <alignment horizontal="center" vertical="center" wrapText="1"/>
    </xf>
    <xf numFmtId="166" fontId="29" fillId="2" borderId="20" applyAlignment="1" pivotButton="0" quotePrefix="0" xfId="0">
      <alignment horizontal="center" vertical="center" wrapText="1"/>
    </xf>
    <xf numFmtId="165" fontId="29" fillId="2" borderId="20" applyAlignment="1" pivotButton="0" quotePrefix="0" xfId="0">
      <alignment horizontal="center" vertical="center" wrapText="1"/>
    </xf>
    <xf numFmtId="0" fontId="29" fillId="2" borderId="21" applyAlignment="1" pivotButton="0" quotePrefix="0" xfId="0">
      <alignment vertical="center" wrapText="1"/>
    </xf>
    <xf numFmtId="0" fontId="29" fillId="15" borderId="22" applyAlignment="1" pivotButton="0" quotePrefix="0" xfId="0">
      <alignment horizontal="center" vertical="center" wrapText="1"/>
    </xf>
    <xf numFmtId="164" fontId="29" fillId="15" borderId="23" applyAlignment="1" pivotButton="0" quotePrefix="0" xfId="0">
      <alignment horizontal="center" vertical="center" wrapText="1"/>
    </xf>
    <xf numFmtId="0" fontId="29" fillId="15" borderId="23" applyAlignment="1" pivotButton="0" quotePrefix="0" xfId="0">
      <alignment horizontal="center" vertical="center" wrapText="1"/>
    </xf>
    <xf numFmtId="0" fontId="29" fillId="15" borderId="23" applyAlignment="1" pivotButton="0" quotePrefix="0" xfId="0">
      <alignment horizontal="left" vertical="center" wrapText="1"/>
    </xf>
    <xf numFmtId="0" fontId="31" fillId="15" borderId="23" applyAlignment="1" pivotButton="0" quotePrefix="0" xfId="0">
      <alignment vertical="center" wrapText="1"/>
    </xf>
    <xf numFmtId="166" fontId="29" fillId="15" borderId="23" applyAlignment="1" pivotButton="0" quotePrefix="0" xfId="0">
      <alignment horizontal="center" vertical="center" wrapText="1"/>
    </xf>
    <xf numFmtId="165" fontId="29" fillId="15" borderId="23" applyAlignment="1" pivotButton="0" quotePrefix="0" xfId="0">
      <alignment horizontal="center" vertical="center" wrapText="1"/>
    </xf>
    <xf numFmtId="0" fontId="30" fillId="2" borderId="22" applyAlignment="1" pivotButton="0" quotePrefix="0" xfId="0">
      <alignment horizontal="center" vertical="center" wrapText="1"/>
    </xf>
    <xf numFmtId="164" fontId="30" fillId="2" borderId="23" applyAlignment="1" pivotButton="0" quotePrefix="0" xfId="0">
      <alignment horizontal="center" vertical="center" wrapText="1"/>
    </xf>
    <xf numFmtId="0" fontId="30" fillId="2" borderId="23" applyAlignment="1" pivotButton="0" quotePrefix="0" xfId="0">
      <alignment horizontal="center" vertical="center" wrapText="1"/>
    </xf>
    <xf numFmtId="0" fontId="30" fillId="2" borderId="23" applyAlignment="1" pivotButton="0" quotePrefix="0" xfId="0">
      <alignment horizontal="left" vertical="center" wrapText="1"/>
    </xf>
    <xf numFmtId="0" fontId="33" fillId="2" borderId="23" applyAlignment="1" pivotButton="0" quotePrefix="0" xfId="0">
      <alignment vertical="center" wrapText="1"/>
    </xf>
    <xf numFmtId="0" fontId="30" fillId="2" borderId="23" applyAlignment="1" pivotButton="0" quotePrefix="0" xfId="0">
      <alignment vertical="center" wrapText="1"/>
    </xf>
    <xf numFmtId="166" fontId="30" fillId="2" borderId="23" applyAlignment="1" pivotButton="0" quotePrefix="0" xfId="0">
      <alignment horizontal="center" vertical="center" wrapText="1"/>
    </xf>
    <xf numFmtId="165" fontId="30" fillId="2" borderId="23" applyAlignment="1" pivotButton="0" quotePrefix="0" xfId="0">
      <alignment horizontal="center" vertical="center" wrapText="1"/>
    </xf>
    <xf numFmtId="0" fontId="30" fillId="2" borderId="24" applyAlignment="1" pivotButton="0" quotePrefix="0" xfId="0">
      <alignment vertical="center" wrapText="1"/>
    </xf>
    <xf numFmtId="0" fontId="30" fillId="2" borderId="25" applyAlignment="1" pivotButton="0" quotePrefix="0" xfId="0">
      <alignment horizontal="center" vertical="center" wrapText="1"/>
    </xf>
    <xf numFmtId="164" fontId="30" fillId="2" borderId="26" applyAlignment="1" pivotButton="0" quotePrefix="0" xfId="0">
      <alignment horizontal="center" vertical="center" wrapText="1"/>
    </xf>
    <xf numFmtId="0" fontId="30" fillId="2" borderId="26" applyAlignment="1" pivotButton="0" quotePrefix="0" xfId="0">
      <alignment horizontal="center" vertical="center" wrapText="1"/>
    </xf>
    <xf numFmtId="0" fontId="30" fillId="2" borderId="26" applyAlignment="1" pivotButton="0" quotePrefix="0" xfId="0">
      <alignment horizontal="left" vertical="center" wrapText="1"/>
    </xf>
    <xf numFmtId="0" fontId="33" fillId="2" borderId="26" applyAlignment="1" pivotButton="0" quotePrefix="0" xfId="0">
      <alignment vertical="center" wrapText="1"/>
    </xf>
    <xf numFmtId="0" fontId="30" fillId="2" borderId="26" applyAlignment="1" pivotButton="0" quotePrefix="0" xfId="0">
      <alignment vertical="center" wrapText="1"/>
    </xf>
    <xf numFmtId="166" fontId="30" fillId="2" borderId="26" applyAlignment="1" pivotButton="0" quotePrefix="0" xfId="0">
      <alignment horizontal="center" vertical="center" wrapText="1"/>
    </xf>
    <xf numFmtId="165" fontId="30" fillId="2" borderId="26" applyAlignment="1" pivotButton="0" quotePrefix="0" xfId="0">
      <alignment horizontal="center" vertical="center" wrapText="1"/>
    </xf>
    <xf numFmtId="0" fontId="30" fillId="2" borderId="27" applyAlignment="1" pivotButton="0" quotePrefix="0" xfId="0">
      <alignment vertical="center" wrapText="1"/>
    </xf>
    <xf numFmtId="0" fontId="21" fillId="12" borderId="77" applyAlignment="1" pivotButton="0" quotePrefix="0" xfId="1">
      <alignment horizontal="right" vertical="center" indent="1"/>
    </xf>
    <xf numFmtId="0" fontId="21" fillId="12" borderId="78" applyAlignment="1" pivotButton="0" quotePrefix="0" xfId="1">
      <alignment horizontal="right" vertical="center" indent="1"/>
    </xf>
    <xf numFmtId="0" fontId="21" fillId="12" borderId="79" applyAlignment="1" pivotButton="0" quotePrefix="0" xfId="1">
      <alignment horizontal="right" vertical="center" indent="1"/>
    </xf>
    <xf numFmtId="0" fontId="21" fillId="12" borderId="80" applyAlignment="1" pivotButton="0" quotePrefix="0" xfId="1">
      <alignment horizontal="right" vertical="center" indent="1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5" fillId="2" borderId="6" applyAlignment="1" pivotButton="0" quotePrefix="0" xfId="0">
      <alignment vertical="center"/>
    </xf>
    <xf numFmtId="0" fontId="3" fillId="0" borderId="7" pivotButton="0" quotePrefix="0" xfId="0"/>
    <xf numFmtId="0" fontId="3" fillId="0" borderId="8" pivotButton="0" quotePrefix="0" xfId="0"/>
    <xf numFmtId="164" fontId="5" fillId="2" borderId="10" applyAlignment="1" pivotButton="0" quotePrefix="0" xfId="0">
      <alignment horizontal="left" vertical="center"/>
    </xf>
    <xf numFmtId="0" fontId="3" fillId="0" borderId="11" pivotButton="0" quotePrefix="0" xfId="0"/>
    <xf numFmtId="0" fontId="3" fillId="0" borderId="12" pivotButton="0" quotePrefix="0" xfId="0"/>
    <xf numFmtId="0" fontId="3" fillId="0" borderId="15" pivotButton="0" quotePrefix="0" xfId="0"/>
    <xf numFmtId="0" fontId="5" fillId="2" borderId="14" applyAlignment="1" pivotButton="0" quotePrefix="0" xfId="0">
      <alignment vertical="center"/>
    </xf>
    <xf numFmtId="0" fontId="22" fillId="13" borderId="104" applyAlignment="1" pivotButton="0" quotePrefix="0" xfId="1">
      <alignment horizontal="center" vertical="center"/>
    </xf>
    <xf numFmtId="0" fontId="24" fillId="13" borderId="105" applyAlignment="1" pivotButton="0" quotePrefix="0" xfId="1">
      <alignment horizontal="center" vertical="center"/>
    </xf>
    <xf numFmtId="0" fontId="24" fillId="13" borderId="106" applyAlignment="1" pivotButton="0" quotePrefix="0" xfId="1">
      <alignment horizontal="center" vertical="center"/>
    </xf>
    <xf numFmtId="0" fontId="24" fillId="13" borderId="107" applyAlignment="1" pivotButton="0" quotePrefix="0" xfId="1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27" fillId="26" borderId="94" applyAlignment="1" pivotButton="0" quotePrefix="0" xfId="0">
      <alignment horizontal="center" vertical="center"/>
    </xf>
    <xf numFmtId="3" fontId="18" fillId="25" borderId="100" applyAlignment="1" pivotButton="0" quotePrefix="0" xfId="0">
      <alignment horizontal="center" vertical="center"/>
    </xf>
    <xf numFmtId="3" fontId="18" fillId="12" borderId="81" applyAlignment="1" pivotButton="0" quotePrefix="0" xfId="0">
      <alignment horizontal="center" vertical="center"/>
    </xf>
    <xf numFmtId="10" fontId="27" fillId="28" borderId="97" applyAlignment="1" pivotButton="0" quotePrefix="0" xfId="0">
      <alignment horizontal="center" vertical="center"/>
    </xf>
    <xf numFmtId="3" fontId="18" fillId="22" borderId="91" applyAlignment="1" pivotButton="0" quotePrefix="0" xfId="0">
      <alignment horizontal="center" vertical="center"/>
    </xf>
    <xf numFmtId="0" fontId="28" fillId="19" borderId="83" applyAlignment="1" pivotButton="0" quotePrefix="0" xfId="0">
      <alignment horizontal="center" vertical="center"/>
    </xf>
    <xf numFmtId="0" fontId="29" fillId="20" borderId="87" pivotButton="0" quotePrefix="0" xfId="0"/>
    <xf numFmtId="0" fontId="28" fillId="19" borderId="38" applyAlignment="1" pivotButton="0" quotePrefix="0" xfId="0">
      <alignment horizontal="center" vertical="center"/>
    </xf>
    <xf numFmtId="0" fontId="29" fillId="20" borderId="84" pivotButton="0" quotePrefix="0" xfId="0"/>
    <xf numFmtId="0" fontId="28" fillId="19" borderId="44" applyAlignment="1" pivotButton="0" quotePrefix="0" xfId="0">
      <alignment horizontal="center" vertical="center"/>
    </xf>
    <xf numFmtId="0" fontId="29" fillId="20" borderId="43" pivotButton="0" quotePrefix="0" xfId="0"/>
    <xf numFmtId="0" fontId="29" fillId="20" borderId="46" pivotButton="0" quotePrefix="0" xfId="0"/>
    <xf numFmtId="0" fontId="28" fillId="21" borderId="44" applyAlignment="1" pivotButton="0" quotePrefix="0" xfId="0">
      <alignment horizontal="center" vertical="center" wrapText="1"/>
    </xf>
    <xf numFmtId="0" fontId="29" fillId="22" borderId="46" pivotButton="0" quotePrefix="0" xfId="0"/>
    <xf numFmtId="0" fontId="29" fillId="22" borderId="43" pivotButton="0" quotePrefix="0" xfId="0"/>
    <xf numFmtId="0" fontId="28" fillId="23" borderId="88" applyAlignment="1" pivotButton="0" quotePrefix="0" xfId="0">
      <alignment horizontal="center" vertical="center"/>
    </xf>
    <xf numFmtId="0" fontId="28" fillId="23" borderId="89" applyAlignment="1" pivotButton="0" quotePrefix="0" xfId="0">
      <alignment horizontal="center" vertical="center"/>
    </xf>
    <xf numFmtId="0" fontId="28" fillId="19" borderId="88" applyAlignment="1" pivotButton="0" quotePrefix="0" xfId="0">
      <alignment horizontal="center" vertical="center"/>
    </xf>
    <xf numFmtId="0" fontId="28" fillId="19" borderId="90" applyAlignment="1" pivotButton="0" quotePrefix="0" xfId="0">
      <alignment horizontal="center" vertical="center"/>
    </xf>
    <xf numFmtId="0" fontId="28" fillId="19" borderId="89" applyAlignment="1" pivotButton="0" quotePrefix="0" xfId="0">
      <alignment horizontal="center" vertical="center"/>
    </xf>
    <xf numFmtId="0" fontId="16" fillId="7" borderId="41" applyAlignment="1" pivotButton="0" quotePrefix="0" xfId="0">
      <alignment horizontal="center" vertical="center"/>
    </xf>
    <xf numFmtId="0" fontId="3" fillId="0" borderId="42" pivotButton="0" quotePrefix="0" xfId="0"/>
    <xf numFmtId="0" fontId="3" fillId="0" borderId="43" pivotButton="0" quotePrefix="0" xfId="0"/>
    <xf numFmtId="0" fontId="16" fillId="8" borderId="44" applyAlignment="1" pivotButton="0" quotePrefix="0" xfId="0">
      <alignment horizontal="center" vertical="center"/>
    </xf>
    <xf numFmtId="0" fontId="3" fillId="0" borderId="45" pivotButton="0" quotePrefix="0" xfId="0"/>
    <xf numFmtId="0" fontId="16" fillId="9" borderId="46" applyAlignment="1" pivotButton="0" quotePrefix="0" xfId="0">
      <alignment horizontal="center" vertical="center"/>
    </xf>
    <xf numFmtId="0" fontId="16" fillId="3" borderId="38" applyAlignment="1" pivotButton="0" quotePrefix="0" xfId="0">
      <alignment horizontal="center" vertical="center"/>
    </xf>
    <xf numFmtId="0" fontId="3" fillId="0" borderId="33" pivotButton="0" quotePrefix="0" xfId="0"/>
    <xf numFmtId="0" fontId="16" fillId="3" borderId="60" applyAlignment="1" pivotButton="0" quotePrefix="0" xfId="0">
      <alignment horizontal="center" vertical="center"/>
    </xf>
    <xf numFmtId="0" fontId="3" fillId="0" borderId="61" pivotButton="0" quotePrefix="0" xfId="0"/>
    <xf numFmtId="0" fontId="3" fillId="0" borderId="62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0" pivotButton="0" quotePrefix="0" xfId="0"/>
    <xf numFmtId="0" fontId="16" fillId="3" borderId="44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3" fillId="0" borderId="31" pivotButton="0" quotePrefix="0" xfId="0"/>
    <xf numFmtId="0" fontId="16" fillId="3" borderId="40" applyAlignment="1" pivotButton="0" quotePrefix="0" xfId="0">
      <alignment horizontal="center" vertical="center"/>
    </xf>
    <xf numFmtId="0" fontId="3" fillId="0" borderId="47" pivotButton="0" quotePrefix="0" xfId="0"/>
    <xf numFmtId="165" fontId="11" fillId="0" borderId="69" applyAlignment="1" pivotButton="0" quotePrefix="0" xfId="0">
      <alignment vertical="center"/>
    </xf>
    <xf numFmtId="0" fontId="3" fillId="0" borderId="70" pivotButton="0" quotePrefix="0" xfId="0"/>
    <xf numFmtId="165" fontId="17" fillId="10" borderId="66" applyAlignment="1" pivotButton="0" quotePrefix="0" xfId="0">
      <alignment vertical="center"/>
    </xf>
    <xf numFmtId="0" fontId="3" fillId="0" borderId="67" pivotButton="0" quotePrefix="0" xfId="0"/>
    <xf numFmtId="0" fontId="3" fillId="0" borderId="68" pivotButton="0" quotePrefix="0" xfId="0"/>
    <xf numFmtId="165" fontId="17" fillId="10" borderId="69" applyAlignment="1" pivotButton="0" quotePrefix="0" xfId="0">
      <alignment vertical="center"/>
    </xf>
    <xf numFmtId="165" fontId="17" fillId="11" borderId="69" applyAlignment="1" pivotButton="0" quotePrefix="0" xfId="0">
      <alignment vertical="center"/>
    </xf>
    <xf numFmtId="0" fontId="11" fillId="0" borderId="69" applyAlignment="1" pivotButton="0" quotePrefix="0" xfId="0">
      <alignment vertical="center"/>
    </xf>
    <xf numFmtId="165" fontId="11" fillId="2" borderId="71" applyAlignment="1" pivotButton="0" quotePrefix="0" xfId="0">
      <alignment vertical="center"/>
    </xf>
    <xf numFmtId="0" fontId="3" fillId="0" borderId="72" pivotButton="0" quotePrefix="0" xfId="0"/>
    <xf numFmtId="0" fontId="3" fillId="0" borderId="73" pivotButton="0" quotePrefix="0" xfId="0"/>
    <xf numFmtId="165" fontId="17" fillId="10" borderId="71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0" fillId="0" borderId="8" pivotButton="0" quotePrefix="0" xfId="0"/>
    <xf numFmtId="164" fontId="5" fillId="2" borderId="12" applyAlignment="1" pivotButton="0" quotePrefix="0" xfId="0">
      <alignment horizontal="left" vertical="center"/>
    </xf>
    <xf numFmtId="0" fontId="0" fillId="0" borderId="12" pivotButton="0" quotePrefix="0" xfId="0"/>
    <xf numFmtId="0" fontId="5" fillId="2" borderId="72" applyAlignment="1" pivotButton="0" quotePrefix="0" xfId="0">
      <alignment vertical="center"/>
    </xf>
    <xf numFmtId="0" fontId="0" fillId="0" borderId="72" pivotButton="0" quotePrefix="0" xfId="0"/>
    <xf numFmtId="0" fontId="22" fillId="13" borderId="113" applyAlignment="1" pivotButton="0" quotePrefix="0" xfId="1">
      <alignment horizontal="center" vertical="center"/>
    </xf>
    <xf numFmtId="0" fontId="0" fillId="0" borderId="105" pivotButton="0" quotePrefix="0" xfId="0"/>
    <xf numFmtId="0" fontId="24" fillId="13" borderId="116" applyAlignment="1" pivotButton="0" quotePrefix="0" xfId="1">
      <alignment horizontal="center" vertical="center"/>
    </xf>
    <xf numFmtId="0" fontId="0" fillId="0" borderId="107" pivotButton="0" quotePrefix="0" xfId="0"/>
    <xf numFmtId="0" fontId="21" fillId="12" borderId="108" applyAlignment="1" pivotButton="0" quotePrefix="0" xfId="1">
      <alignment horizontal="right" vertical="center" indent="1"/>
    </xf>
    <xf numFmtId="0" fontId="0" fillId="0" borderId="78" pivotButton="0" quotePrefix="0" xfId="0"/>
    <xf numFmtId="0" fontId="21" fillId="12" borderId="110" applyAlignment="1" pivotButton="0" quotePrefix="0" xfId="1">
      <alignment horizontal="right" vertical="center" indent="1"/>
    </xf>
    <xf numFmtId="0" fontId="0" fillId="0" borderId="80" pivotButton="0" quotePrefix="0" xfId="0"/>
    <xf numFmtId="0" fontId="6" fillId="2" borderId="4" applyAlignment="1" pivotButton="0" quotePrefix="0" xfId="0">
      <alignment horizontal="left" vertical="center"/>
    </xf>
    <xf numFmtId="164" fontId="5" fillId="2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2" borderId="23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0" fontId="0" fillId="0" borderId="127" pivotButton="0" quotePrefix="0" xfId="0"/>
    <xf numFmtId="0" fontId="0" fillId="0" borderId="130" pivotButton="0" quotePrefix="0" xfId="0"/>
    <xf numFmtId="0" fontId="0" fillId="0" borderId="136" pivotButton="0" quotePrefix="0" xfId="0"/>
    <xf numFmtId="0" fontId="0" fillId="0" borderId="133" pivotButton="0" quotePrefix="0" xfId="0"/>
    <xf numFmtId="0" fontId="0" fillId="0" borderId="134" pivotButton="0" quotePrefix="0" xfId="0"/>
    <xf numFmtId="0" fontId="28" fillId="19" borderId="121" applyAlignment="1" pivotButton="0" quotePrefix="0" xfId="0">
      <alignment horizontal="center" vertical="center"/>
    </xf>
    <xf numFmtId="0" fontId="28" fillId="19" borderId="17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6" pivotButton="0" quotePrefix="0" xfId="0"/>
    <xf numFmtId="0" fontId="28" fillId="19" borderId="124" applyAlignment="1" pivotButton="0" quotePrefix="0" xfId="0">
      <alignment horizontal="center" vertical="center"/>
    </xf>
    <xf numFmtId="0" fontId="0" fillId="0" borderId="90" pivotButton="0" quotePrefix="0" xfId="0"/>
    <xf numFmtId="0" fontId="0" fillId="0" borderId="89" pivotButton="0" quotePrefix="0" xfId="0"/>
    <xf numFmtId="0" fontId="28" fillId="21" borderId="17" applyAlignment="1" pivotButton="0" quotePrefix="0" xfId="0">
      <alignment horizontal="center" vertical="center" wrapText="1"/>
    </xf>
    <xf numFmtId="0" fontId="28" fillId="23" borderId="124" applyAlignment="1" pivotButton="0" quotePrefix="0" xfId="0">
      <alignment horizontal="center" vertical="center"/>
    </xf>
    <xf numFmtId="0" fontId="28" fillId="19" borderId="118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7" pivotButton="0" quotePrefix="0" xfId="0"/>
    <xf numFmtId="0" fontId="35" fillId="2" borderId="140" applyAlignment="1" pivotButton="0" quotePrefix="0" xfId="0">
      <alignment horizontal="center" vertical="center"/>
    </xf>
    <xf numFmtId="164" fontId="35" fillId="2" borderId="140" applyAlignment="1" pivotButton="0" quotePrefix="0" xfId="0">
      <alignment horizontal="center" vertical="center"/>
    </xf>
    <xf numFmtId="0" fontId="35" fillId="14" borderId="140" applyAlignment="1" pivotButton="0" quotePrefix="0" xfId="0">
      <alignment horizontal="center" vertical="center"/>
    </xf>
    <xf numFmtId="0" fontId="35" fillId="2" borderId="140" applyAlignment="1" pivotButton="0" quotePrefix="0" xfId="0">
      <alignment horizontal="left" vertical="center"/>
    </xf>
    <xf numFmtId="166" fontId="35" fillId="2" borderId="140" applyAlignment="1" pivotButton="0" quotePrefix="0" xfId="0">
      <alignment horizontal="center" vertical="center"/>
    </xf>
    <xf numFmtId="165" fontId="35" fillId="2" borderId="140" applyAlignment="1" pivotButton="0" quotePrefix="0" xfId="0">
      <alignment horizontal="center" vertical="center"/>
    </xf>
    <xf numFmtId="0" fontId="35" fillId="15" borderId="140" applyAlignment="1" pivotButton="0" quotePrefix="0" xfId="0">
      <alignment horizontal="center" vertical="center"/>
    </xf>
    <xf numFmtId="164" fontId="35" fillId="15" borderId="140" applyAlignment="1" pivotButton="0" quotePrefix="0" xfId="0">
      <alignment horizontal="center" vertical="center"/>
    </xf>
    <xf numFmtId="0" fontId="35" fillId="15" borderId="140" applyAlignment="1" pivotButton="0" quotePrefix="0" xfId="0">
      <alignment horizontal="left" vertical="center"/>
    </xf>
    <xf numFmtId="166" fontId="35" fillId="15" borderId="140" applyAlignment="1" pivotButton="0" quotePrefix="0" xfId="0">
      <alignment horizontal="center" vertical="center"/>
    </xf>
    <xf numFmtId="165" fontId="35" fillId="15" borderId="140" applyAlignment="1" pivotButton="0" quotePrefix="0" xfId="0">
      <alignment horizontal="center" vertical="center"/>
    </xf>
    <xf numFmtId="164" fontId="29" fillId="15" borderId="23" applyAlignment="1" pivotButton="0" quotePrefix="0" xfId="0">
      <alignment horizontal="center" vertical="center" wrapText="1"/>
    </xf>
    <xf numFmtId="166" fontId="29" fillId="15" borderId="23" applyAlignment="1" pivotButton="0" quotePrefix="0" xfId="0">
      <alignment horizontal="center" vertical="center" wrapText="1"/>
    </xf>
    <xf numFmtId="165" fontId="29" fillId="15" borderId="23" applyAlignment="1" pivotButton="0" quotePrefix="0" xfId="0">
      <alignment horizontal="center" vertical="center" wrapText="1"/>
    </xf>
    <xf numFmtId="164" fontId="30" fillId="2" borderId="23" applyAlignment="1" pivotButton="0" quotePrefix="0" xfId="0">
      <alignment horizontal="center" vertical="center" wrapText="1"/>
    </xf>
    <xf numFmtId="166" fontId="30" fillId="2" borderId="23" applyAlignment="1" pivotButton="0" quotePrefix="0" xfId="0">
      <alignment horizontal="center" vertical="center" wrapText="1"/>
    </xf>
    <xf numFmtId="165" fontId="30" fillId="2" borderId="23" applyAlignment="1" pivotButton="0" quotePrefix="0" xfId="0">
      <alignment horizontal="center" vertical="center" wrapText="1"/>
    </xf>
    <xf numFmtId="164" fontId="30" fillId="2" borderId="26" applyAlignment="1" pivotButton="0" quotePrefix="0" xfId="0">
      <alignment horizontal="center" vertical="center" wrapText="1"/>
    </xf>
    <xf numFmtId="166" fontId="30" fillId="2" borderId="26" applyAlignment="1" pivotButton="0" quotePrefix="0" xfId="0">
      <alignment horizontal="center" vertical="center" wrapText="1"/>
    </xf>
    <xf numFmtId="165" fontId="30" fillId="2" borderId="26" applyAlignment="1" pivotButton="0" quotePrefix="0" xfId="0">
      <alignment horizontal="center" vertical="center" wrapText="1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6" fillId="7" borderId="16" applyAlignment="1" pivotButton="0" quotePrefix="0" xfId="0">
      <alignment horizontal="center" vertical="center"/>
    </xf>
    <xf numFmtId="0" fontId="16" fillId="8" borderId="18" applyAlignment="1" pivotButton="0" quotePrefix="0" xfId="0">
      <alignment horizontal="center" vertical="center"/>
    </xf>
    <xf numFmtId="0" fontId="0" fillId="0" borderId="45" pivotButton="0" quotePrefix="0" xfId="0"/>
    <xf numFmtId="0" fontId="16" fillId="9" borderId="45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0" fontId="0" fillId="0" borderId="47" pivotButton="0" quotePrefix="0" xfId="0"/>
    <xf numFmtId="0" fontId="35" fillId="10" borderId="140" applyAlignment="1" pivotButton="0" quotePrefix="0" xfId="0">
      <alignment horizontal="center" vertical="center"/>
    </xf>
    <xf numFmtId="0" fontId="35" fillId="10" borderId="140" applyAlignment="1" pivotButton="0" quotePrefix="0" xfId="0">
      <alignment horizontal="left" vertical="center"/>
    </xf>
    <xf numFmtId="165" fontId="35" fillId="10" borderId="140" applyAlignment="1" pivotButton="0" quotePrefix="0" xfId="0">
      <alignment horizontal="center" vertical="center"/>
    </xf>
    <xf numFmtId="165" fontId="17" fillId="10" borderId="51" applyAlignment="1" pivotButton="0" quotePrefix="0" xfId="0">
      <alignment horizontal="center" vertical="center"/>
    </xf>
    <xf numFmtId="165" fontId="17" fillId="10" borderId="53" applyAlignment="1" pivotButton="0" quotePrefix="0" xfId="0">
      <alignment horizontal="center" vertical="center"/>
    </xf>
    <xf numFmtId="165" fontId="17" fillId="10" borderId="23" applyAlignment="1" pivotButton="0" quotePrefix="0" xfId="0">
      <alignment horizontal="center" vertical="center"/>
    </xf>
    <xf numFmtId="165" fontId="17" fillId="10" borderId="24" applyAlignment="1" pivotButton="0" quotePrefix="0" xfId="0">
      <alignment horizontal="center" vertical="center"/>
    </xf>
    <xf numFmtId="165" fontId="17" fillId="10" borderId="22" applyAlignment="1" pivotButton="0" quotePrefix="0" xfId="0">
      <alignment horizontal="center" vertical="center"/>
    </xf>
    <xf numFmtId="165" fontId="17" fillId="10" borderId="37" applyAlignment="1" pivotButton="0" quotePrefix="0" xfId="0">
      <alignment horizontal="center" vertical="center"/>
    </xf>
    <xf numFmtId="165" fontId="13" fillId="10" borderId="22" applyAlignment="1" pivotButton="0" quotePrefix="0" xfId="0">
      <alignment horizontal="center" vertical="center"/>
    </xf>
    <xf numFmtId="165" fontId="13" fillId="10" borderId="23" applyAlignment="1" pivotButton="0" quotePrefix="0" xfId="0">
      <alignment horizontal="center" vertical="center"/>
    </xf>
    <xf numFmtId="165" fontId="13" fillId="10" borderId="24" applyAlignment="1" pivotButton="0" quotePrefix="1" xfId="0">
      <alignment horizontal="center" vertical="center"/>
    </xf>
    <xf numFmtId="165" fontId="13" fillId="10" borderId="37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165" fontId="13" fillId="10" borderId="22" applyAlignment="1" pivotButton="0" quotePrefix="1" xfId="0">
      <alignment horizontal="center" vertical="center"/>
    </xf>
    <xf numFmtId="165" fontId="13" fillId="10" borderId="23" applyAlignment="1" pivotButton="0" quotePrefix="1" xfId="0">
      <alignment horizontal="center" vertical="center"/>
    </xf>
    <xf numFmtId="165" fontId="11" fillId="2" borderId="22" applyAlignment="1" pivotButton="0" quotePrefix="1" xfId="0">
      <alignment horizontal="center" vertical="center"/>
    </xf>
    <xf numFmtId="165" fontId="11" fillId="2" borderId="23" applyAlignment="1" pivotButton="0" quotePrefix="1" xfId="0">
      <alignment horizontal="center" vertical="center"/>
    </xf>
    <xf numFmtId="165" fontId="11" fillId="2" borderId="35" applyAlignment="1" pivotButton="0" quotePrefix="0" xfId="0">
      <alignment horizontal="center" vertical="center"/>
    </xf>
    <xf numFmtId="165" fontId="11" fillId="2" borderId="36" applyAlignment="1" pivotButton="0" quotePrefix="0" xfId="0">
      <alignment horizontal="center" vertical="center"/>
    </xf>
    <xf numFmtId="165" fontId="11" fillId="2" borderId="57" applyAlignment="1" pivotButton="0" quotePrefix="0" xfId="0">
      <alignment horizontal="center" vertical="center"/>
    </xf>
    <xf numFmtId="165" fontId="11" fillId="2" borderId="22" applyAlignment="1" pivotButton="0" quotePrefix="0" xfId="0">
      <alignment horizontal="center" vertical="center"/>
    </xf>
    <xf numFmtId="165" fontId="11" fillId="2" borderId="23" applyAlignment="1" pivotButton="0" quotePrefix="0" xfId="0">
      <alignment horizontal="center" vertical="center"/>
    </xf>
    <xf numFmtId="165" fontId="11" fillId="2" borderId="25" applyAlignment="1" pivotButton="0" quotePrefix="0" xfId="0">
      <alignment horizontal="center" vertical="center"/>
    </xf>
    <xf numFmtId="165" fontId="11" fillId="2" borderId="26" applyAlignment="1" pivotButton="0" quotePrefix="0" xfId="0">
      <alignment horizontal="center" vertical="center"/>
    </xf>
    <xf numFmtId="165" fontId="11" fillId="2" borderId="27" applyAlignment="1" pivotButton="0" quotePrefix="0" xfId="0">
      <alignment horizontal="center" vertical="center"/>
    </xf>
    <xf numFmtId="165" fontId="11" fillId="2" borderId="59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0" fontId="16" fillId="3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30" pivotButton="0" quotePrefix="0" xfId="0"/>
    <xf numFmtId="165" fontId="17" fillId="10" borderId="50" applyAlignment="1" pivotButton="0" quotePrefix="0" xfId="0">
      <alignment vertical="center"/>
    </xf>
    <xf numFmtId="0" fontId="0" fillId="0" borderId="67" pivotButton="0" quotePrefix="0" xfId="0"/>
    <xf numFmtId="0" fontId="0" fillId="0" borderId="68" pivotButton="0" quotePrefix="0" xfId="0"/>
    <xf numFmtId="165" fontId="17" fillId="10" borderId="54" applyAlignment="1" pivotButton="0" quotePrefix="0" xfId="0">
      <alignment horizontal="center" vertical="center"/>
    </xf>
    <xf numFmtId="165" fontId="17" fillId="10" borderId="22" applyAlignment="1" pivotButton="0" quotePrefix="0" xfId="0">
      <alignment vertical="center"/>
    </xf>
    <xf numFmtId="0" fontId="0" fillId="0" borderId="70" pivotButton="0" quotePrefix="0" xfId="0"/>
    <xf numFmtId="165" fontId="17" fillId="11" borderId="22" applyAlignment="1" pivotButton="0" quotePrefix="0" xfId="0">
      <alignment vertical="center"/>
    </xf>
    <xf numFmtId="165" fontId="17" fillId="11" borderId="23" applyAlignment="1" pivotButton="0" quotePrefix="0" xfId="0">
      <alignment horizontal="center" vertical="center"/>
    </xf>
    <xf numFmtId="165" fontId="17" fillId="11" borderId="24" applyAlignment="1" pivotButton="0" quotePrefix="0" xfId="0">
      <alignment horizontal="center" vertical="center"/>
    </xf>
    <xf numFmtId="165" fontId="17" fillId="11" borderId="37" applyAlignment="1" pivotButton="0" quotePrefix="0" xfId="0">
      <alignment horizontal="center" vertical="center"/>
    </xf>
    <xf numFmtId="165" fontId="17" fillId="10" borderId="25" applyAlignment="1" pivotButton="0" quotePrefix="0" xfId="0">
      <alignment vertical="center"/>
    </xf>
    <xf numFmtId="0" fontId="0" fillId="0" borderId="73" pivotButton="0" quotePrefix="0" xfId="0"/>
    <xf numFmtId="165" fontId="17" fillId="10" borderId="26" applyAlignment="1" pivotButton="0" quotePrefix="0" xfId="0">
      <alignment horizontal="center" vertical="center"/>
    </xf>
    <xf numFmtId="165" fontId="17" fillId="10" borderId="27" applyAlignment="1" pivotButton="0" quotePrefix="0" xfId="0">
      <alignment horizontal="center" vertical="center"/>
    </xf>
    <xf numFmtId="165" fontId="17" fillId="10" borderId="59" applyAlignment="1" pivotButton="0" quotePrefix="0" xfId="0">
      <alignment horizontal="center" vertical="center"/>
    </xf>
    <xf numFmtId="165" fontId="11" fillId="0" borderId="22" applyAlignment="1" pivotButton="0" quotePrefix="0" xfId="0">
      <alignment vertical="center"/>
    </xf>
    <xf numFmtId="165" fontId="11" fillId="0" borderId="23" applyAlignment="1" pivotButton="0" quotePrefix="0" xfId="0">
      <alignment horizontal="center" vertical="center"/>
    </xf>
    <xf numFmtId="165" fontId="11" fillId="0" borderId="24" applyAlignment="1" pivotButton="0" quotePrefix="0" xfId="0">
      <alignment horizontal="center" vertical="center"/>
    </xf>
    <xf numFmtId="165" fontId="11" fillId="0" borderId="70" applyAlignment="1" pivotButton="0" quotePrefix="0" xfId="0">
      <alignment horizontal="center" vertical="center"/>
    </xf>
    <xf numFmtId="0" fontId="11" fillId="0" borderId="22" applyAlignment="1" pivotButton="0" quotePrefix="0" xfId="0">
      <alignment vertical="center"/>
    </xf>
    <xf numFmtId="165" fontId="11" fillId="2" borderId="25" applyAlignment="1" pivotButton="0" quotePrefix="0" xfId="0">
      <alignment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370380</colOff>
      <row>36</row>
      <rowOff>71163</rowOff>
    </from>
    <to>
      <col>5</col>
      <colOff>19670</colOff>
      <row>38</row>
      <rowOff>4918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6830" y="8567463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zoomScaleNormal="100" workbookViewId="0">
      <selection activeCell="C20" sqref="C20"/>
    </sheetView>
  </sheetViews>
  <sheetFormatPr baseColWidth="8" defaultColWidth="14.42578125" defaultRowHeight="15" customHeight="1"/>
  <cols>
    <col width="8" customWidth="1" min="1" max="1"/>
    <col width="12.5703125" customWidth="1" min="2" max="2"/>
    <col width="10.5703125" customWidth="1" min="3" max="3"/>
    <col width="14.7109375" customWidth="1" min="4" max="4"/>
    <col width="10.5703125" customWidth="1" min="5" max="5"/>
    <col width="14.7109375" customWidth="1" min="6" max="6"/>
    <col width="12.5703125" customWidth="1" min="7" max="7"/>
    <col width="8" customWidth="1" min="8" max="8"/>
    <col width="9.140625" customWidth="1" min="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9" customHeight="1">
      <c r="A9" s="267" t="inlineStr">
        <is>
          <t>결함관리대장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>
      <c r="A17" s="1" t="n"/>
      <c r="B17" s="3" t="inlineStr">
        <is>
          <t>한빛글로벌 SyncFlow AI</t>
        </is>
      </c>
      <c r="C17" s="268" t="inlineStr">
        <is>
          <t>한빛글로벌 SyncFlow AI 시스템 구축</t>
        </is>
      </c>
      <c r="D17" s="269" t="n"/>
      <c r="E17" s="269" t="n"/>
      <c r="F17" s="269" t="n"/>
      <c r="G17" s="269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>
      <c r="A18" s="1" t="n"/>
      <c r="B18" s="4" t="inlineStr">
        <is>
          <t>최종작성일</t>
        </is>
      </c>
      <c r="C18" s="270" t="inlineStr">
        <is>
          <t>2026-10-23</t>
        </is>
      </c>
      <c r="D18" s="271" t="n"/>
      <c r="E18" s="271" t="n"/>
      <c r="F18" s="271" t="n"/>
      <c r="G18" s="27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>
      <c r="A19" s="1" t="n"/>
      <c r="B19" s="5" t="inlineStr">
        <is>
          <t>산출물 ID</t>
        </is>
      </c>
      <c r="C19" s="272" t="inlineStr">
        <is>
          <t>EMP_MAN_040</t>
        </is>
      </c>
      <c r="D19" s="273" t="n"/>
      <c r="E19" s="5" t="inlineStr">
        <is>
          <t>버전</t>
        </is>
      </c>
      <c r="F19" s="272" t="inlineStr">
        <is>
          <t>v1.0</t>
        </is>
      </c>
      <c r="G19" s="273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inlineStr">
        <is>
          <t>엠파시 (EMPASY)</t>
        </is>
      </c>
      <c r="D22" s="1" t="n"/>
      <c r="E22" s="1" t="inlineStr">
        <is>
          <t>한빛글로벌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>
      <c r="A27" s="1" t="n"/>
      <c r="B27" s="1" t="n"/>
      <c r="C27" s="274" t="inlineStr">
        <is>
          <t>엠파시</t>
        </is>
      </c>
      <c r="D27" s="275" t="n"/>
      <c r="E27" s="276" t="inlineStr">
        <is>
          <t>주식회사 한빛글로벌</t>
        </is>
      </c>
      <c r="F27" s="277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" customHeight="1">
      <c r="A28" s="1" t="n"/>
      <c r="B28" s="1" t="n"/>
      <c r="C28" s="120" t="inlineStr">
        <is>
          <t>담당자</t>
        </is>
      </c>
      <c r="D28" s="121" t="n"/>
      <c r="E28" s="121" t="inlineStr">
        <is>
          <t>승인자</t>
        </is>
      </c>
      <c r="F28" s="122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84" customHeight="1">
      <c r="A29" s="1" t="n"/>
      <c r="B29" s="1" t="n"/>
      <c r="C29" s="278" t="inlineStr">
        <is>
          <t>(인)</t>
        </is>
      </c>
      <c r="D29" s="279" t="n"/>
      <c r="E29" s="280" t="inlineStr">
        <is>
          <t>(인)</t>
        </is>
      </c>
      <c r="F29" s="28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9">
    <mergeCell ref="A9:H9"/>
    <mergeCell ref="C29:D29"/>
    <mergeCell ref="E29:F29"/>
    <mergeCell ref="F19:G19"/>
    <mergeCell ref="C19:D19"/>
    <mergeCell ref="C27:D27"/>
    <mergeCell ref="E27:F27"/>
    <mergeCell ref="C18:G18"/>
    <mergeCell ref="C17:G17"/>
  </mergeCells>
  <printOptions horizontalCentered="1"/>
  <pageMargins left="0.7086614173228347" right="0.7086614173228347" top="0.7480314960629921" bottom="0.748031496062992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11.42578125" customWidth="1" min="1" max="1"/>
    <col width="19.28515625" customWidth="1" min="2" max="2"/>
    <col width="20.5703125" customWidth="1" min="3" max="3"/>
    <col width="59.42578125" customWidth="1" min="4" max="4"/>
    <col width="13" customWidth="1" min="5" max="6"/>
    <col width="9.140625" customWidth="1" min="7" max="26"/>
  </cols>
  <sheetData>
    <row r="1" ht="30.75" customHeight="1">
      <c r="A1" s="282" t="inlineStr">
        <is>
          <t>제·개정 이력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>
      <c r="A3" s="6" t="inlineStr">
        <is>
          <t>버전</t>
        </is>
      </c>
      <c r="B3" s="7" t="inlineStr">
        <is>
          <t>개정일</t>
        </is>
      </c>
      <c r="C3" s="7" t="inlineStr">
        <is>
          <t>개정사유</t>
        </is>
      </c>
      <c r="D3" s="7" t="inlineStr">
        <is>
          <t>개정내역</t>
        </is>
      </c>
      <c r="E3" s="7" t="inlineStr">
        <is>
          <t>작성자</t>
        </is>
      </c>
      <c r="F3" s="8" t="inlineStr">
        <is>
          <t>승인자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>
      <c r="A4" s="283" t="inlineStr">
        <is>
          <t>v1.0</t>
        </is>
      </c>
      <c r="B4" s="284" t="inlineStr">
        <is>
          <t>2026-10-23</t>
        </is>
      </c>
      <c r="C4" s="11" t="inlineStr">
        <is>
          <t>초기 작성</t>
        </is>
      </c>
      <c r="D4" s="11" t="inlineStr">
        <is>
          <t>선행 PoC/프로토타입 점검 내역 및 본 개발 화면 Daily Check 기준표 수립</t>
        </is>
      </c>
      <c r="E4" s="12" t="inlineStr">
        <is>
          <t>이지훈 PMO</t>
        </is>
      </c>
      <c r="F4" s="13" t="inlineStr">
        <is>
          <t>정민수 PM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>
      <c r="A5" s="14" t="n"/>
      <c r="B5" s="285" t="n"/>
      <c r="C5" s="16" t="n"/>
      <c r="D5" s="16" t="n"/>
      <c r="E5" s="17" t="n"/>
      <c r="F5" s="18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>
      <c r="A6" s="14" t="n"/>
      <c r="B6" s="285" t="n"/>
      <c r="C6" s="16" t="n"/>
      <c r="D6" s="16" t="n"/>
      <c r="E6" s="17" t="n"/>
      <c r="F6" s="18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1.75" customHeight="1">
      <c r="A7" s="14" t="n"/>
      <c r="B7" s="285" t="n"/>
      <c r="C7" s="16" t="n"/>
      <c r="D7" s="16" t="n"/>
      <c r="E7" s="17" t="n"/>
      <c r="F7" s="18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>
      <c r="A8" s="14" t="n"/>
      <c r="B8" s="285" t="n"/>
      <c r="C8" s="16" t="n"/>
      <c r="D8" s="16" t="n"/>
      <c r="E8" s="17" t="n"/>
      <c r="F8" s="18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.75" customHeight="1">
      <c r="A9" s="14" t="n"/>
      <c r="B9" s="285" t="n"/>
      <c r="C9" s="16" t="n"/>
      <c r="D9" s="16" t="n"/>
      <c r="E9" s="17" t="n"/>
      <c r="F9" s="18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>
      <c r="A10" s="14" t="n"/>
      <c r="B10" s="285" t="n"/>
      <c r="C10" s="16" t="n"/>
      <c r="D10" s="16" t="n"/>
      <c r="E10" s="17" t="n"/>
      <c r="F10" s="18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>
      <c r="A11" s="14" t="n"/>
      <c r="B11" s="285" t="n"/>
      <c r="C11" s="16" t="n"/>
      <c r="D11" s="16" t="n"/>
      <c r="E11" s="17" t="n"/>
      <c r="F11" s="18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.75" customHeight="1">
      <c r="A12" s="14" t="n"/>
      <c r="B12" s="285" t="n"/>
      <c r="C12" s="16" t="n"/>
      <c r="D12" s="16" t="n"/>
      <c r="E12" s="17" t="n"/>
      <c r="F12" s="18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.75" customHeight="1">
      <c r="A13" s="14" t="n"/>
      <c r="B13" s="285" t="n"/>
      <c r="C13" s="16" t="n"/>
      <c r="D13" s="16" t="n"/>
      <c r="E13" s="17" t="n"/>
      <c r="F13" s="18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.75" customHeight="1">
      <c r="A14" s="14" t="n"/>
      <c r="B14" s="285" t="n"/>
      <c r="C14" s="16" t="n"/>
      <c r="D14" s="16" t="n"/>
      <c r="E14" s="17" t="n"/>
      <c r="F14" s="18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>
      <c r="A15" s="14" t="n"/>
      <c r="B15" s="285" t="n"/>
      <c r="C15" s="16" t="n"/>
      <c r="D15" s="16" t="n"/>
      <c r="E15" s="17" t="n"/>
      <c r="F15" s="18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>
      <c r="A16" s="14" t="n"/>
      <c r="B16" s="285" t="n"/>
      <c r="C16" s="16" t="n"/>
      <c r="D16" s="16" t="n"/>
      <c r="E16" s="17" t="n"/>
      <c r="F16" s="18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>
      <c r="A17" s="19" t="n"/>
      <c r="B17" s="286" t="n"/>
      <c r="C17" s="21" t="n"/>
      <c r="D17" s="21" t="n"/>
      <c r="E17" s="22" t="n"/>
      <c r="F17" s="2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24" t="inlineStr">
        <is>
          <t>개정 사유   제정 또는 개정 내용이 이전 문서에 대해 추가/수정/삭제인지 선택 기입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24" t="inlineStr">
        <is>
          <t>개정 내역   개정이 발생하는 페이지 번호와 변경 내용을 기술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1:B1"/>
  </mergeCells>
  <printOptions horizontalCentered="1"/>
  <pageMargins left="0" right="0" top="0.3937007874015748" bottom="0.1968503937007874" header="0" footer="0"/>
  <pageSetup orientation="landscape" paperSize="9" scale="110"/>
</worksheet>
</file>

<file path=xl/worksheets/sheet3.xml><?xml version="1.0" encoding="utf-8"?>
<worksheet xmlns="http://schemas.openxmlformats.org/spreadsheetml/2006/main">
  <sheetPr>
    <tabColor rgb="FF92D050"/>
    <outlinePr summaryBelow="0" summaryRight="0"/>
    <pageSetUpPr/>
  </sheetPr>
  <dimension ref="A1:HB250"/>
  <sheetViews>
    <sheetView workbookViewId="0">
      <pane xSplit="7" ySplit="10" topLeftCell="H11" activePane="bottomRight" state="frozen"/>
      <selection pane="topRight" activeCell="H1" sqref="H1"/>
      <selection pane="bottomLeft" activeCell="A11" sqref="A11"/>
      <selection pane="bottomRight" activeCell="H26" sqref="H26"/>
    </sheetView>
  </sheetViews>
  <sheetFormatPr baseColWidth="8" defaultColWidth="14.42578125" defaultRowHeight="13.5"/>
  <cols>
    <col width="9.7109375" customWidth="1" style="126" min="1" max="1"/>
    <col width="16.85546875" customWidth="1" style="126" min="2" max="4"/>
    <col width="16.7109375" customWidth="1" style="126" min="5" max="5"/>
    <col width="8.42578125" customWidth="1" style="126" min="6" max="7"/>
    <col width="21" customWidth="1" style="126" min="8" max="8"/>
    <col width="81" customWidth="1" style="126" min="9" max="9"/>
    <col width="27.5703125" customWidth="1" style="126" min="10" max="10"/>
    <col width="12.28515625" customWidth="1" style="126" min="11" max="11"/>
    <col width="10.140625" customWidth="1" style="126" min="12" max="16"/>
    <col width="42.85546875" customWidth="1" style="126" min="17" max="17"/>
    <col width="14.42578125" customWidth="1" style="126" min="18" max="16384"/>
  </cols>
  <sheetData>
    <row r="1" ht="35.25" customHeight="1" thickBot="1">
      <c r="A1" s="154" t="inlineStr">
        <is>
          <t>결함 처리 현황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35" t="n"/>
      <c r="L1" s="125" t="n"/>
      <c r="M1" s="125" t="n"/>
      <c r="N1" s="125" t="n"/>
      <c r="O1" s="135" t="n"/>
      <c r="P1" s="135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  <c r="AC1" s="124" t="n"/>
      <c r="AD1" s="124" t="n"/>
      <c r="AE1" s="124" t="n"/>
      <c r="AF1" s="124" t="n"/>
      <c r="AG1" s="124" t="n"/>
      <c r="AH1" s="124" t="n"/>
      <c r="AI1" s="124" t="n"/>
      <c r="AJ1" s="124" t="n"/>
      <c r="AK1" s="124" t="n"/>
      <c r="AL1" s="124" t="n"/>
      <c r="AM1" s="124" t="n"/>
      <c r="AN1" s="124" t="n"/>
      <c r="AO1" s="124" t="n"/>
      <c r="HB1" s="124" t="n"/>
    </row>
    <row r="2" ht="17.25" customFormat="1" customHeight="1" s="127">
      <c r="A2" s="147" t="inlineStr">
        <is>
          <t>영역</t>
        </is>
      </c>
      <c r="B2" s="216" t="inlineStr">
        <is>
          <t>콘텐츠수정</t>
        </is>
      </c>
      <c r="C2" s="216" t="inlineStr">
        <is>
          <t>레이아웃/UI결함</t>
        </is>
      </c>
      <c r="D2" s="216" t="inlineStr">
        <is>
          <t>기능오류</t>
        </is>
      </c>
      <c r="E2" s="216" t="inlineStr">
        <is>
          <t>기능개선/추가요건</t>
        </is>
      </c>
      <c r="F2" s="216" t="inlineStr">
        <is>
          <t>기타</t>
        </is>
      </c>
      <c r="G2" s="287" t="n"/>
      <c r="H2" s="149" t="inlineStr">
        <is>
          <t>합계</t>
        </is>
      </c>
      <c r="I2" s="123" t="n"/>
    </row>
    <row r="3" ht="17.25" customFormat="1" customHeight="1" s="127">
      <c r="A3" s="146" t="inlineStr">
        <is>
          <t>식별건수</t>
        </is>
      </c>
      <c r="B3" s="217">
        <f>COUNTIF($D$11:$D$5033,B2)</f>
        <v/>
      </c>
      <c r="C3" s="217">
        <f>COUNTIF($D$11:$D$5033,C2)</f>
        <v/>
      </c>
      <c r="D3" s="217">
        <f>COUNTIF($D$11:$D$5033,D2)</f>
        <v/>
      </c>
      <c r="E3" s="217">
        <f>COUNTIF($D$11:$D$5033,E2)</f>
        <v/>
      </c>
      <c r="F3" s="217">
        <f>COUNTIF($D$11:$D$5033,F2)</f>
        <v/>
      </c>
      <c r="G3" s="288" t="n"/>
      <c r="H3" s="156">
        <f>SUM(B3:G3)</f>
        <v/>
      </c>
      <c r="I3" s="123" t="n"/>
    </row>
    <row r="4" ht="17.25" customFormat="1" customHeight="1" s="127">
      <c r="A4" s="150" t="inlineStr">
        <is>
          <t>수용건수</t>
        </is>
      </c>
      <c r="B4" s="157">
        <f>COUNTIFS($D$11:$D$5000,B$2,$K$11:$K$5000,"처리예정")+COUNTIFS($D$11:$D$5000,B$2,$K$11:$K$5000,"처리중")+COUNTIFS($D$11:$D$5000,B$2,$K$11:$K$5000,"처리완료")</f>
        <v/>
      </c>
      <c r="C4" s="157">
        <f>COUNTIFS($D$11:$D$5000,C$2,$K$11:$K$5000,"처리예정")+COUNTIFS($D$11:$D$5000,C$2,$K$11:$K$5000,"처리중")+COUNTIFS($D$11:$D$5000,C$2,$K$11:$K$5000,"처리완료")</f>
        <v/>
      </c>
      <c r="D4" s="157">
        <f>COUNTIFS($D$11:$D$5000,D$2,$K$11:$K$5000,"처리예정")+COUNTIFS($D$11:$D$5000,D$2,$K$11:$K$5000,"처리중")+COUNTIFS($D$11:$D$5000,D$2,$K$11:$K$5000,"처리완료")</f>
        <v/>
      </c>
      <c r="E4" s="157">
        <f>COUNTIFS($D$11:$D$5000,E$2,$K$11:$K$5000,"처리예정")+COUNTIFS($D$11:$D$5000,E$2,$K$11:$K$5000,"처리중")+COUNTIFS($D$11:$D$5000,E$2,$K$11:$K$5000,"처리완료")</f>
        <v/>
      </c>
      <c r="F4" s="220">
        <f>COUNTIFS($D$11:$D$5000,F$2,$K$11:$K$5000,"처리예정")+COUNTIFS($D$11:$D$5000,F$2,$K$11:$K$5000,"처리중")+COUNTIFS($D$11:$D$5000,F$2,$K$11:$K$5000,"처리완료")</f>
        <v/>
      </c>
      <c r="G4" s="289" t="n"/>
      <c r="H4" s="158">
        <f>SUM(B4:G4)</f>
        <v/>
      </c>
      <c r="I4" s="123" t="n"/>
    </row>
    <row r="5" ht="17.25" customFormat="1" customHeight="1" s="127">
      <c r="A5" s="145" t="inlineStr">
        <is>
          <t>처리완료</t>
        </is>
      </c>
      <c r="B5" s="218">
        <f>COUNTIFS($D$11:$D$5000,B$2,$K$11:$K$5000,"처리완료")</f>
        <v/>
      </c>
      <c r="C5" s="218">
        <f>COUNTIFS($D$11:$D$5000,C$2,$K$11:$K$5000,"처리완료")</f>
        <v/>
      </c>
      <c r="D5" s="218">
        <f>COUNTIFS($D$11:$D$5000,D$2,$K$11:$K$5000,"처리완료")</f>
        <v/>
      </c>
      <c r="E5" s="218">
        <f>COUNTIFS($D$11:$D$5000,E$2,$K$11:$K$5000,"처리완료")</f>
        <v/>
      </c>
      <c r="F5" s="218">
        <f>COUNTIFS($D$11:$D$5000,F$2,$K$11:$K$5000,"처리완료")</f>
        <v/>
      </c>
      <c r="G5" s="290" t="n"/>
      <c r="H5" s="160">
        <f>SUM(B5:G5)</f>
        <v/>
      </c>
      <c r="I5" s="123" t="n"/>
    </row>
    <row r="6" ht="17.25" customFormat="1" customHeight="1" s="127">
      <c r="A6" s="145" t="inlineStr">
        <is>
          <t>처리중</t>
        </is>
      </c>
      <c r="B6" s="218">
        <f>COUNTIFS($D$11:$D$5000,B$2,$K$11:$K$5000,"처리중")</f>
        <v/>
      </c>
      <c r="C6" s="218">
        <f>COUNTIFS($D$11:$D$5000,C$2,$K$11:$K$5000,"처리중")</f>
        <v/>
      </c>
      <c r="D6" s="218">
        <f>COUNTIFS($D$11:$D$5000,D$2,$K$11:$K$5000,"처리중")</f>
        <v/>
      </c>
      <c r="E6" s="218">
        <f>COUNTIFS($D$11:$D$5000,E$2,$K$11:$K$5000,"처리중")</f>
        <v/>
      </c>
      <c r="F6" s="218">
        <f>COUNTIFS($D$11:$D$5000,F$2,$K$11:$K$5000,"처리중")</f>
        <v/>
      </c>
      <c r="G6" s="290" t="n"/>
      <c r="H6" s="160">
        <f>SUM(B6:G6)</f>
        <v/>
      </c>
      <c r="I6" s="123" t="n"/>
    </row>
    <row r="7" ht="17.25" customFormat="1" customHeight="1" s="127" thickBot="1">
      <c r="A7" s="151" t="inlineStr">
        <is>
          <t>진척률</t>
        </is>
      </c>
      <c r="B7" s="219">
        <f>IFERROR(B5/B4,"")</f>
        <v/>
      </c>
      <c r="C7" s="219">
        <f>IFERROR(C5/C4,"")</f>
        <v/>
      </c>
      <c r="D7" s="219">
        <f>IFERROR(D5/D4,"")</f>
        <v/>
      </c>
      <c r="E7" s="219">
        <f>IFERROR(E5/E4,"")</f>
        <v/>
      </c>
      <c r="F7" s="219">
        <f>IFERROR(F5/F4,"")</f>
        <v/>
      </c>
      <c r="G7" s="291" t="n"/>
      <c r="H7" s="153">
        <f>IFERROR(H5/H4,"")</f>
        <v/>
      </c>
      <c r="I7" s="123" t="n"/>
    </row>
    <row r="8" ht="11.25" customHeight="1" thickBot="1">
      <c r="A8" s="143" t="n"/>
      <c r="B8" s="144" t="n"/>
      <c r="C8" s="144" t="n"/>
      <c r="D8" s="144" t="n"/>
      <c r="E8" s="144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</row>
    <row r="9" ht="18" customHeight="1">
      <c r="A9" s="292" t="inlineStr">
        <is>
          <t>번호</t>
        </is>
      </c>
      <c r="B9" s="293" t="inlineStr">
        <is>
          <t>식별</t>
        </is>
      </c>
      <c r="C9" s="294" t="n"/>
      <c r="D9" s="293" t="inlineStr">
        <is>
          <t>결함 구분</t>
        </is>
      </c>
      <c r="E9" s="295" t="n"/>
      <c r="F9" s="295" t="n"/>
      <c r="G9" s="294" t="n"/>
      <c r="H9" s="296" t="inlineStr">
        <is>
          <t>결함 상세 내용</t>
        </is>
      </c>
      <c r="I9" s="297" t="n"/>
      <c r="J9" s="297" t="n"/>
      <c r="K9" s="298" t="n"/>
      <c r="L9" s="299" t="inlineStr">
        <is>
          <t>처리완료일</t>
        </is>
      </c>
      <c r="M9" s="295" t="n"/>
      <c r="N9" s="294" t="n"/>
      <c r="O9" s="300" t="inlineStr">
        <is>
          <t>확인</t>
        </is>
      </c>
      <c r="P9" s="298" t="n"/>
      <c r="Q9" s="301" t="inlineStr">
        <is>
          <t>비고</t>
        </is>
      </c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HB9" s="129" t="n"/>
    </row>
    <row r="10" ht="18" customHeight="1">
      <c r="A10" s="302" t="n"/>
      <c r="B10" s="138" t="inlineStr">
        <is>
          <t>식별일자</t>
        </is>
      </c>
      <c r="C10" s="138" t="inlineStr">
        <is>
          <t>식별자</t>
        </is>
      </c>
      <c r="D10" s="138" t="inlineStr">
        <is>
          <t>결함유형</t>
        </is>
      </c>
      <c r="E10" s="138" t="inlineStr">
        <is>
          <t>구분</t>
        </is>
      </c>
      <c r="F10" s="138" t="inlineStr">
        <is>
          <t>영역</t>
        </is>
      </c>
      <c r="G10" s="138" t="inlineStr">
        <is>
          <t>중요도</t>
        </is>
      </c>
      <c r="H10" s="140" t="inlineStr">
        <is>
          <t>위치</t>
        </is>
      </c>
      <c r="I10" s="140" t="inlineStr">
        <is>
          <t>내용</t>
        </is>
      </c>
      <c r="J10" s="140" t="inlineStr">
        <is>
          <t>URL 또는 이미지</t>
        </is>
      </c>
      <c r="K10" s="139" t="inlineStr">
        <is>
          <t>처리여부</t>
        </is>
      </c>
      <c r="L10" s="141" t="inlineStr">
        <is>
          <t>디자인</t>
        </is>
      </c>
      <c r="M10" s="141" t="inlineStr">
        <is>
          <t>퍼블</t>
        </is>
      </c>
      <c r="N10" s="141" t="inlineStr">
        <is>
          <t>개발</t>
        </is>
      </c>
      <c r="O10" s="142" t="inlineStr">
        <is>
          <t>확인자</t>
        </is>
      </c>
      <c r="P10" s="142" t="inlineStr">
        <is>
          <t>확인일자</t>
        </is>
      </c>
      <c r="Q10" s="303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  <c r="HB10" s="129" t="n"/>
    </row>
    <row r="11" customFormat="1" s="131">
      <c r="A11" s="304" t="n">
        <v>1</v>
      </c>
      <c r="B11" s="305" t="inlineStr">
        <is>
          <t>2026-10-20</t>
        </is>
      </c>
      <c r="C11" s="304" t="inlineStr">
        <is>
          <t>EMPASY QA팀</t>
        </is>
      </c>
      <c r="D11" s="304" t="inlineStr">
        <is>
          <t>기능오류</t>
        </is>
      </c>
      <c r="E11" s="304" t="inlineStr">
        <is>
          <t>PoC/프로토타입</t>
        </is>
      </c>
      <c r="F11" s="306" t="inlineStr">
        <is>
          <t>OCR엔진</t>
        </is>
      </c>
      <c r="G11" s="304" t="inlineStr">
        <is>
          <t>상</t>
        </is>
      </c>
      <c r="H11" s="307" t="inlineStr">
        <is>
          <t>계약·도서 파싱 모듈</t>
        </is>
      </c>
      <c r="I11" s="307" t="inlineStr">
        <is>
          <t>복합 PPTX 슬라이드 내 표(Table) 셀 텍스트가 순서대로 추출되지 않고 난독화되는 현상</t>
        </is>
      </c>
      <c r="J11" s="307" t="inlineStr">
        <is>
          <t>/api/v1/parse/pptx</t>
        </is>
      </c>
      <c r="K11" s="304" t="inlineStr">
        <is>
          <t>처리완료</t>
        </is>
      </c>
      <c r="L11" s="308" t="inlineStr">
        <is>
          <t>-</t>
        </is>
      </c>
      <c r="M11" s="308" t="inlineStr">
        <is>
          <t>-</t>
        </is>
      </c>
      <c r="N11" s="308" t="inlineStr">
        <is>
          <t>2026-10-10</t>
        </is>
      </c>
      <c r="O11" s="304" t="inlineStr">
        <is>
          <t>2026-10-22</t>
        </is>
      </c>
      <c r="P11" s="309" t="inlineStr">
        <is>
          <t>2026-10-11</t>
        </is>
      </c>
      <c r="Q11" s="307" t="inlineStr">
        <is>
          <t>2026-10-23</t>
        </is>
      </c>
      <c r="R11" s="130" t="n"/>
      <c r="S11" s="130" t="n"/>
      <c r="T11" s="130" t="n"/>
      <c r="U11" s="130" t="n"/>
      <c r="V11" s="130" t="n"/>
      <c r="W11" s="130" t="n"/>
      <c r="X11" s="130" t="n"/>
      <c r="Y11" s="130" t="n"/>
      <c r="Z11" s="130" t="n"/>
      <c r="AA11" s="130" t="n"/>
      <c r="AB11" s="130" t="n"/>
      <c r="AC11" s="130" t="n"/>
      <c r="AD11" s="130" t="n"/>
      <c r="AE11" s="130" t="n"/>
      <c r="AF11" s="130" t="n"/>
      <c r="AG11" s="130" t="n"/>
      <c r="AH11" s="130" t="n"/>
      <c r="AI11" s="130" t="n"/>
      <c r="AJ11" s="130" t="n"/>
      <c r="AK11" s="130" t="n"/>
      <c r="AL11" s="130" t="n"/>
      <c r="AM11" s="130" t="n"/>
      <c r="AN11" s="130" t="n"/>
      <c r="AO11" s="130" t="n"/>
      <c r="HB11" s="130" t="n"/>
    </row>
    <row r="12" customFormat="1" s="131">
      <c r="A12" s="310" t="n">
        <v>2</v>
      </c>
      <c r="B12" s="311" t="inlineStr">
        <is>
          <t>2026-10-20</t>
        </is>
      </c>
      <c r="C12" s="310" t="inlineStr">
        <is>
          <t>한빛글로벌 QA팀</t>
        </is>
      </c>
      <c r="D12" s="310" t="inlineStr">
        <is>
          <t>기능오류</t>
        </is>
      </c>
      <c r="E12" s="310" t="inlineStr">
        <is>
          <t>PoC/프로토타입</t>
        </is>
      </c>
      <c r="F12" s="310" t="inlineStr">
        <is>
          <t>3단계AI판정</t>
        </is>
      </c>
      <c r="G12" s="310" t="inlineStr">
        <is>
          <t>상</t>
        </is>
      </c>
      <c r="H12" s="312" t="inlineStr">
        <is>
          <t>AI 판정 콘솔</t>
        </is>
      </c>
      <c r="I12" s="312" t="inlineStr">
        <is>
          <t>'면책', '재생' 등 불공정 독소조항성 복합 명사가 1단계 룰사전 정규식에서 누락되는 케이스 발생</t>
        </is>
      </c>
      <c r="J12" s="312" t="inlineStr">
        <is>
          <t>/api/v1/judge/rule</t>
        </is>
      </c>
      <c r="K12" s="310" t="inlineStr">
        <is>
          <t>처리완료</t>
        </is>
      </c>
      <c r="L12" s="313" t="inlineStr">
        <is>
          <t>-</t>
        </is>
      </c>
      <c r="M12" s="313" t="inlineStr">
        <is>
          <t>-</t>
        </is>
      </c>
      <c r="N12" s="313" t="inlineStr">
        <is>
          <t>2026-10-11</t>
        </is>
      </c>
      <c r="O12" s="310" t="inlineStr">
        <is>
          <t>2026-10-22</t>
        </is>
      </c>
      <c r="P12" s="314" t="inlineStr">
        <is>
          <t>2026-10-12</t>
        </is>
      </c>
      <c r="Q12" s="312" t="inlineStr">
        <is>
          <t>2026-10-23</t>
        </is>
      </c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133" t="n"/>
      <c r="AN12" s="133" t="n"/>
      <c r="AO12" s="133" t="n"/>
      <c r="HB12" s="133" t="n"/>
    </row>
    <row r="13" customFormat="1" s="131">
      <c r="A13" s="310" t="n">
        <v>3</v>
      </c>
      <c r="B13" s="311" t="inlineStr">
        <is>
          <t>2026-10-20</t>
        </is>
      </c>
      <c r="C13" s="310" t="inlineStr">
        <is>
          <t>EMPASY QA팀</t>
        </is>
      </c>
      <c r="D13" s="310" t="inlineStr">
        <is>
          <t>레이아웃/UI결함</t>
        </is>
      </c>
      <c r="E13" s="310" t="inlineStr">
        <is>
          <t>PoC/프로토타입</t>
        </is>
      </c>
      <c r="F13" s="310" t="inlineStr">
        <is>
          <t>UI/대조뷰어</t>
        </is>
      </c>
      <c r="G13" s="310" t="inlineStr">
        <is>
          <t>중</t>
        </is>
      </c>
      <c r="H13" s="312" t="inlineStr">
        <is>
          <t>Side-by-Side 대조화면</t>
        </is>
      </c>
      <c r="I13" s="312" t="inlineStr">
        <is>
          <t>4K 고해상도 모니터에서 원본 계약·도서 바운딩 박스가 텍스트 위치보다 우측 아래로 15px 밀리는 현상</t>
        </is>
      </c>
      <c r="J13" s="312" t="inlineStr">
        <is>
          <t>/review/console</t>
        </is>
      </c>
      <c r="K13" s="310" t="inlineStr">
        <is>
          <t>처리완료</t>
        </is>
      </c>
      <c r="L13" s="313" t="inlineStr">
        <is>
          <t>-</t>
        </is>
      </c>
      <c r="M13" s="313" t="inlineStr">
        <is>
          <t>2026-10-12</t>
        </is>
      </c>
      <c r="N13" s="313" t="inlineStr">
        <is>
          <t>2026-10-12</t>
        </is>
      </c>
      <c r="O13" s="310" t="inlineStr">
        <is>
          <t>2026-10-22</t>
        </is>
      </c>
      <c r="P13" s="314" t="inlineStr">
        <is>
          <t>2026-10-13</t>
        </is>
      </c>
      <c r="Q13" s="312" t="inlineStr">
        <is>
          <t>2026-10-23</t>
        </is>
      </c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  <c r="AA13" s="133" t="n"/>
      <c r="AB13" s="133" t="n"/>
      <c r="AC13" s="133" t="n"/>
      <c r="AD13" s="133" t="n"/>
      <c r="AE13" s="133" t="n"/>
      <c r="AF13" s="133" t="n"/>
      <c r="AG13" s="133" t="n"/>
      <c r="AH13" s="133" t="n"/>
      <c r="AI13" s="133" t="n"/>
      <c r="AJ13" s="133" t="n"/>
      <c r="AK13" s="133" t="n"/>
      <c r="AL13" s="133" t="n"/>
      <c r="AM13" s="133" t="n"/>
      <c r="AN13" s="133" t="n"/>
      <c r="AO13" s="133" t="n"/>
      <c r="HB13" s="133" t="n"/>
    </row>
    <row r="14" customFormat="1" s="131">
      <c r="A14" s="310" t="n">
        <v>4</v>
      </c>
      <c r="B14" s="311" t="inlineStr">
        <is>
          <t>2026-10-20</t>
        </is>
      </c>
      <c r="C14" s="310" t="inlineStr">
        <is>
          <t>EMPASY QA팀</t>
        </is>
      </c>
      <c r="D14" s="310" t="inlineStr">
        <is>
          <t>기능오류</t>
        </is>
      </c>
      <c r="E14" s="310" t="inlineStr">
        <is>
          <t>PoC/프로토타입</t>
        </is>
      </c>
      <c r="F14" s="310" t="inlineStr">
        <is>
          <t>사내연계</t>
        </is>
      </c>
      <c r="G14" s="310" t="inlineStr">
        <is>
          <t>상</t>
        </is>
      </c>
      <c r="H14" s="312" t="inlineStr">
        <is>
          <t>사내 SSO 연계 모듈</t>
        </is>
      </c>
      <c r="I14" s="312" t="inlineStr">
        <is>
          <t>사내 SSO OIDC 토큰 만료 시 Refresh Token 자동 갱신 실패로 인한 세션 끊김 현상</t>
        </is>
      </c>
      <c r="J14" s="312" t="inlineStr">
        <is>
          <t>/auth/callback</t>
        </is>
      </c>
      <c r="K14" s="310" t="inlineStr">
        <is>
          <t>처리완료</t>
        </is>
      </c>
      <c r="L14" s="313" t="inlineStr">
        <is>
          <t>-</t>
        </is>
      </c>
      <c r="M14" s="313" t="inlineStr">
        <is>
          <t>-</t>
        </is>
      </c>
      <c r="N14" s="313" t="inlineStr">
        <is>
          <t>2026-10-12</t>
        </is>
      </c>
      <c r="O14" s="310" t="inlineStr">
        <is>
          <t>2026-10-22</t>
        </is>
      </c>
      <c r="P14" s="314" t="inlineStr">
        <is>
          <t>2026-10-13</t>
        </is>
      </c>
      <c r="Q14" s="312" t="inlineStr">
        <is>
          <t>2026-10-23</t>
        </is>
      </c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HB14" s="134" t="n"/>
    </row>
    <row r="15" customFormat="1" s="131">
      <c r="A15" s="310" t="n">
        <v>5</v>
      </c>
      <c r="B15" s="311" t="inlineStr">
        <is>
          <t>2026-10-20</t>
        </is>
      </c>
      <c r="C15" s="310" t="inlineStr">
        <is>
          <t>EMPASY QA팀</t>
        </is>
      </c>
      <c r="D15" s="310" t="inlineStr">
        <is>
          <t>기능오류</t>
        </is>
      </c>
      <c r="E15" s="310" t="inlineStr">
        <is>
          <t>PoC/프로토타입</t>
        </is>
      </c>
      <c r="F15" s="310" t="inlineStr">
        <is>
          <t>DB/스토리지</t>
        </is>
      </c>
      <c r="G15" s="310" t="inlineStr">
        <is>
          <t>중</t>
        </is>
      </c>
      <c r="H15" s="312" t="inlineStr">
        <is>
          <t>감사로그 모듈</t>
        </is>
      </c>
      <c r="I15" s="312" t="inlineStr">
        <is>
          <t>검증 승인 시 생성되는 불변 감사로그의 이전 블록 해시값 참조 누락 결함</t>
        </is>
      </c>
      <c r="J15" s="312" t="inlineStr">
        <is>
          <t>/api/v1/audit</t>
        </is>
      </c>
      <c r="K15" s="310" t="inlineStr">
        <is>
          <t>처리완료</t>
        </is>
      </c>
      <c r="L15" s="313" t="inlineStr">
        <is>
          <t>-</t>
        </is>
      </c>
      <c r="M15" s="313" t="inlineStr">
        <is>
          <t>-</t>
        </is>
      </c>
      <c r="N15" s="313" t="inlineStr">
        <is>
          <t>2026-10-13</t>
        </is>
      </c>
      <c r="O15" s="310" t="inlineStr">
        <is>
          <t>2026-10-22</t>
        </is>
      </c>
      <c r="P15" s="314" t="inlineStr">
        <is>
          <t>2026-10-14</t>
        </is>
      </c>
      <c r="Q15" s="312" t="inlineStr">
        <is>
          <t>2026-10-23</t>
        </is>
      </c>
      <c r="R15" s="134" t="n"/>
      <c r="S15" s="134" t="n"/>
      <c r="T15" s="134" t="n"/>
      <c r="U15" s="134" t="n"/>
      <c r="V15" s="134" t="n"/>
      <c r="W15" s="134" t="n"/>
      <c r="X15" s="134" t="n"/>
      <c r="Y15" s="134" t="n"/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HB15" s="134" t="n"/>
    </row>
    <row r="16" customFormat="1" s="131">
      <c r="A16" s="310" t="n">
        <v>6</v>
      </c>
      <c r="B16" s="311" t="inlineStr">
        <is>
          <t>2026-10-20</t>
        </is>
      </c>
      <c r="C16" s="310" t="inlineStr">
        <is>
          <t>한빛글로벌 QA팀</t>
        </is>
      </c>
      <c r="D16" s="310" t="inlineStr">
        <is>
          <t>레이아웃/UI결함</t>
        </is>
      </c>
      <c r="E16" s="310" t="inlineStr">
        <is>
          <t>PoC/프로토타입</t>
        </is>
      </c>
      <c r="F16" s="310" t="inlineStr">
        <is>
          <t>UI/대조뷰어</t>
        </is>
      </c>
      <c r="G16" s="310" t="inlineStr">
        <is>
          <t>하</t>
        </is>
      </c>
      <c r="H16" s="312" t="inlineStr">
        <is>
          <t>표준수정조항 추천 팝업</t>
        </is>
      </c>
      <c r="I16" s="312" t="inlineStr">
        <is>
          <t>표준대안 추천 카드가 3개 이상일 때 하단 모달 푸터와 겹쳐서 가려지는 CSS 오류</t>
        </is>
      </c>
      <c r="J16" s="312" t="inlineStr">
        <is>
          <t>/review/alt-modal</t>
        </is>
      </c>
      <c r="K16" s="310" t="inlineStr">
        <is>
          <t>처리완료</t>
        </is>
      </c>
      <c r="L16" s="313" t="inlineStr">
        <is>
          <t>-</t>
        </is>
      </c>
      <c r="M16" s="313" t="inlineStr">
        <is>
          <t>2026-10-13</t>
        </is>
      </c>
      <c r="N16" s="313" t="inlineStr">
        <is>
          <t>2026-10-13</t>
        </is>
      </c>
      <c r="O16" s="310" t="inlineStr">
        <is>
          <t>2026-10-22</t>
        </is>
      </c>
      <c r="P16" s="314" t="inlineStr">
        <is>
          <t>2026-10-14</t>
        </is>
      </c>
      <c r="Q16" s="312" t="inlineStr">
        <is>
          <t>2026-10-23</t>
        </is>
      </c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HB16" s="134" t="n"/>
    </row>
    <row r="17" customFormat="1" s="131">
      <c r="A17" s="310" t="n">
        <v>7</v>
      </c>
      <c r="B17" s="311" t="inlineStr">
        <is>
          <t>2026-10-20</t>
        </is>
      </c>
      <c r="C17" s="310" t="inlineStr">
        <is>
          <t>EMPASY QA팀</t>
        </is>
      </c>
      <c r="D17" s="310" t="inlineStr">
        <is>
          <t>기능오류</t>
        </is>
      </c>
      <c r="E17" s="310" t="inlineStr">
        <is>
          <t>PoC/프로토타입</t>
        </is>
      </c>
      <c r="F17" s="310" t="inlineStr">
        <is>
          <t>사내연계</t>
        </is>
      </c>
      <c r="G17" s="310" t="inlineStr">
        <is>
          <t>상</t>
        </is>
      </c>
      <c r="H17" s="312" t="inlineStr">
        <is>
          <t>SRM-Portal 회신 API</t>
        </is>
      </c>
      <c r="I17" s="312" t="inlineStr">
        <is>
          <t>SRM-Portal 점검 중 검증 확정 결과 전송 시 HTTP 503 수신 후 재시도 미수행</t>
        </is>
      </c>
      <c r="J17" s="312" t="inlineStr">
        <is>
          <t>/api/v1/if/srm-portal</t>
        </is>
      </c>
      <c r="K17" s="310" t="inlineStr">
        <is>
          <t>처리완료</t>
        </is>
      </c>
      <c r="L17" s="313" t="inlineStr">
        <is>
          <t>-</t>
        </is>
      </c>
      <c r="M17" s="313" t="inlineStr">
        <is>
          <t>-</t>
        </is>
      </c>
      <c r="N17" s="313" t="inlineStr">
        <is>
          <t>2026-10-14</t>
        </is>
      </c>
      <c r="O17" s="310" t="inlineStr">
        <is>
          <t>2026-10-22</t>
        </is>
      </c>
      <c r="P17" s="314" t="inlineStr">
        <is>
          <t>2026-10-15</t>
        </is>
      </c>
      <c r="Q17" s="312" t="inlineStr">
        <is>
          <t>2026-10-23</t>
        </is>
      </c>
      <c r="R17" s="134" t="n"/>
      <c r="S17" s="134" t="n"/>
      <c r="T17" s="134" t="n"/>
      <c r="U17" s="134" t="n"/>
      <c r="V17" s="134" t="n"/>
      <c r="W17" s="134" t="n"/>
      <c r="X17" s="134" t="n"/>
      <c r="Y17" s="134" t="n"/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HB17" s="134" t="n"/>
    </row>
    <row r="18" customFormat="1" s="131">
      <c r="A18" s="310" t="n">
        <v>8</v>
      </c>
      <c r="B18" s="311" t="inlineStr">
        <is>
          <t>2026-10-20</t>
        </is>
      </c>
      <c r="C18" s="310" t="inlineStr">
        <is>
          <t>EMPASY QA팀</t>
        </is>
      </c>
      <c r="D18" s="310" t="inlineStr">
        <is>
          <t>기능개선/추가요건</t>
        </is>
      </c>
      <c r="E18" s="310" t="inlineStr">
        <is>
          <t>PoC/프로토타입</t>
        </is>
      </c>
      <c r="F18" s="310" t="inlineStr">
        <is>
          <t>3단계AI판정</t>
        </is>
      </c>
      <c r="G18" s="310" t="inlineStr">
        <is>
          <t>중</t>
        </is>
      </c>
      <c r="H18" s="312" t="inlineStr">
        <is>
          <t>RAG 판례 검색</t>
        </is>
      </c>
      <c r="I18" s="312" t="inlineStr">
        <is>
          <t>공정위·표준원 판례 검색 시 코사인 유사도 0.8 이하인 무관 판례가 3순위에 노출되는 현상</t>
        </is>
      </c>
      <c r="J18" s="312" t="inlineStr">
        <is>
          <t>/api/v1/rag/search</t>
        </is>
      </c>
      <c r="K18" s="310" t="inlineStr">
        <is>
          <t>처리완료</t>
        </is>
      </c>
      <c r="L18" s="313" t="inlineStr">
        <is>
          <t>-</t>
        </is>
      </c>
      <c r="M18" s="313" t="inlineStr">
        <is>
          <t>-</t>
        </is>
      </c>
      <c r="N18" s="313" t="inlineStr">
        <is>
          <t>2026-10-14</t>
        </is>
      </c>
      <c r="O18" s="310" t="inlineStr">
        <is>
          <t>2026-10-22</t>
        </is>
      </c>
      <c r="P18" s="314" t="inlineStr">
        <is>
          <t>2026-10-15</t>
        </is>
      </c>
      <c r="Q18" s="312" t="inlineStr">
        <is>
          <t>2026-10-23</t>
        </is>
      </c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HB18" s="134" t="n"/>
    </row>
    <row r="19" customFormat="1" s="131">
      <c r="A19" s="310" t="n">
        <v>9</v>
      </c>
      <c r="B19" s="311" t="inlineStr">
        <is>
          <t>2026-10-20</t>
        </is>
      </c>
      <c r="C19" s="310" t="inlineStr">
        <is>
          <t>EMPASY QA팀</t>
        </is>
      </c>
      <c r="D19" s="310" t="inlineStr">
        <is>
          <t>기능오류</t>
        </is>
      </c>
      <c r="E19" s="310" t="inlineStr">
        <is>
          <t>PoC/프로토타입</t>
        </is>
      </c>
      <c r="F19" s="310" t="inlineStr">
        <is>
          <t>스토리지연계</t>
        </is>
      </c>
      <c r="G19" s="310" t="inlineStr">
        <is>
          <t>중</t>
        </is>
      </c>
      <c r="H19" s="312" t="inlineStr">
        <is>
          <t>계약·도서 파일 업로드</t>
        </is>
      </c>
      <c r="I19" s="312" t="inlineStr">
        <is>
          <t>30MB에 근접한 고용량 PPTX 업로드 시 MinIO 멀티파트 업로드 타임아웃 발생</t>
        </is>
      </c>
      <c r="J19" s="312" t="inlineStr">
        <is>
          <t>/api/v1/upload</t>
        </is>
      </c>
      <c r="K19" s="310" t="inlineStr">
        <is>
          <t>처리완료</t>
        </is>
      </c>
      <c r="L19" s="313" t="inlineStr">
        <is>
          <t>-</t>
        </is>
      </c>
      <c r="M19" s="313" t="inlineStr">
        <is>
          <t>-</t>
        </is>
      </c>
      <c r="N19" s="313" t="inlineStr">
        <is>
          <t>2026-10-15</t>
        </is>
      </c>
      <c r="O19" s="310" t="inlineStr">
        <is>
          <t>2026-10-22</t>
        </is>
      </c>
      <c r="P19" s="314" t="inlineStr">
        <is>
          <t>2026-10-15</t>
        </is>
      </c>
      <c r="Q19" s="312" t="inlineStr">
        <is>
          <t>2026-10-23</t>
        </is>
      </c>
      <c r="R19" s="134" t="n"/>
      <c r="S19" s="134" t="n"/>
      <c r="T19" s="134" t="n"/>
      <c r="U19" s="134" t="n"/>
      <c r="V19" s="134" t="n"/>
      <c r="W19" s="134" t="n"/>
      <c r="X19" s="134" t="n"/>
      <c r="Y19" s="134" t="n"/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HB19" s="134" t="n"/>
    </row>
    <row r="20" customFormat="1" s="131">
      <c r="A20" s="310" t="n">
        <v>10</v>
      </c>
      <c r="B20" s="311" t="inlineStr">
        <is>
          <t>2026-10-20</t>
        </is>
      </c>
      <c r="C20" s="310" t="inlineStr">
        <is>
          <t>한빛글로벌 구매담당자</t>
        </is>
      </c>
      <c r="D20" s="310" t="inlineStr">
        <is>
          <t>레이아웃/UI결함</t>
        </is>
      </c>
      <c r="E20" s="310" t="inlineStr">
        <is>
          <t>PoC/프로토타입</t>
        </is>
      </c>
      <c r="F20" s="310" t="inlineStr">
        <is>
          <t>구매담당자포털</t>
        </is>
      </c>
      <c r="G20" s="310" t="inlineStr">
        <is>
          <t>하</t>
        </is>
      </c>
      <c r="H20" s="312" t="inlineStr">
        <is>
          <t>검증 결과 요약 카드</t>
        </is>
      </c>
      <c r="I20" s="312" t="inlineStr">
        <is>
          <t>검토 반려된 문장 수가 10건 이상일 때 요약 카드 숫자가 줄바꿈되어 깨지는 현상</t>
        </is>
      </c>
      <c r="J20" s="312" t="inlineStr">
        <is>
          <t>/dashboard</t>
        </is>
      </c>
      <c r="K20" s="310" t="inlineStr">
        <is>
          <t>처리완료</t>
        </is>
      </c>
      <c r="L20" s="313" t="inlineStr">
        <is>
          <t>-</t>
        </is>
      </c>
      <c r="M20" s="313" t="inlineStr">
        <is>
          <t>2026-10-15</t>
        </is>
      </c>
      <c r="N20" s="313" t="inlineStr">
        <is>
          <t>2026-10-15</t>
        </is>
      </c>
      <c r="O20" s="310" t="inlineStr">
        <is>
          <t>2026-10-22</t>
        </is>
      </c>
      <c r="P20" s="314" t="inlineStr">
        <is>
          <t>2026-10-16</t>
        </is>
      </c>
      <c r="Q20" s="312" t="inlineStr">
        <is>
          <t>2026-10-23</t>
        </is>
      </c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HB20" s="134" t="n"/>
    </row>
    <row r="21" customFormat="1" s="131">
      <c r="A21" s="310" t="n">
        <v>11</v>
      </c>
      <c r="B21" s="311" t="inlineStr">
        <is>
          <t>2026-10-15</t>
        </is>
      </c>
      <c r="C21" s="310" t="inlineStr">
        <is>
          <t>EMPASY QA팀</t>
        </is>
      </c>
      <c r="D21" s="310" t="inlineStr">
        <is>
          <t>기능오류</t>
        </is>
      </c>
      <c r="E21" s="310" t="inlineStr">
        <is>
          <t>단위테스트</t>
        </is>
      </c>
      <c r="F21" s="310" t="inlineStr">
        <is>
          <t>3단계AI판정</t>
        </is>
      </c>
      <c r="G21" s="310" t="inlineStr">
        <is>
          <t>중</t>
        </is>
      </c>
      <c r="H21" s="312" t="inlineStr">
        <is>
          <t>LLM Agent 검증</t>
        </is>
      </c>
      <c r="I21" s="312" t="inlineStr">
        <is>
          <t>'가꾸어주는 데 도움' 같은 복합 완화 표현 분석 시 프롬프트 누락으로 '주의' 오판정</t>
        </is>
      </c>
      <c r="J21" s="312" t="inlineStr">
        <is>
          <t>/api/v1/agent</t>
        </is>
      </c>
      <c r="K21" s="310" t="inlineStr">
        <is>
          <t>처리완료</t>
        </is>
      </c>
      <c r="L21" s="313" t="inlineStr">
        <is>
          <t>-</t>
        </is>
      </c>
      <c r="M21" s="313" t="inlineStr">
        <is>
          <t>-</t>
        </is>
      </c>
      <c r="N21" s="313" t="inlineStr">
        <is>
          <t>2026-10-15</t>
        </is>
      </c>
      <c r="O21" s="310" t="inlineStr">
        <is>
          <t>김수진 수석</t>
        </is>
      </c>
      <c r="P21" s="314" t="inlineStr">
        <is>
          <t>2026-10-16</t>
        </is>
      </c>
      <c r="Q21" s="312" t="inlineStr">
        <is>
          <t>하도급거래 공정화법 인정 완화 표현 패턴 프롬프트 Few-Shot 예시 보강 완료</t>
        </is>
      </c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HB21" s="134" t="n"/>
    </row>
    <row r="22" customFormat="1" s="131">
      <c r="A22" s="310" t="n">
        <v>12</v>
      </c>
      <c r="B22" s="311" t="inlineStr">
        <is>
          <t>2026-10-15</t>
        </is>
      </c>
      <c r="C22" s="310" t="inlineStr">
        <is>
          <t>한빛글로벌 QA팀</t>
        </is>
      </c>
      <c r="D22" s="310" t="inlineStr">
        <is>
          <t>기능개선/추가요건</t>
        </is>
      </c>
      <c r="E22" s="310" t="inlineStr">
        <is>
          <t>통합테스트</t>
        </is>
      </c>
      <c r="F22" s="310" t="inlineStr">
        <is>
          <t>QA전용화면</t>
        </is>
      </c>
      <c r="G22" s="310" t="inlineStr">
        <is>
          <t>하</t>
        </is>
      </c>
      <c r="H22" s="312" t="inlineStr">
        <is>
          <t>검증 확정 리포트</t>
        </is>
      </c>
      <c r="I22" s="312" t="inlineStr">
        <is>
          <t>공문 PDF 생성 시 QA 승인 서명란 위치가 마지막 페이지 최하단에 잘리는 현상</t>
        </is>
      </c>
      <c r="J22" s="312" t="inlineStr">
        <is>
          <t>/report/pdf</t>
        </is>
      </c>
      <c r="K22" s="310" t="inlineStr">
        <is>
          <t>처리완료</t>
        </is>
      </c>
      <c r="L22" s="313" t="inlineStr">
        <is>
          <t>-</t>
        </is>
      </c>
      <c r="M22" s="313" t="inlineStr">
        <is>
          <t>2026-10-16</t>
        </is>
      </c>
      <c r="N22" s="313" t="inlineStr">
        <is>
          <t>2026-10-16</t>
        </is>
      </c>
      <c r="O22" s="310" t="inlineStr">
        <is>
          <t>박지원 선임</t>
        </is>
      </c>
      <c r="P22" s="314" t="inlineStr">
        <is>
          <t>2026-10-16</t>
        </is>
      </c>
      <c r="Q22" s="312" t="inlineStr">
        <is>
          <t>PDF 렌더링 템플릿 마진 및 A4 자동 페이지 나눔 규칙 적용 완료</t>
        </is>
      </c>
      <c r="R22" s="134" t="n"/>
      <c r="S22" s="134" t="n"/>
      <c r="T22" s="134" t="n"/>
      <c r="U22" s="134" t="n"/>
      <c r="V22" s="134" t="n"/>
      <c r="W22" s="134" t="n"/>
      <c r="X22" s="134" t="n"/>
      <c r="Y22" s="134" t="n"/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HB22" s="134" t="n"/>
    </row>
    <row r="23" customFormat="1" s="131">
      <c r="A23" s="171" t="n"/>
      <c r="B23" s="315" t="n"/>
      <c r="C23" s="173" t="n"/>
      <c r="D23" s="174" t="n"/>
      <c r="E23" s="173" t="n"/>
      <c r="F23" s="173" t="n"/>
      <c r="G23" s="173" t="n"/>
      <c r="H23" s="175" t="n"/>
      <c r="I23" s="132" t="n"/>
      <c r="J23" s="161" t="n"/>
      <c r="K23" s="173" t="n"/>
      <c r="L23" s="316" t="n"/>
      <c r="M23" s="316" t="n"/>
      <c r="N23" s="316" t="n"/>
      <c r="O23" s="173" t="n"/>
      <c r="P23" s="317" t="n"/>
      <c r="Q23" s="162" t="n"/>
      <c r="R23" s="134" t="n"/>
      <c r="S23" s="134" t="n"/>
      <c r="T23" s="134" t="n"/>
      <c r="U23" s="134" t="n"/>
      <c r="V23" s="134" t="n"/>
      <c r="W23" s="134" t="n"/>
      <c r="X23" s="134" t="n"/>
      <c r="Y23" s="134" t="n"/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HB23" s="134" t="n"/>
    </row>
    <row r="24" customFormat="1" s="131">
      <c r="A24" s="171" t="n"/>
      <c r="B24" s="315" t="n"/>
      <c r="C24" s="173" t="n"/>
      <c r="D24" s="174" t="n"/>
      <c r="E24" s="173" t="n"/>
      <c r="F24" s="173" t="n"/>
      <c r="G24" s="173" t="n"/>
      <c r="H24" s="175" t="n"/>
      <c r="I24" s="132" t="n"/>
      <c r="J24" s="161" t="n"/>
      <c r="K24" s="173" t="n"/>
      <c r="L24" s="316" t="n"/>
      <c r="M24" s="316" t="n"/>
      <c r="N24" s="316" t="n"/>
      <c r="O24" s="173" t="n"/>
      <c r="P24" s="317" t="n"/>
      <c r="Q24" s="162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HB24" s="134" t="n"/>
    </row>
    <row r="25" customFormat="1" s="131">
      <c r="A25" s="171" t="n"/>
      <c r="B25" s="315" t="n"/>
      <c r="C25" s="173" t="n"/>
      <c r="D25" s="174" t="n"/>
      <c r="E25" s="173" t="n"/>
      <c r="F25" s="173" t="n"/>
      <c r="G25" s="173" t="n"/>
      <c r="H25" s="175" t="n"/>
      <c r="I25" s="132" t="n"/>
      <c r="J25" s="161" t="n"/>
      <c r="K25" s="173" t="n"/>
      <c r="L25" s="316" t="n"/>
      <c r="M25" s="316" t="n"/>
      <c r="N25" s="316" t="n"/>
      <c r="O25" s="173" t="n"/>
      <c r="P25" s="317" t="n"/>
      <c r="Q25" s="162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HB25" s="134" t="n"/>
    </row>
    <row r="26" customFormat="1" s="131">
      <c r="A26" s="171" t="n"/>
      <c r="B26" s="315" t="n"/>
      <c r="C26" s="173" t="n"/>
      <c r="D26" s="174" t="n"/>
      <c r="E26" s="173" t="n"/>
      <c r="F26" s="173" t="n"/>
      <c r="G26" s="173" t="n"/>
      <c r="H26" s="175" t="n"/>
      <c r="I26" s="132" t="n"/>
      <c r="J26" s="161" t="n"/>
      <c r="K26" s="173" t="n"/>
      <c r="L26" s="316" t="n"/>
      <c r="M26" s="316" t="n"/>
      <c r="N26" s="316" t="n"/>
      <c r="O26" s="173" t="n"/>
      <c r="P26" s="317" t="n"/>
      <c r="Q26" s="162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HB26" s="134" t="n"/>
    </row>
    <row r="27" customFormat="1" s="131">
      <c r="A27" s="171" t="n"/>
      <c r="B27" s="315" t="n"/>
      <c r="C27" s="173" t="n"/>
      <c r="D27" s="174" t="n"/>
      <c r="E27" s="173" t="n"/>
      <c r="F27" s="173" t="n"/>
      <c r="G27" s="173" t="n"/>
      <c r="H27" s="175" t="n"/>
      <c r="I27" s="132" t="n"/>
      <c r="J27" s="161" t="n"/>
      <c r="K27" s="173" t="n"/>
      <c r="L27" s="316" t="n"/>
      <c r="M27" s="316" t="n"/>
      <c r="N27" s="316" t="n"/>
      <c r="O27" s="173" t="n"/>
      <c r="P27" s="317" t="n"/>
      <c r="Q27" s="162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HB27" s="134" t="n"/>
    </row>
    <row r="28" customFormat="1" s="131">
      <c r="A28" s="171" t="n"/>
      <c r="B28" s="315" t="n"/>
      <c r="C28" s="173" t="n"/>
      <c r="D28" s="174" t="n"/>
      <c r="E28" s="173" t="n"/>
      <c r="F28" s="173" t="n"/>
      <c r="G28" s="173" t="n"/>
      <c r="H28" s="175" t="n"/>
      <c r="I28" s="132" t="n"/>
      <c r="J28" s="161" t="n"/>
      <c r="K28" s="173" t="n"/>
      <c r="L28" s="316" t="n"/>
      <c r="M28" s="316" t="n"/>
      <c r="N28" s="316" t="n"/>
      <c r="O28" s="173" t="n"/>
      <c r="P28" s="317" t="n"/>
      <c r="Q28" s="162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HB28" s="134" t="n"/>
    </row>
    <row r="29" customFormat="1" s="131">
      <c r="A29" s="171" t="n"/>
      <c r="B29" s="315" t="n"/>
      <c r="C29" s="173" t="n"/>
      <c r="D29" s="174" t="n"/>
      <c r="E29" s="173" t="n"/>
      <c r="F29" s="173" t="n"/>
      <c r="G29" s="173" t="n"/>
      <c r="H29" s="175" t="n"/>
      <c r="I29" s="132" t="n"/>
      <c r="J29" s="161" t="n"/>
      <c r="K29" s="173" t="n"/>
      <c r="L29" s="316" t="n"/>
      <c r="M29" s="316" t="n"/>
      <c r="N29" s="316" t="n"/>
      <c r="O29" s="173" t="n"/>
      <c r="P29" s="317" t="n"/>
      <c r="Q29" s="162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HB29" s="134" t="n"/>
    </row>
    <row r="30" customFormat="1" s="131">
      <c r="A30" s="171" t="n"/>
      <c r="B30" s="315" t="n"/>
      <c r="C30" s="173" t="n"/>
      <c r="D30" s="174" t="n"/>
      <c r="E30" s="173" t="n"/>
      <c r="F30" s="173" t="n"/>
      <c r="G30" s="173" t="n"/>
      <c r="H30" s="175" t="n"/>
      <c r="I30" s="132" t="n"/>
      <c r="J30" s="161" t="n"/>
      <c r="K30" s="173" t="n"/>
      <c r="L30" s="316" t="n"/>
      <c r="M30" s="316" t="n"/>
      <c r="N30" s="316" t="n"/>
      <c r="O30" s="173" t="n"/>
      <c r="P30" s="317" t="n"/>
      <c r="Q30" s="162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  <c r="AL30" s="134" t="n"/>
      <c r="AM30" s="134" t="n"/>
      <c r="AN30" s="134" t="n"/>
      <c r="AO30" s="134" t="n"/>
      <c r="HB30" s="134" t="n"/>
    </row>
    <row r="31" customFormat="1" s="131">
      <c r="A31" s="171" t="n"/>
      <c r="B31" s="315" t="n"/>
      <c r="C31" s="173" t="n"/>
      <c r="D31" s="174" t="n"/>
      <c r="E31" s="173" t="n"/>
      <c r="F31" s="173" t="n"/>
      <c r="G31" s="173" t="n"/>
      <c r="H31" s="175" t="n"/>
      <c r="I31" s="132" t="n"/>
      <c r="J31" s="161" t="n"/>
      <c r="K31" s="173" t="n"/>
      <c r="L31" s="316" t="n"/>
      <c r="M31" s="316" t="n"/>
      <c r="N31" s="316" t="n"/>
      <c r="O31" s="173" t="n"/>
      <c r="P31" s="317" t="n"/>
      <c r="Q31" s="162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HB31" s="134" t="n"/>
    </row>
    <row r="32" customFormat="1" s="131">
      <c r="A32" s="171" t="n"/>
      <c r="B32" s="315" t="n"/>
      <c r="C32" s="173" t="n"/>
      <c r="D32" s="174" t="n"/>
      <c r="E32" s="173" t="n"/>
      <c r="F32" s="173" t="n"/>
      <c r="G32" s="173" t="n"/>
      <c r="H32" s="175" t="n"/>
      <c r="I32" s="132" t="n"/>
      <c r="J32" s="161" t="n"/>
      <c r="K32" s="173" t="n"/>
      <c r="L32" s="316" t="n"/>
      <c r="M32" s="316" t="n"/>
      <c r="N32" s="316" t="n"/>
      <c r="O32" s="173" t="n"/>
      <c r="P32" s="317" t="n"/>
      <c r="Q32" s="162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HB32" s="134" t="n"/>
    </row>
    <row r="33" customFormat="1" s="131">
      <c r="A33" s="171" t="n"/>
      <c r="B33" s="315" t="n"/>
      <c r="C33" s="173" t="n"/>
      <c r="D33" s="174" t="n"/>
      <c r="E33" s="173" t="n"/>
      <c r="F33" s="173" t="n"/>
      <c r="G33" s="173" t="n"/>
      <c r="H33" s="175" t="n"/>
      <c r="I33" s="132" t="n"/>
      <c r="J33" s="161" t="n"/>
      <c r="K33" s="173" t="n"/>
      <c r="L33" s="316" t="n"/>
      <c r="M33" s="316" t="n"/>
      <c r="N33" s="316" t="n"/>
      <c r="O33" s="173" t="n"/>
      <c r="P33" s="317" t="n"/>
      <c r="Q33" s="162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HB33" s="134" t="n"/>
    </row>
    <row r="34" customFormat="1" s="131">
      <c r="A34" s="171" t="n"/>
      <c r="B34" s="315" t="n"/>
      <c r="C34" s="173" t="n"/>
      <c r="D34" s="174" t="n"/>
      <c r="E34" s="173" t="n"/>
      <c r="F34" s="173" t="n"/>
      <c r="G34" s="173" t="n"/>
      <c r="H34" s="175" t="n"/>
      <c r="I34" s="132" t="n"/>
      <c r="J34" s="161" t="n"/>
      <c r="K34" s="173" t="n"/>
      <c r="L34" s="316" t="n"/>
      <c r="M34" s="316" t="n"/>
      <c r="N34" s="316" t="n"/>
      <c r="O34" s="173" t="n"/>
      <c r="P34" s="317" t="n"/>
      <c r="Q34" s="162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  <c r="AL34" s="134" t="n"/>
      <c r="AM34" s="134" t="n"/>
      <c r="AN34" s="134" t="n"/>
      <c r="AO34" s="134" t="n"/>
      <c r="HB34" s="134" t="n"/>
    </row>
    <row r="35" customFormat="1" s="131">
      <c r="A35" s="171" t="n"/>
      <c r="B35" s="315" t="n"/>
      <c r="C35" s="173" t="n"/>
      <c r="D35" s="174" t="n"/>
      <c r="E35" s="173" t="n"/>
      <c r="F35" s="173" t="n"/>
      <c r="G35" s="173" t="n"/>
      <c r="H35" s="175" t="n"/>
      <c r="I35" s="132" t="n"/>
      <c r="J35" s="161" t="n"/>
      <c r="K35" s="173" t="n"/>
      <c r="L35" s="316" t="n"/>
      <c r="M35" s="316" t="n"/>
      <c r="N35" s="316" t="n"/>
      <c r="O35" s="173" t="n"/>
      <c r="P35" s="317" t="n"/>
      <c r="Q35" s="162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  <c r="AL35" s="134" t="n"/>
      <c r="AM35" s="134" t="n"/>
      <c r="AN35" s="134" t="n"/>
      <c r="AO35" s="134" t="n"/>
      <c r="HB35" s="134" t="n"/>
    </row>
    <row r="36" customFormat="1" s="131">
      <c r="A36" s="171" t="n"/>
      <c r="B36" s="315" t="n"/>
      <c r="C36" s="173" t="n"/>
      <c r="D36" s="174" t="n"/>
      <c r="E36" s="173" t="n"/>
      <c r="F36" s="173" t="n"/>
      <c r="G36" s="173" t="n"/>
      <c r="H36" s="175" t="n"/>
      <c r="I36" s="132" t="n"/>
      <c r="J36" s="161" t="n"/>
      <c r="K36" s="173" t="n"/>
      <c r="L36" s="316" t="n"/>
      <c r="M36" s="316" t="n"/>
      <c r="N36" s="316" t="n"/>
      <c r="O36" s="173" t="n"/>
      <c r="P36" s="317" t="n"/>
      <c r="Q36" s="162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HB36" s="134" t="n"/>
    </row>
    <row r="37" customFormat="1" s="131">
      <c r="A37" s="171" t="n"/>
      <c r="B37" s="315" t="n"/>
      <c r="C37" s="173" t="n"/>
      <c r="D37" s="174" t="n"/>
      <c r="E37" s="173" t="n"/>
      <c r="F37" s="173" t="n"/>
      <c r="G37" s="173" t="n"/>
      <c r="H37" s="175" t="n"/>
      <c r="I37" s="132" t="n"/>
      <c r="J37" s="161" t="n"/>
      <c r="K37" s="173" t="n"/>
      <c r="L37" s="316" t="n"/>
      <c r="M37" s="316" t="n"/>
      <c r="N37" s="316" t="n"/>
      <c r="O37" s="173" t="n"/>
      <c r="P37" s="317" t="n"/>
      <c r="Q37" s="162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HB37" s="134" t="n"/>
    </row>
    <row r="38" customFormat="1" s="131">
      <c r="A38" s="171" t="n"/>
      <c r="B38" s="315" t="n"/>
      <c r="C38" s="173" t="n"/>
      <c r="D38" s="174" t="n"/>
      <c r="E38" s="173" t="n"/>
      <c r="F38" s="173" t="n"/>
      <c r="G38" s="173" t="n"/>
      <c r="H38" s="175" t="n"/>
      <c r="I38" s="132" t="n"/>
      <c r="J38" s="161" t="n"/>
      <c r="K38" s="173" t="n"/>
      <c r="L38" s="316" t="n"/>
      <c r="M38" s="316" t="n"/>
      <c r="N38" s="316" t="n"/>
      <c r="O38" s="173" t="n"/>
      <c r="P38" s="317" t="n"/>
      <c r="Q38" s="162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HB38" s="134" t="n"/>
    </row>
    <row r="39" customFormat="1" s="131">
      <c r="A39" s="171" t="n"/>
      <c r="B39" s="315" t="n"/>
      <c r="C39" s="173" t="n"/>
      <c r="D39" s="174" t="n"/>
      <c r="E39" s="173" t="n"/>
      <c r="F39" s="173" t="n"/>
      <c r="G39" s="173" t="n"/>
      <c r="H39" s="175" t="n"/>
      <c r="I39" s="132" t="n"/>
      <c r="J39" s="161" t="n"/>
      <c r="K39" s="173" t="n"/>
      <c r="L39" s="316" t="n"/>
      <c r="M39" s="316" t="n"/>
      <c r="N39" s="316" t="n"/>
      <c r="O39" s="173" t="n"/>
      <c r="P39" s="317" t="n"/>
      <c r="Q39" s="162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HB39" s="134" t="n"/>
    </row>
    <row r="40" customFormat="1" s="131">
      <c r="A40" s="171" t="n"/>
      <c r="B40" s="315" t="n"/>
      <c r="C40" s="173" t="n"/>
      <c r="D40" s="174" t="n"/>
      <c r="E40" s="173" t="n"/>
      <c r="F40" s="173" t="n"/>
      <c r="G40" s="173" t="n"/>
      <c r="H40" s="175" t="n"/>
      <c r="I40" s="132" t="n"/>
      <c r="J40" s="161" t="n"/>
      <c r="K40" s="173" t="n"/>
      <c r="L40" s="316" t="n"/>
      <c r="M40" s="316" t="n"/>
      <c r="N40" s="316" t="n"/>
      <c r="O40" s="173" t="n"/>
      <c r="P40" s="317" t="n"/>
      <c r="Q40" s="162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C40" s="134" t="n"/>
      <c r="AD40" s="134" t="n"/>
      <c r="AE40" s="134" t="n"/>
      <c r="AF40" s="134" t="n"/>
      <c r="AG40" s="134" t="n"/>
      <c r="AH40" s="134" t="n"/>
      <c r="AI40" s="134" t="n"/>
      <c r="AJ40" s="134" t="n"/>
      <c r="AK40" s="134" t="n"/>
      <c r="AL40" s="134" t="n"/>
      <c r="AM40" s="134" t="n"/>
      <c r="AN40" s="134" t="n"/>
      <c r="AO40" s="134" t="n"/>
      <c r="HB40" s="134" t="n"/>
    </row>
    <row r="41" customFormat="1" s="131">
      <c r="A41" s="171" t="n"/>
      <c r="B41" s="315" t="n"/>
      <c r="C41" s="173" t="n"/>
      <c r="D41" s="174" t="n"/>
      <c r="E41" s="173" t="n"/>
      <c r="F41" s="173" t="n"/>
      <c r="G41" s="173" t="n"/>
      <c r="H41" s="175" t="n"/>
      <c r="I41" s="132" t="n"/>
      <c r="J41" s="161" t="n"/>
      <c r="K41" s="173" t="n"/>
      <c r="L41" s="316" t="n"/>
      <c r="M41" s="316" t="n"/>
      <c r="N41" s="316" t="n"/>
      <c r="O41" s="173" t="n"/>
      <c r="P41" s="317" t="n"/>
      <c r="Q41" s="162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  <c r="AB41" s="134" t="n"/>
      <c r="AC41" s="134" t="n"/>
      <c r="AD41" s="134" t="n"/>
      <c r="AE41" s="134" t="n"/>
      <c r="AF41" s="134" t="n"/>
      <c r="AG41" s="134" t="n"/>
      <c r="AH41" s="134" t="n"/>
      <c r="AI41" s="134" t="n"/>
      <c r="AJ41" s="134" t="n"/>
      <c r="AK41" s="134" t="n"/>
      <c r="AL41" s="134" t="n"/>
      <c r="AM41" s="134" t="n"/>
      <c r="AN41" s="134" t="n"/>
      <c r="AO41" s="134" t="n"/>
      <c r="HB41" s="134" t="n"/>
    </row>
    <row r="42" customFormat="1" s="131">
      <c r="A42" s="171" t="n"/>
      <c r="B42" s="315" t="n"/>
      <c r="C42" s="173" t="n"/>
      <c r="D42" s="174" t="n"/>
      <c r="E42" s="173" t="n"/>
      <c r="F42" s="173" t="n"/>
      <c r="G42" s="173" t="n"/>
      <c r="H42" s="175" t="n"/>
      <c r="I42" s="132" t="n"/>
      <c r="J42" s="161" t="n"/>
      <c r="K42" s="173" t="n"/>
      <c r="L42" s="316" t="n"/>
      <c r="M42" s="316" t="n"/>
      <c r="N42" s="316" t="n"/>
      <c r="O42" s="173" t="n"/>
      <c r="P42" s="317" t="n"/>
      <c r="Q42" s="162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 t="n"/>
      <c r="AA42" s="134" t="n"/>
      <c r="AB42" s="134" t="n"/>
      <c r="AC42" s="134" t="n"/>
      <c r="AD42" s="134" t="n"/>
      <c r="AE42" s="134" t="n"/>
      <c r="AF42" s="134" t="n"/>
      <c r="AG42" s="134" t="n"/>
      <c r="AH42" s="134" t="n"/>
      <c r="AI42" s="134" t="n"/>
      <c r="AJ42" s="134" t="n"/>
      <c r="AK42" s="134" t="n"/>
      <c r="AL42" s="134" t="n"/>
      <c r="AM42" s="134" t="n"/>
      <c r="AN42" s="134" t="n"/>
      <c r="AO42" s="134" t="n"/>
      <c r="HB42" s="134" t="n"/>
    </row>
    <row r="43" customFormat="1" s="131">
      <c r="A43" s="171" t="n"/>
      <c r="B43" s="315" t="n"/>
      <c r="C43" s="173" t="n"/>
      <c r="D43" s="174" t="n"/>
      <c r="E43" s="173" t="n"/>
      <c r="F43" s="173" t="n"/>
      <c r="G43" s="173" t="n"/>
      <c r="H43" s="175" t="n"/>
      <c r="I43" s="132" t="n"/>
      <c r="J43" s="161" t="n"/>
      <c r="K43" s="173" t="n"/>
      <c r="L43" s="316" t="n"/>
      <c r="M43" s="316" t="n"/>
      <c r="N43" s="316" t="n"/>
      <c r="O43" s="173" t="n"/>
      <c r="P43" s="317" t="n"/>
      <c r="Q43" s="162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 t="n"/>
      <c r="AA43" s="134" t="n"/>
      <c r="AB43" s="134" t="n"/>
      <c r="AC43" s="134" t="n"/>
      <c r="AD43" s="134" t="n"/>
      <c r="AE43" s="134" t="n"/>
      <c r="AF43" s="134" t="n"/>
      <c r="AG43" s="134" t="n"/>
      <c r="AH43" s="134" t="n"/>
      <c r="AI43" s="134" t="n"/>
      <c r="AJ43" s="134" t="n"/>
      <c r="AK43" s="134" t="n"/>
      <c r="AL43" s="134" t="n"/>
      <c r="AM43" s="134" t="n"/>
      <c r="AN43" s="134" t="n"/>
      <c r="AO43" s="134" t="n"/>
      <c r="HB43" s="134" t="n"/>
    </row>
    <row r="44" customFormat="1" s="131">
      <c r="A44" s="171" t="n"/>
      <c r="B44" s="315" t="n"/>
      <c r="C44" s="173" t="n"/>
      <c r="D44" s="174" t="n"/>
      <c r="E44" s="173" t="n"/>
      <c r="F44" s="173" t="n"/>
      <c r="G44" s="173" t="n"/>
      <c r="H44" s="175" t="n"/>
      <c r="I44" s="132" t="n"/>
      <c r="J44" s="161" t="n"/>
      <c r="K44" s="173" t="n"/>
      <c r="L44" s="316" t="n"/>
      <c r="M44" s="316" t="n"/>
      <c r="N44" s="316" t="n"/>
      <c r="O44" s="173" t="n"/>
      <c r="P44" s="317" t="n"/>
      <c r="Q44" s="162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  <c r="AA44" s="133" t="n"/>
      <c r="AB44" s="133" t="n"/>
      <c r="AC44" s="133" t="n"/>
      <c r="AD44" s="133" t="n"/>
      <c r="AE44" s="133" t="n"/>
      <c r="AF44" s="133" t="n"/>
      <c r="AG44" s="133" t="n"/>
      <c r="AH44" s="133" t="n"/>
      <c r="AI44" s="133" t="n"/>
      <c r="AJ44" s="133" t="n"/>
      <c r="AK44" s="133" t="n"/>
      <c r="AL44" s="133" t="n"/>
      <c r="AM44" s="133" t="n"/>
      <c r="AN44" s="133" t="n"/>
      <c r="AO44" s="133" t="n"/>
      <c r="HB44" s="133" t="n"/>
    </row>
    <row r="45" customFormat="1" s="131">
      <c r="A45" s="171" t="n"/>
      <c r="B45" s="315" t="n"/>
      <c r="C45" s="173" t="n"/>
      <c r="D45" s="174" t="n"/>
      <c r="E45" s="173" t="n"/>
      <c r="F45" s="173" t="n"/>
      <c r="G45" s="173" t="n"/>
      <c r="H45" s="175" t="n"/>
      <c r="I45" s="132" t="n"/>
      <c r="J45" s="161" t="n"/>
      <c r="K45" s="173" t="n"/>
      <c r="L45" s="316" t="n"/>
      <c r="M45" s="316" t="n"/>
      <c r="N45" s="316" t="n"/>
      <c r="O45" s="173" t="n"/>
      <c r="P45" s="317" t="n"/>
      <c r="Q45" s="162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  <c r="AA45" s="133" t="n"/>
      <c r="AB45" s="133" t="n"/>
      <c r="AC45" s="133" t="n"/>
      <c r="AD45" s="133" t="n"/>
      <c r="AE45" s="133" t="n"/>
      <c r="AF45" s="133" t="n"/>
      <c r="AG45" s="133" t="n"/>
      <c r="AH45" s="133" t="n"/>
      <c r="AI45" s="133" t="n"/>
      <c r="AJ45" s="133" t="n"/>
      <c r="AK45" s="133" t="n"/>
      <c r="AL45" s="133" t="n"/>
      <c r="AM45" s="133" t="n"/>
      <c r="AN45" s="133" t="n"/>
      <c r="AO45" s="133" t="n"/>
      <c r="HB45" s="133" t="n"/>
    </row>
    <row r="46" customFormat="1" s="131">
      <c r="A46" s="171" t="n"/>
      <c r="B46" s="315" t="n"/>
      <c r="C46" s="173" t="n"/>
      <c r="D46" s="174" t="n"/>
      <c r="E46" s="173" t="n"/>
      <c r="F46" s="173" t="n"/>
      <c r="G46" s="173" t="n"/>
      <c r="H46" s="175" t="n"/>
      <c r="I46" s="132" t="n"/>
      <c r="J46" s="161" t="n"/>
      <c r="K46" s="173" t="n"/>
      <c r="L46" s="316" t="n"/>
      <c r="M46" s="316" t="n"/>
      <c r="N46" s="316" t="n"/>
      <c r="O46" s="173" t="n"/>
      <c r="P46" s="317" t="n"/>
      <c r="Q46" s="162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  <c r="AA46" s="133" t="n"/>
      <c r="AB46" s="133" t="n"/>
      <c r="AC46" s="133" t="n"/>
      <c r="AD46" s="133" t="n"/>
      <c r="AE46" s="133" t="n"/>
      <c r="AF46" s="133" t="n"/>
      <c r="AG46" s="133" t="n"/>
      <c r="AH46" s="133" t="n"/>
      <c r="AI46" s="133" t="n"/>
      <c r="AJ46" s="133" t="n"/>
      <c r="AK46" s="133" t="n"/>
      <c r="AL46" s="133" t="n"/>
      <c r="AM46" s="133" t="n"/>
      <c r="AN46" s="133" t="n"/>
      <c r="AO46" s="133" t="n"/>
      <c r="HB46" s="133" t="n"/>
    </row>
    <row r="47" customFormat="1" s="131">
      <c r="A47" s="171" t="n"/>
      <c r="B47" s="315" t="n"/>
      <c r="C47" s="173" t="n"/>
      <c r="D47" s="174" t="n"/>
      <c r="E47" s="173" t="n"/>
      <c r="F47" s="173" t="n"/>
      <c r="G47" s="173" t="n"/>
      <c r="H47" s="175" t="n"/>
      <c r="I47" s="132" t="n"/>
      <c r="J47" s="161" t="n"/>
      <c r="K47" s="173" t="n"/>
      <c r="L47" s="316" t="n"/>
      <c r="M47" s="316" t="n"/>
      <c r="N47" s="316" t="n"/>
      <c r="O47" s="173" t="n"/>
      <c r="P47" s="317" t="n"/>
      <c r="Q47" s="162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3" t="n"/>
      <c r="AA47" s="133" t="n"/>
      <c r="AB47" s="133" t="n"/>
      <c r="AC47" s="133" t="n"/>
      <c r="AD47" s="133" t="n"/>
      <c r="AE47" s="133" t="n"/>
      <c r="AF47" s="133" t="n"/>
      <c r="AG47" s="133" t="n"/>
      <c r="AH47" s="133" t="n"/>
      <c r="AI47" s="133" t="n"/>
      <c r="AJ47" s="133" t="n"/>
      <c r="AK47" s="133" t="n"/>
      <c r="AL47" s="133" t="n"/>
      <c r="AM47" s="133" t="n"/>
      <c r="AN47" s="133" t="n"/>
      <c r="AO47" s="133" t="n"/>
      <c r="HB47" s="133" t="n"/>
    </row>
    <row r="48" customFormat="1" s="131">
      <c r="A48" s="171" t="n"/>
      <c r="B48" s="315" t="n"/>
      <c r="C48" s="173" t="n"/>
      <c r="D48" s="174" t="n"/>
      <c r="E48" s="173" t="n"/>
      <c r="F48" s="173" t="n"/>
      <c r="G48" s="173" t="n"/>
      <c r="H48" s="175" t="n"/>
      <c r="I48" s="132" t="n"/>
      <c r="J48" s="161" t="n"/>
      <c r="K48" s="173" t="n"/>
      <c r="L48" s="316" t="n"/>
      <c r="M48" s="316" t="n"/>
      <c r="N48" s="316" t="n"/>
      <c r="O48" s="173" t="n"/>
      <c r="P48" s="317" t="n"/>
      <c r="Q48" s="162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3" t="n"/>
      <c r="AA48" s="133" t="n"/>
      <c r="AB48" s="133" t="n"/>
      <c r="AC48" s="133" t="n"/>
      <c r="AD48" s="133" t="n"/>
      <c r="AE48" s="133" t="n"/>
      <c r="AF48" s="133" t="n"/>
      <c r="AG48" s="133" t="n"/>
      <c r="AH48" s="133" t="n"/>
      <c r="AI48" s="133" t="n"/>
      <c r="AJ48" s="133" t="n"/>
      <c r="AK48" s="133" t="n"/>
      <c r="AL48" s="133" t="n"/>
      <c r="AM48" s="133" t="n"/>
      <c r="AN48" s="133" t="n"/>
      <c r="AO48" s="133" t="n"/>
      <c r="HB48" s="133" t="n"/>
    </row>
    <row r="49" customFormat="1" s="131">
      <c r="A49" s="171" t="n"/>
      <c r="B49" s="315" t="n"/>
      <c r="C49" s="173" t="n"/>
      <c r="D49" s="174" t="n"/>
      <c r="E49" s="173" t="n"/>
      <c r="F49" s="173" t="n"/>
      <c r="G49" s="173" t="n"/>
      <c r="H49" s="175" t="n"/>
      <c r="I49" s="132" t="n"/>
      <c r="J49" s="161" t="n"/>
      <c r="K49" s="173" t="n"/>
      <c r="L49" s="316" t="n"/>
      <c r="M49" s="316" t="n"/>
      <c r="N49" s="316" t="n"/>
      <c r="O49" s="173" t="n"/>
      <c r="P49" s="317" t="n"/>
      <c r="Q49" s="162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3" t="n"/>
      <c r="AA49" s="133" t="n"/>
      <c r="AB49" s="133" t="n"/>
      <c r="AC49" s="133" t="n"/>
      <c r="AD49" s="133" t="n"/>
      <c r="AE49" s="133" t="n"/>
      <c r="AF49" s="133" t="n"/>
      <c r="AG49" s="133" t="n"/>
      <c r="AH49" s="133" t="n"/>
      <c r="AI49" s="133" t="n"/>
      <c r="AJ49" s="133" t="n"/>
      <c r="AK49" s="133" t="n"/>
      <c r="AL49" s="133" t="n"/>
      <c r="AM49" s="133" t="n"/>
      <c r="AN49" s="133" t="n"/>
      <c r="AO49" s="133" t="n"/>
      <c r="HB49" s="133" t="n"/>
    </row>
    <row r="50" customFormat="1" s="131">
      <c r="A50" s="171" t="n"/>
      <c r="B50" s="315" t="n"/>
      <c r="C50" s="173" t="n"/>
      <c r="D50" s="174" t="n"/>
      <c r="E50" s="173" t="n"/>
      <c r="F50" s="173" t="n"/>
      <c r="G50" s="173" t="n"/>
      <c r="H50" s="175" t="n"/>
      <c r="I50" s="132" t="n"/>
      <c r="J50" s="161" t="n"/>
      <c r="K50" s="173" t="n"/>
      <c r="L50" s="316" t="n"/>
      <c r="M50" s="316" t="n"/>
      <c r="N50" s="316" t="n"/>
      <c r="O50" s="173" t="n"/>
      <c r="P50" s="317" t="n"/>
      <c r="Q50" s="162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3" t="n"/>
      <c r="AA50" s="133" t="n"/>
      <c r="AB50" s="133" t="n"/>
      <c r="AC50" s="133" t="n"/>
      <c r="AD50" s="133" t="n"/>
      <c r="AE50" s="133" t="n"/>
      <c r="AF50" s="133" t="n"/>
      <c r="AG50" s="133" t="n"/>
      <c r="AH50" s="133" t="n"/>
      <c r="AI50" s="133" t="n"/>
      <c r="AJ50" s="133" t="n"/>
      <c r="AK50" s="133" t="n"/>
      <c r="AL50" s="133" t="n"/>
      <c r="AM50" s="133" t="n"/>
      <c r="AN50" s="133" t="n"/>
      <c r="AO50" s="133" t="n"/>
      <c r="HB50" s="133" t="n"/>
    </row>
    <row r="51" customFormat="1" s="131">
      <c r="A51" s="171" t="n"/>
      <c r="B51" s="315" t="n"/>
      <c r="C51" s="173" t="n"/>
      <c r="D51" s="174" t="n"/>
      <c r="E51" s="173" t="n"/>
      <c r="F51" s="173" t="n"/>
      <c r="G51" s="173" t="n"/>
      <c r="H51" s="175" t="n"/>
      <c r="I51" s="132" t="n"/>
      <c r="J51" s="161" t="n"/>
      <c r="K51" s="173" t="n"/>
      <c r="L51" s="316" t="n"/>
      <c r="M51" s="316" t="n"/>
      <c r="N51" s="316" t="n"/>
      <c r="O51" s="173" t="n"/>
      <c r="P51" s="317" t="n"/>
      <c r="Q51" s="162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  <c r="AA51" s="133" t="n"/>
      <c r="AB51" s="133" t="n"/>
      <c r="AC51" s="133" t="n"/>
      <c r="AD51" s="133" t="n"/>
      <c r="AE51" s="133" t="n"/>
      <c r="AF51" s="133" t="n"/>
      <c r="AG51" s="133" t="n"/>
      <c r="AH51" s="133" t="n"/>
      <c r="AI51" s="133" t="n"/>
      <c r="AJ51" s="133" t="n"/>
      <c r="AK51" s="133" t="n"/>
      <c r="AL51" s="133" t="n"/>
      <c r="AM51" s="133" t="n"/>
      <c r="AN51" s="133" t="n"/>
      <c r="AO51" s="133" t="n"/>
      <c r="HB51" s="133" t="n"/>
    </row>
    <row r="52" customFormat="1" s="131">
      <c r="A52" s="171" t="n"/>
      <c r="B52" s="315" t="n"/>
      <c r="C52" s="173" t="n"/>
      <c r="D52" s="174" t="n"/>
      <c r="E52" s="173" t="n"/>
      <c r="F52" s="173" t="n"/>
      <c r="G52" s="173" t="n"/>
      <c r="H52" s="175" t="n"/>
      <c r="I52" s="132" t="n"/>
      <c r="J52" s="161" t="n"/>
      <c r="K52" s="173" t="n"/>
      <c r="L52" s="316" t="n"/>
      <c r="M52" s="316" t="n"/>
      <c r="N52" s="316" t="n"/>
      <c r="O52" s="173" t="n"/>
      <c r="P52" s="317" t="n"/>
      <c r="Q52" s="162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3" t="n"/>
      <c r="AA52" s="133" t="n"/>
      <c r="AB52" s="133" t="n"/>
      <c r="AC52" s="133" t="n"/>
      <c r="AD52" s="133" t="n"/>
      <c r="AE52" s="133" t="n"/>
      <c r="AF52" s="133" t="n"/>
      <c r="AG52" s="133" t="n"/>
      <c r="AH52" s="133" t="n"/>
      <c r="AI52" s="133" t="n"/>
      <c r="AJ52" s="133" t="n"/>
      <c r="AK52" s="133" t="n"/>
      <c r="AL52" s="133" t="n"/>
      <c r="AM52" s="133" t="n"/>
      <c r="AN52" s="133" t="n"/>
      <c r="AO52" s="133" t="n"/>
      <c r="HB52" s="133" t="n"/>
    </row>
    <row r="53" customFormat="1" s="131">
      <c r="A53" s="171" t="n"/>
      <c r="B53" s="315" t="n"/>
      <c r="C53" s="173" t="n"/>
      <c r="D53" s="174" t="n"/>
      <c r="E53" s="173" t="n"/>
      <c r="F53" s="173" t="n"/>
      <c r="G53" s="173" t="n"/>
      <c r="H53" s="175" t="n"/>
      <c r="I53" s="132" t="n"/>
      <c r="J53" s="161" t="n"/>
      <c r="K53" s="173" t="n"/>
      <c r="L53" s="316" t="n"/>
      <c r="M53" s="316" t="n"/>
      <c r="N53" s="316" t="n"/>
      <c r="O53" s="173" t="n"/>
      <c r="P53" s="317" t="n"/>
      <c r="Q53" s="162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3" t="n"/>
      <c r="AA53" s="133" t="n"/>
      <c r="AB53" s="133" t="n"/>
      <c r="AC53" s="133" t="n"/>
      <c r="AD53" s="133" t="n"/>
      <c r="AE53" s="133" t="n"/>
      <c r="AF53" s="133" t="n"/>
      <c r="AG53" s="133" t="n"/>
      <c r="AH53" s="133" t="n"/>
      <c r="AI53" s="133" t="n"/>
      <c r="AJ53" s="133" t="n"/>
      <c r="AK53" s="133" t="n"/>
      <c r="AL53" s="133" t="n"/>
      <c r="AM53" s="133" t="n"/>
      <c r="AN53" s="133" t="n"/>
      <c r="AO53" s="133" t="n"/>
      <c r="HB53" s="133" t="n"/>
    </row>
    <row r="54" customFormat="1" s="131">
      <c r="A54" s="171" t="n"/>
      <c r="B54" s="315" t="n"/>
      <c r="C54" s="173" t="n"/>
      <c r="D54" s="174" t="n"/>
      <c r="E54" s="173" t="n"/>
      <c r="F54" s="173" t="n"/>
      <c r="G54" s="173" t="n"/>
      <c r="H54" s="175" t="n"/>
      <c r="I54" s="132" t="n"/>
      <c r="J54" s="161" t="n"/>
      <c r="K54" s="173" t="n"/>
      <c r="L54" s="316" t="n"/>
      <c r="M54" s="316" t="n"/>
      <c r="N54" s="316" t="n"/>
      <c r="O54" s="173" t="n"/>
      <c r="P54" s="317" t="n"/>
      <c r="Q54" s="162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  <c r="AA54" s="130" t="n"/>
      <c r="AB54" s="130" t="n"/>
      <c r="AC54" s="130" t="n"/>
      <c r="AD54" s="130" t="n"/>
      <c r="AE54" s="130" t="n"/>
      <c r="AF54" s="130" t="n"/>
      <c r="AG54" s="130" t="n"/>
      <c r="AH54" s="130" t="n"/>
      <c r="AI54" s="130" t="n"/>
      <c r="AJ54" s="130" t="n"/>
      <c r="AK54" s="130" t="n"/>
      <c r="AL54" s="130" t="n"/>
      <c r="AM54" s="130" t="n"/>
      <c r="AN54" s="130" t="n"/>
      <c r="AO54" s="130" t="n"/>
      <c r="HB54" s="130" t="n"/>
    </row>
    <row r="55" customFormat="1" s="131">
      <c r="A55" s="171" t="n"/>
      <c r="B55" s="315" t="n"/>
      <c r="C55" s="173" t="n"/>
      <c r="D55" s="174" t="n"/>
      <c r="E55" s="173" t="n"/>
      <c r="F55" s="173" t="n"/>
      <c r="G55" s="173" t="n"/>
      <c r="H55" s="175" t="n"/>
      <c r="I55" s="132" t="n"/>
      <c r="J55" s="161" t="n"/>
      <c r="K55" s="173" t="n"/>
      <c r="L55" s="316" t="n"/>
      <c r="M55" s="316" t="n"/>
      <c r="N55" s="316" t="n"/>
      <c r="O55" s="173" t="n"/>
      <c r="P55" s="317" t="n"/>
      <c r="Q55" s="162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3" t="n"/>
      <c r="AA55" s="133" t="n"/>
      <c r="AB55" s="133" t="n"/>
      <c r="AC55" s="133" t="n"/>
      <c r="AD55" s="133" t="n"/>
      <c r="AE55" s="133" t="n"/>
      <c r="AF55" s="133" t="n"/>
      <c r="AG55" s="133" t="n"/>
      <c r="AH55" s="133" t="n"/>
      <c r="AI55" s="133" t="n"/>
      <c r="AJ55" s="133" t="n"/>
      <c r="AK55" s="133" t="n"/>
      <c r="AL55" s="133" t="n"/>
      <c r="AM55" s="133" t="n"/>
      <c r="AN55" s="133" t="n"/>
      <c r="AO55" s="133" t="n"/>
      <c r="HB55" s="133" t="n"/>
    </row>
    <row r="56" customFormat="1" s="131">
      <c r="A56" s="171" t="n"/>
      <c r="B56" s="315" t="n"/>
      <c r="C56" s="173" t="n"/>
      <c r="D56" s="174" t="n"/>
      <c r="E56" s="173" t="n"/>
      <c r="F56" s="173" t="n"/>
      <c r="G56" s="173" t="n"/>
      <c r="H56" s="175" t="n"/>
      <c r="I56" s="132" t="n"/>
      <c r="J56" s="161" t="n"/>
      <c r="K56" s="173" t="n"/>
      <c r="L56" s="316" t="n"/>
      <c r="M56" s="316" t="n"/>
      <c r="N56" s="316" t="n"/>
      <c r="O56" s="173" t="n"/>
      <c r="P56" s="317" t="n"/>
      <c r="Q56" s="162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3" t="n"/>
      <c r="AA56" s="133" t="n"/>
      <c r="AB56" s="133" t="n"/>
      <c r="AC56" s="133" t="n"/>
      <c r="AD56" s="133" t="n"/>
      <c r="AE56" s="133" t="n"/>
      <c r="AF56" s="133" t="n"/>
      <c r="AG56" s="133" t="n"/>
      <c r="AH56" s="133" t="n"/>
      <c r="AI56" s="133" t="n"/>
      <c r="AJ56" s="133" t="n"/>
      <c r="AK56" s="133" t="n"/>
      <c r="AL56" s="133" t="n"/>
      <c r="AM56" s="133" t="n"/>
      <c r="AN56" s="133" t="n"/>
      <c r="AO56" s="133" t="n"/>
      <c r="HB56" s="133" t="n"/>
    </row>
    <row r="57" customFormat="1" s="131">
      <c r="A57" s="171" t="n"/>
      <c r="B57" s="315" t="n"/>
      <c r="C57" s="173" t="n"/>
      <c r="D57" s="174" t="n"/>
      <c r="E57" s="173" t="n"/>
      <c r="F57" s="173" t="n"/>
      <c r="G57" s="173" t="n"/>
      <c r="H57" s="175" t="n"/>
      <c r="I57" s="132" t="n"/>
      <c r="J57" s="161" t="n"/>
      <c r="K57" s="173" t="n"/>
      <c r="L57" s="316" t="n"/>
      <c r="M57" s="316" t="n"/>
      <c r="N57" s="316" t="n"/>
      <c r="O57" s="173" t="n"/>
      <c r="P57" s="317" t="n"/>
      <c r="Q57" s="162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3" t="n"/>
      <c r="AA57" s="133" t="n"/>
      <c r="AB57" s="133" t="n"/>
      <c r="AC57" s="133" t="n"/>
      <c r="AD57" s="133" t="n"/>
      <c r="AE57" s="133" t="n"/>
      <c r="AF57" s="133" t="n"/>
      <c r="AG57" s="133" t="n"/>
      <c r="AH57" s="133" t="n"/>
      <c r="AI57" s="133" t="n"/>
      <c r="AJ57" s="133" t="n"/>
      <c r="AK57" s="133" t="n"/>
      <c r="AL57" s="133" t="n"/>
      <c r="AM57" s="133" t="n"/>
      <c r="AN57" s="133" t="n"/>
      <c r="AO57" s="133" t="n"/>
      <c r="HB57" s="133" t="n"/>
    </row>
    <row r="58" customFormat="1" s="131">
      <c r="A58" s="171" t="n"/>
      <c r="B58" s="315" t="n"/>
      <c r="C58" s="173" t="n"/>
      <c r="D58" s="174" t="n"/>
      <c r="E58" s="173" t="n"/>
      <c r="F58" s="173" t="n"/>
      <c r="G58" s="173" t="n"/>
      <c r="H58" s="175" t="n"/>
      <c r="I58" s="132" t="n"/>
      <c r="J58" s="161" t="n"/>
      <c r="K58" s="173" t="n"/>
      <c r="L58" s="316" t="n"/>
      <c r="M58" s="316" t="n"/>
      <c r="N58" s="316" t="n"/>
      <c r="O58" s="173" t="n"/>
      <c r="P58" s="317" t="n"/>
      <c r="Q58" s="162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  <c r="AA58" s="130" t="n"/>
      <c r="AB58" s="130" t="n"/>
      <c r="AC58" s="130" t="n"/>
      <c r="AD58" s="130" t="n"/>
      <c r="AE58" s="130" t="n"/>
      <c r="AF58" s="130" t="n"/>
      <c r="AG58" s="130" t="n"/>
      <c r="AH58" s="130" t="n"/>
      <c r="AI58" s="130" t="n"/>
      <c r="AJ58" s="130" t="n"/>
      <c r="AK58" s="130" t="n"/>
      <c r="AL58" s="130" t="n"/>
      <c r="AM58" s="130" t="n"/>
      <c r="AN58" s="130" t="n"/>
      <c r="AO58" s="130" t="n"/>
      <c r="HB58" s="130" t="n"/>
    </row>
    <row r="59" customFormat="1" s="131">
      <c r="A59" s="171" t="n"/>
      <c r="B59" s="315" t="n"/>
      <c r="C59" s="173" t="n"/>
      <c r="D59" s="174" t="n"/>
      <c r="E59" s="173" t="n"/>
      <c r="F59" s="173" t="n"/>
      <c r="G59" s="173" t="n"/>
      <c r="H59" s="175" t="n"/>
      <c r="I59" s="132" t="n"/>
      <c r="J59" s="161" t="n"/>
      <c r="K59" s="173" t="n"/>
      <c r="L59" s="316" t="n"/>
      <c r="M59" s="316" t="n"/>
      <c r="N59" s="316" t="n"/>
      <c r="O59" s="173" t="n"/>
      <c r="P59" s="317" t="n"/>
      <c r="Q59" s="162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3" t="n"/>
      <c r="AA59" s="133" t="n"/>
      <c r="AB59" s="133" t="n"/>
      <c r="AC59" s="133" t="n"/>
      <c r="AD59" s="133" t="n"/>
      <c r="AE59" s="133" t="n"/>
      <c r="AF59" s="133" t="n"/>
      <c r="AG59" s="133" t="n"/>
      <c r="AH59" s="133" t="n"/>
      <c r="AI59" s="133" t="n"/>
      <c r="AJ59" s="133" t="n"/>
      <c r="AK59" s="133" t="n"/>
      <c r="AL59" s="133" t="n"/>
      <c r="AM59" s="133" t="n"/>
      <c r="AN59" s="133" t="n"/>
      <c r="AO59" s="133" t="n"/>
      <c r="HB59" s="133" t="n"/>
    </row>
    <row r="60" customFormat="1" s="131">
      <c r="A60" s="171" t="n"/>
      <c r="B60" s="315" t="n"/>
      <c r="C60" s="173" t="n"/>
      <c r="D60" s="174" t="n"/>
      <c r="E60" s="173" t="n"/>
      <c r="F60" s="173" t="n"/>
      <c r="G60" s="173" t="n"/>
      <c r="H60" s="175" t="n"/>
      <c r="I60" s="132" t="n"/>
      <c r="J60" s="161" t="n"/>
      <c r="K60" s="173" t="n"/>
      <c r="L60" s="316" t="n"/>
      <c r="M60" s="316" t="n"/>
      <c r="N60" s="316" t="n"/>
      <c r="O60" s="173" t="n"/>
      <c r="P60" s="317" t="n"/>
      <c r="Q60" s="162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3" t="n"/>
      <c r="AA60" s="133" t="n"/>
      <c r="AB60" s="133" t="n"/>
      <c r="AC60" s="133" t="n"/>
      <c r="AD60" s="133" t="n"/>
      <c r="AE60" s="133" t="n"/>
      <c r="AF60" s="133" t="n"/>
      <c r="AG60" s="133" t="n"/>
      <c r="AH60" s="133" t="n"/>
      <c r="AI60" s="133" t="n"/>
      <c r="AJ60" s="133" t="n"/>
      <c r="AK60" s="133" t="n"/>
      <c r="AL60" s="133" t="n"/>
      <c r="AM60" s="133" t="n"/>
      <c r="AN60" s="133" t="n"/>
      <c r="AO60" s="133" t="n"/>
      <c r="HB60" s="133" t="n"/>
    </row>
    <row r="61" customFormat="1" s="131">
      <c r="A61" s="171" t="n"/>
      <c r="B61" s="315" t="n"/>
      <c r="C61" s="173" t="n"/>
      <c r="D61" s="174" t="n"/>
      <c r="E61" s="173" t="n"/>
      <c r="F61" s="173" t="n"/>
      <c r="G61" s="173" t="n"/>
      <c r="H61" s="175" t="n"/>
      <c r="I61" s="132" t="n"/>
      <c r="J61" s="161" t="n"/>
      <c r="K61" s="173" t="n"/>
      <c r="L61" s="316" t="n"/>
      <c r="M61" s="316" t="n"/>
      <c r="N61" s="316" t="n"/>
      <c r="O61" s="173" t="n"/>
      <c r="P61" s="317" t="n"/>
      <c r="Q61" s="162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  <c r="AA61" s="133" t="n"/>
      <c r="AB61" s="133" t="n"/>
      <c r="AC61" s="133" t="n"/>
      <c r="AD61" s="133" t="n"/>
      <c r="AE61" s="133" t="n"/>
      <c r="AF61" s="133" t="n"/>
      <c r="AG61" s="133" t="n"/>
      <c r="AH61" s="133" t="n"/>
      <c r="AI61" s="133" t="n"/>
      <c r="AJ61" s="133" t="n"/>
      <c r="AK61" s="133" t="n"/>
      <c r="AL61" s="133" t="n"/>
      <c r="AM61" s="133" t="n"/>
      <c r="AN61" s="133" t="n"/>
      <c r="AO61" s="133" t="n"/>
      <c r="HB61" s="133" t="n"/>
    </row>
    <row r="62" customFormat="1" s="131">
      <c r="A62" s="171" t="n"/>
      <c r="B62" s="315" t="n"/>
      <c r="C62" s="173" t="n"/>
      <c r="D62" s="174" t="n"/>
      <c r="E62" s="173" t="n"/>
      <c r="F62" s="173" t="n"/>
      <c r="G62" s="173" t="n"/>
      <c r="H62" s="175" t="n"/>
      <c r="I62" s="132" t="n"/>
      <c r="J62" s="161" t="n"/>
      <c r="K62" s="173" t="n"/>
      <c r="L62" s="316" t="n"/>
      <c r="M62" s="316" t="n"/>
      <c r="N62" s="316" t="n"/>
      <c r="O62" s="173" t="n"/>
      <c r="P62" s="317" t="n"/>
      <c r="Q62" s="162" t="n"/>
      <c r="R62" s="133" t="n"/>
      <c r="S62" s="133" t="n"/>
      <c r="T62" s="133" t="n"/>
      <c r="U62" s="133" t="n"/>
      <c r="V62" s="133" t="n"/>
      <c r="W62" s="133" t="n"/>
      <c r="X62" s="133" t="n"/>
      <c r="Y62" s="133" t="n"/>
      <c r="Z62" s="133" t="n"/>
      <c r="AA62" s="133" t="n"/>
      <c r="AB62" s="133" t="n"/>
      <c r="AC62" s="133" t="n"/>
      <c r="AD62" s="133" t="n"/>
      <c r="AE62" s="133" t="n"/>
      <c r="AF62" s="133" t="n"/>
      <c r="AG62" s="133" t="n"/>
      <c r="AH62" s="133" t="n"/>
      <c r="AI62" s="133" t="n"/>
      <c r="AJ62" s="133" t="n"/>
      <c r="AK62" s="133" t="n"/>
      <c r="AL62" s="133" t="n"/>
      <c r="AM62" s="133" t="n"/>
      <c r="AN62" s="133" t="n"/>
      <c r="AO62" s="133" t="n"/>
      <c r="HB62" s="133" t="n"/>
    </row>
    <row r="63" customFormat="1" s="131">
      <c r="A63" s="171" t="n"/>
      <c r="B63" s="315" t="n"/>
      <c r="C63" s="173" t="n"/>
      <c r="D63" s="174" t="n"/>
      <c r="E63" s="173" t="n"/>
      <c r="F63" s="173" t="n"/>
      <c r="G63" s="173" t="n"/>
      <c r="H63" s="175" t="n"/>
      <c r="I63" s="132" t="n"/>
      <c r="J63" s="161" t="n"/>
      <c r="K63" s="173" t="n"/>
      <c r="L63" s="316" t="n"/>
      <c r="M63" s="316" t="n"/>
      <c r="N63" s="316" t="n"/>
      <c r="O63" s="173" t="n"/>
      <c r="P63" s="317" t="n"/>
      <c r="Q63" s="162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  <c r="AA63" s="133" t="n"/>
      <c r="AB63" s="133" t="n"/>
      <c r="AC63" s="133" t="n"/>
      <c r="AD63" s="133" t="n"/>
      <c r="AE63" s="133" t="n"/>
      <c r="AF63" s="133" t="n"/>
      <c r="AG63" s="133" t="n"/>
      <c r="AH63" s="133" t="n"/>
      <c r="AI63" s="133" t="n"/>
      <c r="AJ63" s="133" t="n"/>
      <c r="AK63" s="133" t="n"/>
      <c r="AL63" s="133" t="n"/>
      <c r="AM63" s="133" t="n"/>
      <c r="AN63" s="133" t="n"/>
      <c r="AO63" s="133" t="n"/>
      <c r="HB63" s="133" t="n"/>
    </row>
    <row r="64" customFormat="1" s="131">
      <c r="A64" s="171" t="n"/>
      <c r="B64" s="315" t="n"/>
      <c r="C64" s="173" t="n"/>
      <c r="D64" s="174" t="n"/>
      <c r="E64" s="173" t="n"/>
      <c r="F64" s="173" t="n"/>
      <c r="G64" s="173" t="n"/>
      <c r="H64" s="175" t="n"/>
      <c r="I64" s="132" t="n"/>
      <c r="J64" s="161" t="n"/>
      <c r="K64" s="173" t="n"/>
      <c r="L64" s="316" t="n"/>
      <c r="M64" s="316" t="n"/>
      <c r="N64" s="316" t="n"/>
      <c r="O64" s="173" t="n"/>
      <c r="P64" s="317" t="n"/>
      <c r="Q64" s="162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  <c r="AA64" s="130" t="n"/>
      <c r="AB64" s="130" t="n"/>
      <c r="AC64" s="130" t="n"/>
      <c r="AD64" s="130" t="n"/>
      <c r="AE64" s="130" t="n"/>
      <c r="AF64" s="130" t="n"/>
      <c r="AG64" s="130" t="n"/>
      <c r="AH64" s="130" t="n"/>
      <c r="AI64" s="130" t="n"/>
      <c r="AJ64" s="130" t="n"/>
      <c r="AK64" s="130" t="n"/>
      <c r="AL64" s="130" t="n"/>
      <c r="AM64" s="130" t="n"/>
      <c r="AN64" s="130" t="n"/>
      <c r="AO64" s="130" t="n"/>
      <c r="HB64" s="130" t="n"/>
    </row>
    <row r="65" customFormat="1" s="131">
      <c r="A65" s="171" t="n"/>
      <c r="B65" s="315" t="n"/>
      <c r="C65" s="173" t="n"/>
      <c r="D65" s="174" t="n"/>
      <c r="E65" s="173" t="n"/>
      <c r="F65" s="173" t="n"/>
      <c r="G65" s="173" t="n"/>
      <c r="H65" s="175" t="n"/>
      <c r="I65" s="132" t="n"/>
      <c r="J65" s="161" t="n"/>
      <c r="K65" s="173" t="n"/>
      <c r="L65" s="316" t="n"/>
      <c r="M65" s="316" t="n"/>
      <c r="N65" s="316" t="n"/>
      <c r="O65" s="173" t="n"/>
      <c r="P65" s="317" t="n"/>
      <c r="Q65" s="162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  <c r="AA65" s="133" t="n"/>
      <c r="AB65" s="133" t="n"/>
      <c r="AC65" s="133" t="n"/>
      <c r="AD65" s="133" t="n"/>
      <c r="AE65" s="133" t="n"/>
      <c r="AF65" s="133" t="n"/>
      <c r="AG65" s="133" t="n"/>
      <c r="AH65" s="133" t="n"/>
      <c r="AI65" s="133" t="n"/>
      <c r="AJ65" s="133" t="n"/>
      <c r="AK65" s="133" t="n"/>
      <c r="AL65" s="133" t="n"/>
      <c r="AM65" s="133" t="n"/>
      <c r="AN65" s="133" t="n"/>
      <c r="AO65" s="133" t="n"/>
      <c r="HB65" s="133" t="n"/>
    </row>
    <row r="66" customFormat="1" s="131">
      <c r="A66" s="171" t="n"/>
      <c r="B66" s="315" t="n"/>
      <c r="C66" s="173" t="n"/>
      <c r="D66" s="174" t="n"/>
      <c r="E66" s="173" t="n"/>
      <c r="F66" s="173" t="n"/>
      <c r="G66" s="173" t="n"/>
      <c r="H66" s="175" t="n"/>
      <c r="I66" s="132" t="n"/>
      <c r="J66" s="161" t="n"/>
      <c r="K66" s="173" t="n"/>
      <c r="L66" s="316" t="n"/>
      <c r="M66" s="316" t="n"/>
      <c r="N66" s="316" t="n"/>
      <c r="O66" s="173" t="n"/>
      <c r="P66" s="317" t="n"/>
      <c r="Q66" s="162" t="n"/>
      <c r="R66" s="133" t="n"/>
      <c r="S66" s="133" t="n"/>
      <c r="T66" s="133" t="n"/>
      <c r="U66" s="133" t="n"/>
      <c r="V66" s="133" t="n"/>
      <c r="W66" s="133" t="n"/>
      <c r="X66" s="133" t="n"/>
      <c r="Y66" s="133" t="n"/>
      <c r="Z66" s="133" t="n"/>
      <c r="AA66" s="133" t="n"/>
      <c r="AB66" s="133" t="n"/>
      <c r="AC66" s="133" t="n"/>
      <c r="AD66" s="133" t="n"/>
      <c r="AE66" s="133" t="n"/>
      <c r="AF66" s="133" t="n"/>
      <c r="AG66" s="133" t="n"/>
      <c r="AH66" s="133" t="n"/>
      <c r="AI66" s="133" t="n"/>
      <c r="AJ66" s="133" t="n"/>
      <c r="AK66" s="133" t="n"/>
      <c r="AL66" s="133" t="n"/>
      <c r="AM66" s="133" t="n"/>
      <c r="AN66" s="133" t="n"/>
      <c r="AO66" s="133" t="n"/>
      <c r="HB66" s="133" t="n"/>
    </row>
    <row r="67" customFormat="1" s="131">
      <c r="A67" s="171" t="n"/>
      <c r="B67" s="315" t="n"/>
      <c r="C67" s="173" t="n"/>
      <c r="D67" s="174" t="n"/>
      <c r="E67" s="173" t="n"/>
      <c r="F67" s="173" t="n"/>
      <c r="G67" s="173" t="n"/>
      <c r="H67" s="175" t="n"/>
      <c r="I67" s="132" t="n"/>
      <c r="J67" s="161" t="n"/>
      <c r="K67" s="173" t="n"/>
      <c r="L67" s="316" t="n"/>
      <c r="M67" s="316" t="n"/>
      <c r="N67" s="316" t="n"/>
      <c r="O67" s="173" t="n"/>
      <c r="P67" s="317" t="n"/>
      <c r="Q67" s="162" t="n"/>
      <c r="R67" s="133" t="n"/>
      <c r="S67" s="133" t="n"/>
      <c r="T67" s="133" t="n"/>
      <c r="U67" s="133" t="n"/>
      <c r="V67" s="133" t="n"/>
      <c r="W67" s="133" t="n"/>
      <c r="X67" s="133" t="n"/>
      <c r="Y67" s="133" t="n"/>
      <c r="Z67" s="133" t="n"/>
      <c r="AA67" s="133" t="n"/>
      <c r="AB67" s="133" t="n"/>
      <c r="AC67" s="133" t="n"/>
      <c r="AD67" s="133" t="n"/>
      <c r="AE67" s="133" t="n"/>
      <c r="AF67" s="133" t="n"/>
      <c r="AG67" s="133" t="n"/>
      <c r="AH67" s="133" t="n"/>
      <c r="AI67" s="133" t="n"/>
      <c r="AJ67" s="133" t="n"/>
      <c r="AK67" s="133" t="n"/>
      <c r="AL67" s="133" t="n"/>
      <c r="AM67" s="133" t="n"/>
      <c r="AN67" s="133" t="n"/>
      <c r="AO67" s="133" t="n"/>
      <c r="HB67" s="133" t="n"/>
    </row>
    <row r="68" customFormat="1" s="131">
      <c r="A68" s="171" t="n"/>
      <c r="B68" s="315" t="n"/>
      <c r="C68" s="173" t="n"/>
      <c r="D68" s="174" t="n"/>
      <c r="E68" s="173" t="n"/>
      <c r="F68" s="173" t="n"/>
      <c r="G68" s="173" t="n"/>
      <c r="H68" s="175" t="n"/>
      <c r="I68" s="132" t="n"/>
      <c r="J68" s="161" t="n"/>
      <c r="K68" s="173" t="n"/>
      <c r="L68" s="316" t="n"/>
      <c r="M68" s="316" t="n"/>
      <c r="N68" s="316" t="n"/>
      <c r="O68" s="173" t="n"/>
      <c r="P68" s="317" t="n"/>
      <c r="Q68" s="162" t="n"/>
      <c r="R68" s="133" t="n"/>
      <c r="S68" s="133" t="n"/>
      <c r="T68" s="133" t="n"/>
      <c r="U68" s="133" t="n"/>
      <c r="V68" s="133" t="n"/>
      <c r="W68" s="133" t="n"/>
      <c r="X68" s="133" t="n"/>
      <c r="Y68" s="133" t="n"/>
      <c r="Z68" s="133" t="n"/>
      <c r="AA68" s="133" t="n"/>
      <c r="AB68" s="133" t="n"/>
      <c r="AC68" s="133" t="n"/>
      <c r="AD68" s="133" t="n"/>
      <c r="AE68" s="133" t="n"/>
      <c r="AF68" s="133" t="n"/>
      <c r="AG68" s="133" t="n"/>
      <c r="AH68" s="133" t="n"/>
      <c r="AI68" s="133" t="n"/>
      <c r="AJ68" s="133" t="n"/>
      <c r="AK68" s="133" t="n"/>
      <c r="AL68" s="133" t="n"/>
      <c r="AM68" s="133" t="n"/>
      <c r="AN68" s="133" t="n"/>
      <c r="AO68" s="133" t="n"/>
      <c r="HB68" s="133" t="n"/>
    </row>
    <row r="69" customFormat="1" s="131">
      <c r="A69" s="171" t="n"/>
      <c r="B69" s="315" t="n"/>
      <c r="C69" s="173" t="n"/>
      <c r="D69" s="174" t="n"/>
      <c r="E69" s="173" t="n"/>
      <c r="F69" s="173" t="n"/>
      <c r="G69" s="173" t="n"/>
      <c r="H69" s="175" t="n"/>
      <c r="I69" s="132" t="n"/>
      <c r="J69" s="161" t="n"/>
      <c r="K69" s="173" t="n"/>
      <c r="L69" s="316" t="n"/>
      <c r="M69" s="316" t="n"/>
      <c r="N69" s="316" t="n"/>
      <c r="O69" s="173" t="n"/>
      <c r="P69" s="317" t="n"/>
      <c r="Q69" s="162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  <c r="AA69" s="133" t="n"/>
      <c r="AB69" s="133" t="n"/>
      <c r="AC69" s="133" t="n"/>
      <c r="AD69" s="133" t="n"/>
      <c r="AE69" s="133" t="n"/>
      <c r="AF69" s="133" t="n"/>
      <c r="AG69" s="133" t="n"/>
      <c r="AH69" s="133" t="n"/>
      <c r="AI69" s="133" t="n"/>
      <c r="AJ69" s="133" t="n"/>
      <c r="AK69" s="133" t="n"/>
      <c r="AL69" s="133" t="n"/>
      <c r="AM69" s="133" t="n"/>
      <c r="AN69" s="133" t="n"/>
      <c r="AO69" s="133" t="n"/>
      <c r="HB69" s="133" t="n"/>
    </row>
    <row r="70" customFormat="1" s="131">
      <c r="A70" s="171" t="n"/>
      <c r="B70" s="315" t="n"/>
      <c r="C70" s="173" t="n"/>
      <c r="D70" s="174" t="n"/>
      <c r="E70" s="173" t="n"/>
      <c r="F70" s="173" t="n"/>
      <c r="G70" s="173" t="n"/>
      <c r="H70" s="175" t="n"/>
      <c r="I70" s="132" t="n"/>
      <c r="J70" s="161" t="n"/>
      <c r="K70" s="173" t="n"/>
      <c r="L70" s="316" t="n"/>
      <c r="M70" s="316" t="n"/>
      <c r="N70" s="316" t="n"/>
      <c r="O70" s="173" t="n"/>
      <c r="P70" s="317" t="n"/>
      <c r="Q70" s="162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  <c r="AA70" s="133" t="n"/>
      <c r="AB70" s="133" t="n"/>
      <c r="AC70" s="133" t="n"/>
      <c r="AD70" s="133" t="n"/>
      <c r="AE70" s="133" t="n"/>
      <c r="AF70" s="133" t="n"/>
      <c r="AG70" s="133" t="n"/>
      <c r="AH70" s="133" t="n"/>
      <c r="AI70" s="133" t="n"/>
      <c r="AJ70" s="133" t="n"/>
      <c r="AK70" s="133" t="n"/>
      <c r="AL70" s="133" t="n"/>
      <c r="AM70" s="133" t="n"/>
      <c r="AN70" s="133" t="n"/>
      <c r="AO70" s="133" t="n"/>
      <c r="HB70" s="133" t="n"/>
    </row>
    <row r="71" customFormat="1" s="131">
      <c r="A71" s="171" t="n"/>
      <c r="B71" s="315" t="n"/>
      <c r="C71" s="173" t="n"/>
      <c r="D71" s="174" t="n"/>
      <c r="E71" s="173" t="n"/>
      <c r="F71" s="173" t="n"/>
      <c r="G71" s="173" t="n"/>
      <c r="H71" s="175" t="n"/>
      <c r="I71" s="132" t="n"/>
      <c r="J71" s="161" t="n"/>
      <c r="K71" s="173" t="n"/>
      <c r="L71" s="316" t="n"/>
      <c r="M71" s="316" t="n"/>
      <c r="N71" s="316" t="n"/>
      <c r="O71" s="173" t="n"/>
      <c r="P71" s="317" t="n"/>
      <c r="Q71" s="162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  <c r="AA71" s="133" t="n"/>
      <c r="AB71" s="133" t="n"/>
      <c r="AC71" s="133" t="n"/>
      <c r="AD71" s="133" t="n"/>
      <c r="AE71" s="133" t="n"/>
      <c r="AF71" s="133" t="n"/>
      <c r="AG71" s="133" t="n"/>
      <c r="AH71" s="133" t="n"/>
      <c r="AI71" s="133" t="n"/>
      <c r="AJ71" s="133" t="n"/>
      <c r="AK71" s="133" t="n"/>
      <c r="AL71" s="133" t="n"/>
      <c r="AM71" s="133" t="n"/>
      <c r="AN71" s="133" t="n"/>
      <c r="AO71" s="133" t="n"/>
      <c r="HB71" s="133" t="n"/>
    </row>
    <row r="72" customFormat="1" s="131">
      <c r="A72" s="171" t="n"/>
      <c r="B72" s="315" t="n"/>
      <c r="C72" s="173" t="n"/>
      <c r="D72" s="174" t="n"/>
      <c r="E72" s="173" t="n"/>
      <c r="F72" s="173" t="n"/>
      <c r="G72" s="173" t="n"/>
      <c r="H72" s="175" t="n"/>
      <c r="I72" s="132" t="n"/>
      <c r="J72" s="161" t="n"/>
      <c r="K72" s="173" t="n"/>
      <c r="L72" s="316" t="n"/>
      <c r="M72" s="316" t="n"/>
      <c r="N72" s="316" t="n"/>
      <c r="O72" s="173" t="n"/>
      <c r="P72" s="317" t="n"/>
      <c r="Q72" s="162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  <c r="AA72" s="133" t="n"/>
      <c r="AB72" s="133" t="n"/>
      <c r="AC72" s="133" t="n"/>
      <c r="AD72" s="133" t="n"/>
      <c r="AE72" s="133" t="n"/>
      <c r="AF72" s="133" t="n"/>
      <c r="AG72" s="133" t="n"/>
      <c r="AH72" s="133" t="n"/>
      <c r="AI72" s="133" t="n"/>
      <c r="AJ72" s="133" t="n"/>
      <c r="AK72" s="133" t="n"/>
      <c r="AL72" s="133" t="n"/>
      <c r="AM72" s="133" t="n"/>
      <c r="AN72" s="133" t="n"/>
      <c r="AO72" s="133" t="n"/>
      <c r="HB72" s="133" t="n"/>
    </row>
    <row r="73" customFormat="1" s="131">
      <c r="A73" s="171" t="n"/>
      <c r="B73" s="315" t="n"/>
      <c r="C73" s="173" t="n"/>
      <c r="D73" s="174" t="n"/>
      <c r="E73" s="173" t="n"/>
      <c r="F73" s="173" t="n"/>
      <c r="G73" s="173" t="n"/>
      <c r="H73" s="175" t="n"/>
      <c r="I73" s="132" t="n"/>
      <c r="J73" s="161" t="n"/>
      <c r="K73" s="173" t="n"/>
      <c r="L73" s="316" t="n"/>
      <c r="M73" s="316" t="n"/>
      <c r="N73" s="316" t="n"/>
      <c r="O73" s="173" t="n"/>
      <c r="P73" s="317" t="n"/>
      <c r="Q73" s="162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  <c r="AA73" s="133" t="n"/>
      <c r="AB73" s="133" t="n"/>
      <c r="AC73" s="133" t="n"/>
      <c r="AD73" s="133" t="n"/>
      <c r="AE73" s="133" t="n"/>
      <c r="AF73" s="133" t="n"/>
      <c r="AG73" s="133" t="n"/>
      <c r="AH73" s="133" t="n"/>
      <c r="AI73" s="133" t="n"/>
      <c r="AJ73" s="133" t="n"/>
      <c r="AK73" s="133" t="n"/>
      <c r="AL73" s="133" t="n"/>
      <c r="AM73" s="133" t="n"/>
      <c r="AN73" s="133" t="n"/>
      <c r="AO73" s="133" t="n"/>
      <c r="HB73" s="133" t="n"/>
    </row>
    <row r="74" customFormat="1" s="131">
      <c r="A74" s="171" t="n"/>
      <c r="B74" s="315" t="n"/>
      <c r="C74" s="173" t="n"/>
      <c r="D74" s="174" t="n"/>
      <c r="E74" s="173" t="n"/>
      <c r="F74" s="173" t="n"/>
      <c r="G74" s="173" t="n"/>
      <c r="H74" s="175" t="n"/>
      <c r="I74" s="132" t="n"/>
      <c r="J74" s="161" t="n"/>
      <c r="K74" s="173" t="n"/>
      <c r="L74" s="316" t="n"/>
      <c r="M74" s="316" t="n"/>
      <c r="N74" s="316" t="n"/>
      <c r="O74" s="173" t="n"/>
      <c r="P74" s="317" t="n"/>
      <c r="Q74" s="162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  <c r="AA74" s="133" t="n"/>
      <c r="AB74" s="133" t="n"/>
      <c r="AC74" s="133" t="n"/>
      <c r="AD74" s="133" t="n"/>
      <c r="AE74" s="133" t="n"/>
      <c r="AF74" s="133" t="n"/>
      <c r="AG74" s="133" t="n"/>
      <c r="AH74" s="133" t="n"/>
      <c r="AI74" s="133" t="n"/>
      <c r="AJ74" s="133" t="n"/>
      <c r="AK74" s="133" t="n"/>
      <c r="AL74" s="133" t="n"/>
      <c r="AM74" s="133" t="n"/>
      <c r="AN74" s="133" t="n"/>
      <c r="AO74" s="133" t="n"/>
      <c r="HB74" s="133" t="n"/>
    </row>
    <row r="75" customFormat="1" s="131">
      <c r="A75" s="171" t="n"/>
      <c r="B75" s="315" t="n"/>
      <c r="C75" s="173" t="n"/>
      <c r="D75" s="174" t="n"/>
      <c r="E75" s="173" t="n"/>
      <c r="F75" s="173" t="n"/>
      <c r="G75" s="173" t="n"/>
      <c r="H75" s="175" t="n"/>
      <c r="I75" s="132" t="n"/>
      <c r="J75" s="161" t="n"/>
      <c r="K75" s="173" t="n"/>
      <c r="L75" s="316" t="n"/>
      <c r="M75" s="316" t="n"/>
      <c r="N75" s="316" t="n"/>
      <c r="O75" s="173" t="n"/>
      <c r="P75" s="317" t="n"/>
      <c r="Q75" s="162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  <c r="AA75" s="133" t="n"/>
      <c r="AB75" s="133" t="n"/>
      <c r="AC75" s="133" t="n"/>
      <c r="AD75" s="133" t="n"/>
      <c r="AE75" s="133" t="n"/>
      <c r="AF75" s="133" t="n"/>
      <c r="AG75" s="133" t="n"/>
      <c r="AH75" s="133" t="n"/>
      <c r="AI75" s="133" t="n"/>
      <c r="AJ75" s="133" t="n"/>
      <c r="AK75" s="133" t="n"/>
      <c r="AL75" s="133" t="n"/>
      <c r="AM75" s="133" t="n"/>
      <c r="AN75" s="133" t="n"/>
      <c r="AO75" s="133" t="n"/>
      <c r="HB75" s="133" t="n"/>
    </row>
    <row r="76" customFormat="1" s="131">
      <c r="A76" s="171" t="n"/>
      <c r="B76" s="315" t="n"/>
      <c r="C76" s="173" t="n"/>
      <c r="D76" s="174" t="n"/>
      <c r="E76" s="173" t="n"/>
      <c r="F76" s="173" t="n"/>
      <c r="G76" s="173" t="n"/>
      <c r="H76" s="175" t="n"/>
      <c r="I76" s="132" t="n"/>
      <c r="J76" s="161" t="n"/>
      <c r="K76" s="173" t="n"/>
      <c r="L76" s="316" t="n"/>
      <c r="M76" s="316" t="n"/>
      <c r="N76" s="316" t="n"/>
      <c r="O76" s="173" t="n"/>
      <c r="P76" s="317" t="n"/>
      <c r="Q76" s="162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  <c r="AA76" s="133" t="n"/>
      <c r="AB76" s="133" t="n"/>
      <c r="AC76" s="133" t="n"/>
      <c r="AD76" s="133" t="n"/>
      <c r="AE76" s="133" t="n"/>
      <c r="AF76" s="133" t="n"/>
      <c r="AG76" s="133" t="n"/>
      <c r="AH76" s="133" t="n"/>
      <c r="AI76" s="133" t="n"/>
      <c r="AJ76" s="133" t="n"/>
      <c r="AK76" s="133" t="n"/>
      <c r="AL76" s="133" t="n"/>
      <c r="AM76" s="133" t="n"/>
      <c r="AN76" s="133" t="n"/>
      <c r="AO76" s="133" t="n"/>
      <c r="HB76" s="133" t="n"/>
    </row>
    <row r="77" customFormat="1" s="131">
      <c r="A77" s="171" t="n"/>
      <c r="B77" s="315" t="n"/>
      <c r="C77" s="173" t="n"/>
      <c r="D77" s="174" t="n"/>
      <c r="E77" s="173" t="n"/>
      <c r="F77" s="173" t="n"/>
      <c r="G77" s="173" t="n"/>
      <c r="H77" s="175" t="n"/>
      <c r="I77" s="132" t="n"/>
      <c r="J77" s="161" t="n"/>
      <c r="K77" s="173" t="n"/>
      <c r="L77" s="316" t="n"/>
      <c r="M77" s="316" t="n"/>
      <c r="N77" s="316" t="n"/>
      <c r="O77" s="173" t="n"/>
      <c r="P77" s="317" t="n"/>
      <c r="Q77" s="162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  <c r="AA77" s="133" t="n"/>
      <c r="AB77" s="133" t="n"/>
      <c r="AC77" s="133" t="n"/>
      <c r="AD77" s="133" t="n"/>
      <c r="AE77" s="133" t="n"/>
      <c r="AF77" s="133" t="n"/>
      <c r="AG77" s="133" t="n"/>
      <c r="AH77" s="133" t="n"/>
      <c r="AI77" s="133" t="n"/>
      <c r="AJ77" s="133" t="n"/>
      <c r="AK77" s="133" t="n"/>
      <c r="AL77" s="133" t="n"/>
      <c r="AM77" s="133" t="n"/>
      <c r="AN77" s="133" t="n"/>
      <c r="AO77" s="133" t="n"/>
      <c r="HB77" s="133" t="n"/>
    </row>
    <row r="78" customFormat="1" s="131">
      <c r="A78" s="171" t="n"/>
      <c r="B78" s="315" t="n"/>
      <c r="C78" s="173" t="n"/>
      <c r="D78" s="174" t="n"/>
      <c r="E78" s="173" t="n"/>
      <c r="F78" s="173" t="n"/>
      <c r="G78" s="173" t="n"/>
      <c r="H78" s="175" t="n"/>
      <c r="I78" s="132" t="n"/>
      <c r="J78" s="161" t="n"/>
      <c r="K78" s="173" t="n"/>
      <c r="L78" s="316" t="n"/>
      <c r="M78" s="316" t="n"/>
      <c r="N78" s="316" t="n"/>
      <c r="O78" s="173" t="n"/>
      <c r="P78" s="317" t="n"/>
      <c r="Q78" s="162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  <c r="AA78" s="133" t="n"/>
      <c r="AB78" s="133" t="n"/>
      <c r="AC78" s="133" t="n"/>
      <c r="AD78" s="133" t="n"/>
      <c r="AE78" s="133" t="n"/>
      <c r="AF78" s="133" t="n"/>
      <c r="AG78" s="133" t="n"/>
      <c r="AH78" s="133" t="n"/>
      <c r="AI78" s="133" t="n"/>
      <c r="AJ78" s="133" t="n"/>
      <c r="AK78" s="133" t="n"/>
      <c r="AL78" s="133" t="n"/>
      <c r="AM78" s="133" t="n"/>
      <c r="AN78" s="133" t="n"/>
      <c r="AO78" s="133" t="n"/>
      <c r="HB78" s="133" t="n"/>
    </row>
    <row r="79" customFormat="1" s="131">
      <c r="A79" s="171" t="n"/>
      <c r="B79" s="315" t="n"/>
      <c r="C79" s="173" t="n"/>
      <c r="D79" s="174" t="n"/>
      <c r="E79" s="173" t="n"/>
      <c r="F79" s="173" t="n"/>
      <c r="G79" s="173" t="n"/>
      <c r="H79" s="175" t="n"/>
      <c r="I79" s="132" t="n"/>
      <c r="J79" s="161" t="n"/>
      <c r="K79" s="173" t="n"/>
      <c r="L79" s="316" t="n"/>
      <c r="M79" s="316" t="n"/>
      <c r="N79" s="316" t="n"/>
      <c r="O79" s="173" t="n"/>
      <c r="P79" s="317" t="n"/>
      <c r="Q79" s="162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  <c r="AA79" s="133" t="n"/>
      <c r="AB79" s="133" t="n"/>
      <c r="AC79" s="133" t="n"/>
      <c r="AD79" s="133" t="n"/>
      <c r="AE79" s="133" t="n"/>
      <c r="AF79" s="133" t="n"/>
      <c r="AG79" s="133" t="n"/>
      <c r="AH79" s="133" t="n"/>
      <c r="AI79" s="133" t="n"/>
      <c r="AJ79" s="133" t="n"/>
      <c r="AK79" s="133" t="n"/>
      <c r="AL79" s="133" t="n"/>
      <c r="AM79" s="133" t="n"/>
      <c r="AN79" s="133" t="n"/>
      <c r="AO79" s="133" t="n"/>
      <c r="HB79" s="133" t="n"/>
    </row>
    <row r="80" customFormat="1" s="131">
      <c r="A80" s="171" t="n"/>
      <c r="B80" s="315" t="n"/>
      <c r="C80" s="173" t="n"/>
      <c r="D80" s="174" t="n"/>
      <c r="E80" s="173" t="n"/>
      <c r="F80" s="173" t="n"/>
      <c r="G80" s="173" t="n"/>
      <c r="H80" s="175" t="n"/>
      <c r="I80" s="132" t="n"/>
      <c r="J80" s="161" t="n"/>
      <c r="K80" s="173" t="n"/>
      <c r="L80" s="316" t="n"/>
      <c r="M80" s="316" t="n"/>
      <c r="N80" s="316" t="n"/>
      <c r="O80" s="173" t="n"/>
      <c r="P80" s="317" t="n"/>
      <c r="Q80" s="162" t="n"/>
      <c r="R80" s="133" t="n"/>
      <c r="S80" s="133" t="n"/>
      <c r="T80" s="133" t="n"/>
      <c r="U80" s="133" t="n"/>
      <c r="V80" s="133" t="n"/>
      <c r="W80" s="133" t="n"/>
      <c r="X80" s="133" t="n"/>
      <c r="Y80" s="133" t="n"/>
      <c r="Z80" s="133" t="n"/>
      <c r="AA80" s="133" t="n"/>
      <c r="AB80" s="133" t="n"/>
      <c r="AC80" s="133" t="n"/>
      <c r="AD80" s="133" t="n"/>
      <c r="AE80" s="133" t="n"/>
      <c r="AF80" s="133" t="n"/>
      <c r="AG80" s="133" t="n"/>
      <c r="AH80" s="133" t="n"/>
      <c r="AI80" s="133" t="n"/>
      <c r="AJ80" s="133" t="n"/>
      <c r="AK80" s="133" t="n"/>
      <c r="AL80" s="133" t="n"/>
      <c r="AM80" s="133" t="n"/>
      <c r="AN80" s="133" t="n"/>
      <c r="AO80" s="133" t="n"/>
      <c r="HB80" s="133" t="n"/>
    </row>
    <row r="81" customFormat="1" s="131">
      <c r="A81" s="171" t="n"/>
      <c r="B81" s="315" t="n"/>
      <c r="C81" s="173" t="n"/>
      <c r="D81" s="174" t="n"/>
      <c r="E81" s="173" t="n"/>
      <c r="F81" s="173" t="n"/>
      <c r="G81" s="173" t="n"/>
      <c r="H81" s="175" t="n"/>
      <c r="I81" s="132" t="n"/>
      <c r="J81" s="161" t="n"/>
      <c r="K81" s="173" t="n"/>
      <c r="L81" s="316" t="n"/>
      <c r="M81" s="316" t="n"/>
      <c r="N81" s="316" t="n"/>
      <c r="O81" s="173" t="n"/>
      <c r="P81" s="317" t="n"/>
      <c r="Q81" s="162" t="n"/>
      <c r="R81" s="133" t="n"/>
      <c r="S81" s="133" t="n"/>
      <c r="T81" s="133" t="n"/>
      <c r="U81" s="133" t="n"/>
      <c r="V81" s="133" t="n"/>
      <c r="W81" s="133" t="n"/>
      <c r="X81" s="133" t="n"/>
      <c r="Y81" s="133" t="n"/>
      <c r="Z81" s="133" t="n"/>
      <c r="AA81" s="133" t="n"/>
      <c r="AB81" s="133" t="n"/>
      <c r="AC81" s="133" t="n"/>
      <c r="AD81" s="133" t="n"/>
      <c r="AE81" s="133" t="n"/>
      <c r="AF81" s="133" t="n"/>
      <c r="AG81" s="133" t="n"/>
      <c r="AH81" s="133" t="n"/>
      <c r="AI81" s="133" t="n"/>
      <c r="AJ81" s="133" t="n"/>
      <c r="AK81" s="133" t="n"/>
      <c r="AL81" s="133" t="n"/>
      <c r="AM81" s="133" t="n"/>
      <c r="AN81" s="133" t="n"/>
      <c r="AO81" s="133" t="n"/>
      <c r="HB81" s="133" t="n"/>
    </row>
    <row r="82" customFormat="1" s="131">
      <c r="A82" s="171" t="n"/>
      <c r="B82" s="315" t="n"/>
      <c r="C82" s="173" t="n"/>
      <c r="D82" s="174" t="n"/>
      <c r="E82" s="173" t="n"/>
      <c r="F82" s="173" t="n"/>
      <c r="G82" s="173" t="n"/>
      <c r="H82" s="175" t="n"/>
      <c r="I82" s="132" t="n"/>
      <c r="J82" s="161" t="n"/>
      <c r="K82" s="173" t="n"/>
      <c r="L82" s="316" t="n"/>
      <c r="M82" s="316" t="n"/>
      <c r="N82" s="316" t="n"/>
      <c r="O82" s="173" t="n"/>
      <c r="P82" s="317" t="n"/>
      <c r="Q82" s="162" t="n"/>
      <c r="R82" s="133" t="n"/>
      <c r="S82" s="133" t="n"/>
      <c r="T82" s="133" t="n"/>
      <c r="U82" s="133" t="n"/>
      <c r="V82" s="133" t="n"/>
      <c r="W82" s="133" t="n"/>
      <c r="X82" s="133" t="n"/>
      <c r="Y82" s="133" t="n"/>
      <c r="Z82" s="133" t="n"/>
      <c r="AA82" s="133" t="n"/>
      <c r="AB82" s="133" t="n"/>
      <c r="AC82" s="133" t="n"/>
      <c r="AD82" s="133" t="n"/>
      <c r="AE82" s="133" t="n"/>
      <c r="AF82" s="133" t="n"/>
      <c r="AG82" s="133" t="n"/>
      <c r="AH82" s="133" t="n"/>
      <c r="AI82" s="133" t="n"/>
      <c r="AJ82" s="133" t="n"/>
      <c r="AK82" s="133" t="n"/>
      <c r="AL82" s="133" t="n"/>
      <c r="AM82" s="133" t="n"/>
      <c r="AN82" s="133" t="n"/>
      <c r="AO82" s="133" t="n"/>
      <c r="HB82" s="133" t="n"/>
    </row>
    <row r="83" customFormat="1" s="131">
      <c r="A83" s="171" t="n"/>
      <c r="B83" s="315" t="n"/>
      <c r="C83" s="173" t="n"/>
      <c r="D83" s="174" t="n"/>
      <c r="E83" s="173" t="n"/>
      <c r="F83" s="173" t="n"/>
      <c r="G83" s="173" t="n"/>
      <c r="H83" s="175" t="n"/>
      <c r="I83" s="132" t="n"/>
      <c r="J83" s="161" t="n"/>
      <c r="K83" s="173" t="n"/>
      <c r="L83" s="316" t="n"/>
      <c r="M83" s="316" t="n"/>
      <c r="N83" s="316" t="n"/>
      <c r="O83" s="173" t="n"/>
      <c r="P83" s="317" t="n"/>
      <c r="Q83" s="162" t="n"/>
      <c r="R83" s="133" t="n"/>
      <c r="S83" s="133" t="n"/>
      <c r="T83" s="133" t="n"/>
      <c r="U83" s="133" t="n"/>
      <c r="V83" s="133" t="n"/>
      <c r="W83" s="133" t="n"/>
      <c r="X83" s="133" t="n"/>
      <c r="Y83" s="133" t="n"/>
      <c r="Z83" s="133" t="n"/>
      <c r="AA83" s="133" t="n"/>
      <c r="AB83" s="133" t="n"/>
      <c r="AC83" s="133" t="n"/>
      <c r="AD83" s="133" t="n"/>
      <c r="AE83" s="133" t="n"/>
      <c r="AF83" s="133" t="n"/>
      <c r="AG83" s="133" t="n"/>
      <c r="AH83" s="133" t="n"/>
      <c r="AI83" s="133" t="n"/>
      <c r="AJ83" s="133" t="n"/>
      <c r="AK83" s="133" t="n"/>
      <c r="AL83" s="133" t="n"/>
      <c r="AM83" s="133" t="n"/>
      <c r="AN83" s="133" t="n"/>
      <c r="AO83" s="133" t="n"/>
      <c r="HB83" s="133" t="n"/>
    </row>
    <row r="84" customFormat="1" s="131">
      <c r="A84" s="171" t="n"/>
      <c r="B84" s="315" t="n"/>
      <c r="C84" s="173" t="n"/>
      <c r="D84" s="174" t="n"/>
      <c r="E84" s="173" t="n"/>
      <c r="F84" s="173" t="n"/>
      <c r="G84" s="173" t="n"/>
      <c r="H84" s="175" t="n"/>
      <c r="I84" s="132" t="n"/>
      <c r="J84" s="161" t="n"/>
      <c r="K84" s="173" t="n"/>
      <c r="L84" s="316" t="n"/>
      <c r="M84" s="316" t="n"/>
      <c r="N84" s="316" t="n"/>
      <c r="O84" s="173" t="n"/>
      <c r="P84" s="317" t="n"/>
      <c r="Q84" s="162" t="n"/>
      <c r="R84" s="133" t="n"/>
      <c r="S84" s="133" t="n"/>
      <c r="T84" s="133" t="n"/>
      <c r="U84" s="133" t="n"/>
      <c r="V84" s="133" t="n"/>
      <c r="W84" s="133" t="n"/>
      <c r="X84" s="133" t="n"/>
      <c r="Y84" s="133" t="n"/>
      <c r="Z84" s="133" t="n"/>
      <c r="AA84" s="133" t="n"/>
      <c r="AB84" s="133" t="n"/>
      <c r="AC84" s="133" t="n"/>
      <c r="AD84" s="133" t="n"/>
      <c r="AE84" s="133" t="n"/>
      <c r="AF84" s="133" t="n"/>
      <c r="AG84" s="133" t="n"/>
      <c r="AH84" s="133" t="n"/>
      <c r="AI84" s="133" t="n"/>
      <c r="AJ84" s="133" t="n"/>
      <c r="AK84" s="133" t="n"/>
      <c r="AL84" s="133" t="n"/>
      <c r="AM84" s="133" t="n"/>
      <c r="AN84" s="133" t="n"/>
      <c r="AO84" s="133" t="n"/>
      <c r="HB84" s="133" t="n"/>
    </row>
    <row r="85" customFormat="1" s="131">
      <c r="A85" s="171" t="n"/>
      <c r="B85" s="315" t="n"/>
      <c r="C85" s="173" t="n"/>
      <c r="D85" s="174" t="n"/>
      <c r="E85" s="173" t="n"/>
      <c r="F85" s="173" t="n"/>
      <c r="G85" s="173" t="n"/>
      <c r="H85" s="175" t="n"/>
      <c r="I85" s="132" t="n"/>
      <c r="J85" s="161" t="n"/>
      <c r="K85" s="173" t="n"/>
      <c r="L85" s="316" t="n"/>
      <c r="M85" s="316" t="n"/>
      <c r="N85" s="316" t="n"/>
      <c r="O85" s="173" t="n"/>
      <c r="P85" s="317" t="n"/>
      <c r="Q85" s="162" t="n"/>
      <c r="R85" s="133" t="n"/>
      <c r="S85" s="133" t="n"/>
      <c r="T85" s="133" t="n"/>
      <c r="U85" s="133" t="n"/>
      <c r="V85" s="133" t="n"/>
      <c r="W85" s="133" t="n"/>
      <c r="X85" s="133" t="n"/>
      <c r="Y85" s="133" t="n"/>
      <c r="Z85" s="133" t="n"/>
      <c r="AA85" s="133" t="n"/>
      <c r="AB85" s="133" t="n"/>
      <c r="AC85" s="133" t="n"/>
      <c r="AD85" s="133" t="n"/>
      <c r="AE85" s="133" t="n"/>
      <c r="AF85" s="133" t="n"/>
      <c r="AG85" s="133" t="n"/>
      <c r="AH85" s="133" t="n"/>
      <c r="AI85" s="133" t="n"/>
      <c r="AJ85" s="133" t="n"/>
      <c r="AK85" s="133" t="n"/>
      <c r="AL85" s="133" t="n"/>
      <c r="AM85" s="133" t="n"/>
      <c r="AN85" s="133" t="n"/>
      <c r="AO85" s="133" t="n"/>
      <c r="HB85" s="133" t="n"/>
    </row>
    <row r="86" customFormat="1" s="131">
      <c r="A86" s="171" t="n"/>
      <c r="B86" s="315" t="n"/>
      <c r="C86" s="173" t="n"/>
      <c r="D86" s="174" t="n"/>
      <c r="E86" s="173" t="n"/>
      <c r="F86" s="173" t="n"/>
      <c r="G86" s="173" t="n"/>
      <c r="H86" s="175" t="n"/>
      <c r="I86" s="132" t="n"/>
      <c r="J86" s="161" t="n"/>
      <c r="K86" s="173" t="n"/>
      <c r="L86" s="316" t="n"/>
      <c r="M86" s="316" t="n"/>
      <c r="N86" s="316" t="n"/>
      <c r="O86" s="173" t="n"/>
      <c r="P86" s="317" t="n"/>
      <c r="Q86" s="162" t="n"/>
      <c r="R86" s="133" t="n"/>
      <c r="S86" s="133" t="n"/>
      <c r="T86" s="133" t="n"/>
      <c r="U86" s="133" t="n"/>
      <c r="V86" s="133" t="n"/>
      <c r="W86" s="133" t="n"/>
      <c r="X86" s="133" t="n"/>
      <c r="Y86" s="133" t="n"/>
      <c r="Z86" s="133" t="n"/>
      <c r="AA86" s="133" t="n"/>
      <c r="AB86" s="133" t="n"/>
      <c r="AC86" s="133" t="n"/>
      <c r="AD86" s="133" t="n"/>
      <c r="AE86" s="133" t="n"/>
      <c r="AF86" s="133" t="n"/>
      <c r="AG86" s="133" t="n"/>
      <c r="AH86" s="133" t="n"/>
      <c r="AI86" s="133" t="n"/>
      <c r="AJ86" s="133" t="n"/>
      <c r="AK86" s="133" t="n"/>
      <c r="AL86" s="133" t="n"/>
      <c r="AM86" s="133" t="n"/>
      <c r="AN86" s="133" t="n"/>
      <c r="AO86" s="133" t="n"/>
      <c r="HB86" s="133" t="n"/>
    </row>
    <row r="87" customFormat="1" s="131">
      <c r="A87" s="171" t="n"/>
      <c r="B87" s="315" t="n"/>
      <c r="C87" s="173" t="n"/>
      <c r="D87" s="174" t="n"/>
      <c r="E87" s="173" t="n"/>
      <c r="F87" s="173" t="n"/>
      <c r="G87" s="173" t="n"/>
      <c r="H87" s="175" t="n"/>
      <c r="I87" s="132" t="n"/>
      <c r="J87" s="161" t="n"/>
      <c r="K87" s="173" t="n"/>
      <c r="L87" s="316" t="n"/>
      <c r="M87" s="316" t="n"/>
      <c r="N87" s="316" t="n"/>
      <c r="O87" s="173" t="n"/>
      <c r="P87" s="317" t="n"/>
      <c r="Q87" s="162" t="n"/>
      <c r="R87" s="133" t="n"/>
      <c r="S87" s="133" t="n"/>
      <c r="T87" s="133" t="n"/>
      <c r="U87" s="133" t="n"/>
      <c r="V87" s="133" t="n"/>
      <c r="W87" s="133" t="n"/>
      <c r="X87" s="133" t="n"/>
      <c r="Y87" s="133" t="n"/>
      <c r="Z87" s="133" t="n"/>
      <c r="AA87" s="133" t="n"/>
      <c r="AB87" s="133" t="n"/>
      <c r="AC87" s="133" t="n"/>
      <c r="AD87" s="133" t="n"/>
      <c r="AE87" s="133" t="n"/>
      <c r="AF87" s="133" t="n"/>
      <c r="AG87" s="133" t="n"/>
      <c r="AH87" s="133" t="n"/>
      <c r="AI87" s="133" t="n"/>
      <c r="AJ87" s="133" t="n"/>
      <c r="AK87" s="133" t="n"/>
      <c r="AL87" s="133" t="n"/>
      <c r="AM87" s="133" t="n"/>
      <c r="AN87" s="133" t="n"/>
      <c r="AO87" s="133" t="n"/>
      <c r="HB87" s="133" t="n"/>
    </row>
    <row r="88" customFormat="1" s="131">
      <c r="A88" s="171" t="n"/>
      <c r="B88" s="315" t="n"/>
      <c r="C88" s="173" t="n"/>
      <c r="D88" s="174" t="n"/>
      <c r="E88" s="173" t="n"/>
      <c r="F88" s="173" t="n"/>
      <c r="G88" s="173" t="n"/>
      <c r="H88" s="175" t="n"/>
      <c r="I88" s="132" t="n"/>
      <c r="J88" s="161" t="n"/>
      <c r="K88" s="173" t="n"/>
      <c r="L88" s="316" t="n"/>
      <c r="M88" s="316" t="n"/>
      <c r="N88" s="316" t="n"/>
      <c r="O88" s="173" t="n"/>
      <c r="P88" s="317" t="n"/>
      <c r="Q88" s="162" t="n"/>
      <c r="R88" s="133" t="n"/>
      <c r="S88" s="133" t="n"/>
      <c r="T88" s="133" t="n"/>
      <c r="U88" s="133" t="n"/>
      <c r="V88" s="133" t="n"/>
      <c r="W88" s="133" t="n"/>
      <c r="X88" s="133" t="n"/>
      <c r="Y88" s="133" t="n"/>
      <c r="Z88" s="133" t="n"/>
      <c r="AA88" s="133" t="n"/>
      <c r="AB88" s="133" t="n"/>
      <c r="AC88" s="133" t="n"/>
      <c r="AD88" s="133" t="n"/>
      <c r="AE88" s="133" t="n"/>
      <c r="AF88" s="133" t="n"/>
      <c r="AG88" s="133" t="n"/>
      <c r="AH88" s="133" t="n"/>
      <c r="AI88" s="133" t="n"/>
      <c r="AJ88" s="133" t="n"/>
      <c r="AK88" s="133" t="n"/>
      <c r="AL88" s="133" t="n"/>
      <c r="AM88" s="133" t="n"/>
      <c r="AN88" s="133" t="n"/>
      <c r="AO88" s="133" t="n"/>
      <c r="HB88" s="133" t="n"/>
    </row>
    <row r="89" customFormat="1" s="131">
      <c r="A89" s="171" t="n"/>
      <c r="B89" s="315" t="n"/>
      <c r="C89" s="173" t="n"/>
      <c r="D89" s="174" t="n"/>
      <c r="E89" s="173" t="n"/>
      <c r="F89" s="173" t="n"/>
      <c r="G89" s="173" t="n"/>
      <c r="H89" s="175" t="n"/>
      <c r="I89" s="132" t="n"/>
      <c r="J89" s="161" t="n"/>
      <c r="K89" s="173" t="n"/>
      <c r="L89" s="316" t="n"/>
      <c r="M89" s="316" t="n"/>
      <c r="N89" s="316" t="n"/>
      <c r="O89" s="173" t="n"/>
      <c r="P89" s="317" t="n"/>
      <c r="Q89" s="162" t="n"/>
      <c r="R89" s="133" t="n"/>
      <c r="S89" s="133" t="n"/>
      <c r="T89" s="133" t="n"/>
      <c r="U89" s="133" t="n"/>
      <c r="V89" s="133" t="n"/>
      <c r="W89" s="133" t="n"/>
      <c r="X89" s="133" t="n"/>
      <c r="Y89" s="133" t="n"/>
      <c r="Z89" s="133" t="n"/>
      <c r="AA89" s="133" t="n"/>
      <c r="AB89" s="133" t="n"/>
      <c r="AC89" s="133" t="n"/>
      <c r="AD89" s="133" t="n"/>
      <c r="AE89" s="133" t="n"/>
      <c r="AF89" s="133" t="n"/>
      <c r="AG89" s="133" t="n"/>
      <c r="AH89" s="133" t="n"/>
      <c r="AI89" s="133" t="n"/>
      <c r="AJ89" s="133" t="n"/>
      <c r="AK89" s="133" t="n"/>
      <c r="AL89" s="133" t="n"/>
      <c r="AM89" s="133" t="n"/>
      <c r="AN89" s="133" t="n"/>
      <c r="AO89" s="133" t="n"/>
      <c r="HB89" s="133" t="n"/>
    </row>
    <row r="90" customFormat="1" s="131">
      <c r="A90" s="171" t="n"/>
      <c r="B90" s="315" t="n"/>
      <c r="C90" s="173" t="n"/>
      <c r="D90" s="174" t="n"/>
      <c r="E90" s="173" t="n"/>
      <c r="F90" s="173" t="n"/>
      <c r="G90" s="173" t="n"/>
      <c r="H90" s="175" t="n"/>
      <c r="I90" s="132" t="n"/>
      <c r="J90" s="161" t="n"/>
      <c r="K90" s="173" t="n"/>
      <c r="L90" s="316" t="n"/>
      <c r="M90" s="316" t="n"/>
      <c r="N90" s="316" t="n"/>
      <c r="O90" s="173" t="n"/>
      <c r="P90" s="317" t="n"/>
      <c r="Q90" s="162" t="n"/>
      <c r="R90" s="133" t="n"/>
      <c r="S90" s="133" t="n"/>
      <c r="T90" s="133" t="n"/>
      <c r="U90" s="133" t="n"/>
      <c r="V90" s="133" t="n"/>
      <c r="W90" s="133" t="n"/>
      <c r="X90" s="133" t="n"/>
      <c r="Y90" s="133" t="n"/>
      <c r="Z90" s="133" t="n"/>
      <c r="AA90" s="133" t="n"/>
      <c r="AB90" s="133" t="n"/>
      <c r="AC90" s="133" t="n"/>
      <c r="AD90" s="133" t="n"/>
      <c r="AE90" s="133" t="n"/>
      <c r="AF90" s="133" t="n"/>
      <c r="AG90" s="133" t="n"/>
      <c r="AH90" s="133" t="n"/>
      <c r="AI90" s="133" t="n"/>
      <c r="AJ90" s="133" t="n"/>
      <c r="AK90" s="133" t="n"/>
      <c r="AL90" s="133" t="n"/>
      <c r="AM90" s="133" t="n"/>
      <c r="AN90" s="133" t="n"/>
      <c r="AO90" s="133" t="n"/>
      <c r="HB90" s="133" t="n"/>
    </row>
    <row r="91" customFormat="1" s="131">
      <c r="A91" s="171" t="n"/>
      <c r="B91" s="315" t="n"/>
      <c r="C91" s="173" t="n"/>
      <c r="D91" s="174" t="n"/>
      <c r="E91" s="173" t="n"/>
      <c r="F91" s="173" t="n"/>
      <c r="G91" s="173" t="n"/>
      <c r="H91" s="175" t="n"/>
      <c r="I91" s="132" t="n"/>
      <c r="J91" s="161" t="n"/>
      <c r="K91" s="173" t="n"/>
      <c r="L91" s="316" t="n"/>
      <c r="M91" s="316" t="n"/>
      <c r="N91" s="316" t="n"/>
      <c r="O91" s="173" t="n"/>
      <c r="P91" s="317" t="n"/>
      <c r="Q91" s="162" t="n"/>
      <c r="R91" s="133" t="n"/>
      <c r="S91" s="133" t="n"/>
      <c r="T91" s="133" t="n"/>
      <c r="U91" s="133" t="n"/>
      <c r="V91" s="133" t="n"/>
      <c r="W91" s="133" t="n"/>
      <c r="X91" s="133" t="n"/>
      <c r="Y91" s="133" t="n"/>
      <c r="Z91" s="133" t="n"/>
      <c r="AA91" s="133" t="n"/>
      <c r="AB91" s="133" t="n"/>
      <c r="AC91" s="133" t="n"/>
      <c r="AD91" s="133" t="n"/>
      <c r="AE91" s="133" t="n"/>
      <c r="AF91" s="133" t="n"/>
      <c r="AG91" s="133" t="n"/>
      <c r="AH91" s="133" t="n"/>
      <c r="AI91" s="133" t="n"/>
      <c r="AJ91" s="133" t="n"/>
      <c r="AK91" s="133" t="n"/>
      <c r="AL91" s="133" t="n"/>
      <c r="AM91" s="133" t="n"/>
      <c r="AN91" s="133" t="n"/>
      <c r="AO91" s="133" t="n"/>
      <c r="HB91" s="133" t="n"/>
    </row>
    <row r="92" customFormat="1" s="131">
      <c r="A92" s="171" t="n"/>
      <c r="B92" s="315" t="n"/>
      <c r="C92" s="173" t="n"/>
      <c r="D92" s="174" t="n"/>
      <c r="E92" s="173" t="n"/>
      <c r="F92" s="173" t="n"/>
      <c r="G92" s="173" t="n"/>
      <c r="H92" s="175" t="n"/>
      <c r="I92" s="132" t="n"/>
      <c r="J92" s="161" t="n"/>
      <c r="K92" s="173" t="n"/>
      <c r="L92" s="316" t="n"/>
      <c r="M92" s="316" t="n"/>
      <c r="N92" s="316" t="n"/>
      <c r="O92" s="173" t="n"/>
      <c r="P92" s="317" t="n"/>
      <c r="Q92" s="162" t="n"/>
      <c r="R92" s="133" t="n"/>
      <c r="S92" s="133" t="n"/>
      <c r="T92" s="133" t="n"/>
      <c r="U92" s="133" t="n"/>
      <c r="V92" s="133" t="n"/>
      <c r="W92" s="133" t="n"/>
      <c r="X92" s="133" t="n"/>
      <c r="Y92" s="133" t="n"/>
      <c r="Z92" s="133" t="n"/>
      <c r="AA92" s="133" t="n"/>
      <c r="AB92" s="133" t="n"/>
      <c r="AC92" s="133" t="n"/>
      <c r="AD92" s="133" t="n"/>
      <c r="AE92" s="133" t="n"/>
      <c r="AF92" s="133" t="n"/>
      <c r="AG92" s="133" t="n"/>
      <c r="AH92" s="133" t="n"/>
      <c r="AI92" s="133" t="n"/>
      <c r="AJ92" s="133" t="n"/>
      <c r="AK92" s="133" t="n"/>
      <c r="AL92" s="133" t="n"/>
      <c r="AM92" s="133" t="n"/>
      <c r="AN92" s="133" t="n"/>
      <c r="AO92" s="133" t="n"/>
      <c r="HB92" s="133" t="n"/>
    </row>
    <row r="93" customFormat="1" s="131">
      <c r="A93" s="171" t="n"/>
      <c r="B93" s="315" t="n"/>
      <c r="C93" s="173" t="n"/>
      <c r="D93" s="174" t="n"/>
      <c r="E93" s="173" t="n"/>
      <c r="F93" s="173" t="n"/>
      <c r="G93" s="173" t="n"/>
      <c r="H93" s="175" t="n"/>
      <c r="I93" s="132" t="n"/>
      <c r="J93" s="161" t="n"/>
      <c r="K93" s="173" t="n"/>
      <c r="L93" s="316" t="n"/>
      <c r="M93" s="316" t="n"/>
      <c r="N93" s="316" t="n"/>
      <c r="O93" s="173" t="n"/>
      <c r="P93" s="317" t="n"/>
      <c r="Q93" s="162" t="n"/>
      <c r="R93" s="133" t="n"/>
      <c r="S93" s="133" t="n"/>
      <c r="T93" s="133" t="n"/>
      <c r="U93" s="133" t="n"/>
      <c r="V93" s="133" t="n"/>
      <c r="W93" s="133" t="n"/>
      <c r="X93" s="133" t="n"/>
      <c r="Y93" s="133" t="n"/>
      <c r="Z93" s="133" t="n"/>
      <c r="AA93" s="133" t="n"/>
      <c r="AB93" s="133" t="n"/>
      <c r="AC93" s="133" t="n"/>
      <c r="AD93" s="133" t="n"/>
      <c r="AE93" s="133" t="n"/>
      <c r="AF93" s="133" t="n"/>
      <c r="AG93" s="133" t="n"/>
      <c r="AH93" s="133" t="n"/>
      <c r="AI93" s="133" t="n"/>
      <c r="AJ93" s="133" t="n"/>
      <c r="AK93" s="133" t="n"/>
      <c r="AL93" s="133" t="n"/>
      <c r="AM93" s="133" t="n"/>
      <c r="AN93" s="133" t="n"/>
      <c r="AO93" s="133" t="n"/>
      <c r="HB93" s="133" t="n"/>
    </row>
    <row r="94" customFormat="1" s="131">
      <c r="A94" s="171" t="n"/>
      <c r="B94" s="315" t="n"/>
      <c r="C94" s="173" t="n"/>
      <c r="D94" s="174" t="n"/>
      <c r="E94" s="173" t="n"/>
      <c r="F94" s="173" t="n"/>
      <c r="G94" s="173" t="n"/>
      <c r="H94" s="175" t="n"/>
      <c r="I94" s="132" t="n"/>
      <c r="J94" s="161" t="n"/>
      <c r="K94" s="173" t="n"/>
      <c r="L94" s="316" t="n"/>
      <c r="M94" s="316" t="n"/>
      <c r="N94" s="316" t="n"/>
      <c r="O94" s="173" t="n"/>
      <c r="P94" s="317" t="n"/>
      <c r="Q94" s="162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  <c r="AA94" s="133" t="n"/>
      <c r="AB94" s="133" t="n"/>
      <c r="AC94" s="133" t="n"/>
      <c r="AD94" s="133" t="n"/>
      <c r="AE94" s="133" t="n"/>
      <c r="AF94" s="133" t="n"/>
      <c r="AG94" s="133" t="n"/>
      <c r="AH94" s="133" t="n"/>
      <c r="AI94" s="133" t="n"/>
      <c r="AJ94" s="133" t="n"/>
      <c r="AK94" s="133" t="n"/>
      <c r="AL94" s="133" t="n"/>
      <c r="AM94" s="133" t="n"/>
      <c r="AN94" s="133" t="n"/>
      <c r="AO94" s="133" t="n"/>
      <c r="HB94" s="133" t="n"/>
    </row>
    <row r="95" customFormat="1" s="131">
      <c r="A95" s="171" t="n"/>
      <c r="B95" s="315" t="n"/>
      <c r="C95" s="173" t="n"/>
      <c r="D95" s="174" t="n"/>
      <c r="E95" s="173" t="n"/>
      <c r="F95" s="173" t="n"/>
      <c r="G95" s="173" t="n"/>
      <c r="H95" s="175" t="n"/>
      <c r="I95" s="132" t="n"/>
      <c r="J95" s="161" t="n"/>
      <c r="K95" s="173" t="n"/>
      <c r="L95" s="316" t="n"/>
      <c r="M95" s="316" t="n"/>
      <c r="N95" s="316" t="n"/>
      <c r="O95" s="173" t="n"/>
      <c r="P95" s="317" t="n"/>
      <c r="Q95" s="162" t="n"/>
      <c r="R95" s="133" t="n"/>
      <c r="S95" s="133" t="n"/>
      <c r="T95" s="133" t="n"/>
      <c r="U95" s="133" t="n"/>
      <c r="V95" s="133" t="n"/>
      <c r="W95" s="133" t="n"/>
      <c r="X95" s="133" t="n"/>
      <c r="Y95" s="133" t="n"/>
      <c r="Z95" s="133" t="n"/>
      <c r="AA95" s="133" t="n"/>
      <c r="AB95" s="133" t="n"/>
      <c r="AC95" s="133" t="n"/>
      <c r="AD95" s="133" t="n"/>
      <c r="AE95" s="133" t="n"/>
      <c r="AF95" s="133" t="n"/>
      <c r="AG95" s="133" t="n"/>
      <c r="AH95" s="133" t="n"/>
      <c r="AI95" s="133" t="n"/>
      <c r="AJ95" s="133" t="n"/>
      <c r="AK95" s="133" t="n"/>
      <c r="AL95" s="133" t="n"/>
      <c r="AM95" s="133" t="n"/>
      <c r="AN95" s="133" t="n"/>
      <c r="AO95" s="133" t="n"/>
      <c r="HB95" s="133" t="n"/>
    </row>
    <row r="96" customFormat="1" s="131">
      <c r="A96" s="171" t="n"/>
      <c r="B96" s="315" t="n"/>
      <c r="C96" s="173" t="n"/>
      <c r="D96" s="174" t="n"/>
      <c r="E96" s="173" t="n"/>
      <c r="F96" s="173" t="n"/>
      <c r="G96" s="173" t="n"/>
      <c r="H96" s="175" t="n"/>
      <c r="I96" s="132" t="n"/>
      <c r="J96" s="161" t="n"/>
      <c r="K96" s="173" t="n"/>
      <c r="L96" s="316" t="n"/>
      <c r="M96" s="316" t="n"/>
      <c r="N96" s="316" t="n"/>
      <c r="O96" s="173" t="n"/>
      <c r="P96" s="317" t="n"/>
      <c r="Q96" s="162" t="n"/>
      <c r="R96" s="133" t="n"/>
      <c r="S96" s="133" t="n"/>
      <c r="T96" s="133" t="n"/>
      <c r="U96" s="133" t="n"/>
      <c r="V96" s="133" t="n"/>
      <c r="W96" s="133" t="n"/>
      <c r="X96" s="133" t="n"/>
      <c r="Y96" s="133" t="n"/>
      <c r="Z96" s="133" t="n"/>
      <c r="AA96" s="133" t="n"/>
      <c r="AB96" s="133" t="n"/>
      <c r="AC96" s="133" t="n"/>
      <c r="AD96" s="133" t="n"/>
      <c r="AE96" s="133" t="n"/>
      <c r="AF96" s="133" t="n"/>
      <c r="AG96" s="133" t="n"/>
      <c r="AH96" s="133" t="n"/>
      <c r="AI96" s="133" t="n"/>
      <c r="AJ96" s="133" t="n"/>
      <c r="AK96" s="133" t="n"/>
      <c r="AL96" s="133" t="n"/>
      <c r="AM96" s="133" t="n"/>
      <c r="AN96" s="133" t="n"/>
      <c r="AO96" s="133" t="n"/>
      <c r="HB96" s="133" t="n"/>
    </row>
    <row r="97" customFormat="1" s="131">
      <c r="A97" s="171" t="n"/>
      <c r="B97" s="315" t="n"/>
      <c r="C97" s="173" t="n"/>
      <c r="D97" s="174" t="n"/>
      <c r="E97" s="173" t="n"/>
      <c r="F97" s="173" t="n"/>
      <c r="G97" s="173" t="n"/>
      <c r="H97" s="175" t="n"/>
      <c r="I97" s="132" t="n"/>
      <c r="J97" s="161" t="n"/>
      <c r="K97" s="173" t="n"/>
      <c r="L97" s="316" t="n"/>
      <c r="M97" s="316" t="n"/>
      <c r="N97" s="316" t="n"/>
      <c r="O97" s="173" t="n"/>
      <c r="P97" s="317" t="n"/>
      <c r="Q97" s="162" t="n"/>
      <c r="R97" s="133" t="n"/>
      <c r="S97" s="133" t="n"/>
      <c r="T97" s="133" t="n"/>
      <c r="U97" s="133" t="n"/>
      <c r="V97" s="133" t="n"/>
      <c r="W97" s="133" t="n"/>
      <c r="X97" s="133" t="n"/>
      <c r="Y97" s="133" t="n"/>
      <c r="Z97" s="133" t="n"/>
      <c r="AA97" s="133" t="n"/>
      <c r="AB97" s="133" t="n"/>
      <c r="AC97" s="133" t="n"/>
      <c r="AD97" s="133" t="n"/>
      <c r="AE97" s="133" t="n"/>
      <c r="AF97" s="133" t="n"/>
      <c r="AG97" s="133" t="n"/>
      <c r="AH97" s="133" t="n"/>
      <c r="AI97" s="133" t="n"/>
      <c r="AJ97" s="133" t="n"/>
      <c r="AK97" s="133" t="n"/>
      <c r="AL97" s="133" t="n"/>
      <c r="AM97" s="133" t="n"/>
      <c r="AN97" s="133" t="n"/>
      <c r="AO97" s="133" t="n"/>
      <c r="HB97" s="133" t="n"/>
    </row>
    <row r="98" customFormat="1" s="131">
      <c r="A98" s="171" t="n"/>
      <c r="B98" s="315" t="n"/>
      <c r="C98" s="173" t="n"/>
      <c r="D98" s="174" t="n"/>
      <c r="E98" s="173" t="n"/>
      <c r="F98" s="173" t="n"/>
      <c r="G98" s="173" t="n"/>
      <c r="H98" s="175" t="n"/>
      <c r="I98" s="132" t="n"/>
      <c r="J98" s="161" t="n"/>
      <c r="K98" s="173" t="n"/>
      <c r="L98" s="316" t="n"/>
      <c r="M98" s="316" t="n"/>
      <c r="N98" s="316" t="n"/>
      <c r="O98" s="173" t="n"/>
      <c r="P98" s="317" t="n"/>
      <c r="Q98" s="162" t="n"/>
      <c r="R98" s="133" t="n"/>
      <c r="S98" s="133" t="n"/>
      <c r="T98" s="133" t="n"/>
      <c r="U98" s="133" t="n"/>
      <c r="V98" s="133" t="n"/>
      <c r="W98" s="133" t="n"/>
      <c r="X98" s="133" t="n"/>
      <c r="Y98" s="133" t="n"/>
      <c r="Z98" s="133" t="n"/>
      <c r="AA98" s="133" t="n"/>
      <c r="AB98" s="133" t="n"/>
      <c r="AC98" s="133" t="n"/>
      <c r="AD98" s="133" t="n"/>
      <c r="AE98" s="133" t="n"/>
      <c r="AF98" s="133" t="n"/>
      <c r="AG98" s="133" t="n"/>
      <c r="AH98" s="133" t="n"/>
      <c r="AI98" s="133" t="n"/>
      <c r="AJ98" s="133" t="n"/>
      <c r="AK98" s="133" t="n"/>
      <c r="AL98" s="133" t="n"/>
      <c r="AM98" s="133" t="n"/>
      <c r="AN98" s="133" t="n"/>
      <c r="AO98" s="133" t="n"/>
      <c r="HB98" s="133" t="n"/>
    </row>
    <row r="99" customFormat="1" s="131">
      <c r="A99" s="171" t="n"/>
      <c r="B99" s="315" t="n"/>
      <c r="C99" s="173" t="n"/>
      <c r="D99" s="174" t="n"/>
      <c r="E99" s="173" t="n"/>
      <c r="F99" s="173" t="n"/>
      <c r="G99" s="173" t="n"/>
      <c r="H99" s="175" t="n"/>
      <c r="I99" s="132" t="n"/>
      <c r="J99" s="161" t="n"/>
      <c r="K99" s="173" t="n"/>
      <c r="L99" s="316" t="n"/>
      <c r="M99" s="316" t="n"/>
      <c r="N99" s="316" t="n"/>
      <c r="O99" s="173" t="n"/>
      <c r="P99" s="317" t="n"/>
      <c r="Q99" s="162" t="n"/>
      <c r="R99" s="133" t="n"/>
      <c r="S99" s="133" t="n"/>
      <c r="T99" s="133" t="n"/>
      <c r="U99" s="133" t="n"/>
      <c r="V99" s="133" t="n"/>
      <c r="W99" s="133" t="n"/>
      <c r="X99" s="133" t="n"/>
      <c r="Y99" s="133" t="n"/>
      <c r="Z99" s="133" t="n"/>
      <c r="AA99" s="133" t="n"/>
      <c r="AB99" s="133" t="n"/>
      <c r="AC99" s="133" t="n"/>
      <c r="AD99" s="133" t="n"/>
      <c r="AE99" s="133" t="n"/>
      <c r="AF99" s="133" t="n"/>
      <c r="AG99" s="133" t="n"/>
      <c r="AH99" s="133" t="n"/>
      <c r="AI99" s="133" t="n"/>
      <c r="AJ99" s="133" t="n"/>
      <c r="AK99" s="133" t="n"/>
      <c r="AL99" s="133" t="n"/>
      <c r="AM99" s="133" t="n"/>
      <c r="AN99" s="133" t="n"/>
      <c r="AO99" s="133" t="n"/>
      <c r="HB99" s="133" t="n"/>
    </row>
    <row r="100" customFormat="1" s="131">
      <c r="A100" s="171" t="n"/>
      <c r="B100" s="315" t="n"/>
      <c r="C100" s="173" t="n"/>
      <c r="D100" s="174" t="n"/>
      <c r="E100" s="173" t="n"/>
      <c r="F100" s="173" t="n"/>
      <c r="G100" s="173" t="n"/>
      <c r="H100" s="175" t="n"/>
      <c r="I100" s="132" t="n"/>
      <c r="J100" s="161" t="n"/>
      <c r="K100" s="173" t="n"/>
      <c r="L100" s="316" t="n"/>
      <c r="M100" s="316" t="n"/>
      <c r="N100" s="316" t="n"/>
      <c r="O100" s="173" t="n"/>
      <c r="P100" s="317" t="n"/>
      <c r="Q100" s="162" t="n"/>
      <c r="R100" s="133" t="n"/>
      <c r="S100" s="133" t="n"/>
      <c r="T100" s="133" t="n"/>
      <c r="U100" s="133" t="n"/>
      <c r="V100" s="133" t="n"/>
      <c r="W100" s="133" t="n"/>
      <c r="X100" s="133" t="n"/>
      <c r="Y100" s="133" t="n"/>
      <c r="Z100" s="133" t="n"/>
      <c r="AA100" s="133" t="n"/>
      <c r="AB100" s="133" t="n"/>
      <c r="AC100" s="133" t="n"/>
      <c r="AD100" s="133" t="n"/>
      <c r="AE100" s="133" t="n"/>
      <c r="AF100" s="133" t="n"/>
      <c r="AG100" s="133" t="n"/>
      <c r="AH100" s="133" t="n"/>
      <c r="AI100" s="133" t="n"/>
      <c r="AJ100" s="133" t="n"/>
      <c r="AK100" s="133" t="n"/>
      <c r="AL100" s="133" t="n"/>
      <c r="AM100" s="133" t="n"/>
      <c r="AN100" s="133" t="n"/>
      <c r="AO100" s="133" t="n"/>
      <c r="HB100" s="133" t="n"/>
    </row>
    <row r="101" customFormat="1" s="131">
      <c r="A101" s="171" t="n"/>
      <c r="B101" s="315" t="n"/>
      <c r="C101" s="173" t="n"/>
      <c r="D101" s="174" t="n"/>
      <c r="E101" s="173" t="n"/>
      <c r="F101" s="173" t="n"/>
      <c r="G101" s="173" t="n"/>
      <c r="H101" s="175" t="n"/>
      <c r="I101" s="132" t="n"/>
      <c r="J101" s="161" t="n"/>
      <c r="K101" s="173" t="n"/>
      <c r="L101" s="316" t="n"/>
      <c r="M101" s="316" t="n"/>
      <c r="N101" s="316" t="n"/>
      <c r="O101" s="173" t="n"/>
      <c r="P101" s="317" t="n"/>
      <c r="Q101" s="162" t="n"/>
      <c r="R101" s="133" t="n"/>
      <c r="S101" s="133" t="n"/>
      <c r="T101" s="133" t="n"/>
      <c r="U101" s="133" t="n"/>
      <c r="V101" s="133" t="n"/>
      <c r="W101" s="133" t="n"/>
      <c r="X101" s="133" t="n"/>
      <c r="Y101" s="133" t="n"/>
      <c r="Z101" s="133" t="n"/>
      <c r="AA101" s="133" t="n"/>
      <c r="AB101" s="133" t="n"/>
      <c r="AC101" s="133" t="n"/>
      <c r="AD101" s="133" t="n"/>
      <c r="AE101" s="133" t="n"/>
      <c r="AF101" s="133" t="n"/>
      <c r="AG101" s="133" t="n"/>
      <c r="AH101" s="133" t="n"/>
      <c r="AI101" s="133" t="n"/>
      <c r="AJ101" s="133" t="n"/>
      <c r="AK101" s="133" t="n"/>
      <c r="AL101" s="133" t="n"/>
      <c r="AM101" s="133" t="n"/>
      <c r="AN101" s="133" t="n"/>
      <c r="AO101" s="133" t="n"/>
      <c r="HB101" s="133" t="n"/>
    </row>
    <row r="102" customFormat="1" s="131">
      <c r="A102" s="171" t="n"/>
      <c r="B102" s="315" t="n"/>
      <c r="C102" s="173" t="n"/>
      <c r="D102" s="174" t="n"/>
      <c r="E102" s="173" t="n"/>
      <c r="F102" s="173" t="n"/>
      <c r="G102" s="173" t="n"/>
      <c r="H102" s="175" t="n"/>
      <c r="I102" s="132" t="n"/>
      <c r="J102" s="161" t="n"/>
      <c r="K102" s="173" t="n"/>
      <c r="L102" s="316" t="n"/>
      <c r="M102" s="316" t="n"/>
      <c r="N102" s="316" t="n"/>
      <c r="O102" s="173" t="n"/>
      <c r="P102" s="317" t="n"/>
      <c r="Q102" s="162" t="n"/>
      <c r="R102" s="133" t="n"/>
      <c r="S102" s="133" t="n"/>
      <c r="T102" s="133" t="n"/>
      <c r="U102" s="133" t="n"/>
      <c r="V102" s="133" t="n"/>
      <c r="W102" s="133" t="n"/>
      <c r="X102" s="133" t="n"/>
      <c r="Y102" s="133" t="n"/>
      <c r="Z102" s="133" t="n"/>
      <c r="AA102" s="133" t="n"/>
      <c r="AB102" s="133" t="n"/>
      <c r="AC102" s="133" t="n"/>
      <c r="AD102" s="133" t="n"/>
      <c r="AE102" s="133" t="n"/>
      <c r="AF102" s="133" t="n"/>
      <c r="AG102" s="133" t="n"/>
      <c r="AH102" s="133" t="n"/>
      <c r="AI102" s="133" t="n"/>
      <c r="AJ102" s="133" t="n"/>
      <c r="AK102" s="133" t="n"/>
      <c r="AL102" s="133" t="n"/>
      <c r="AM102" s="133" t="n"/>
      <c r="AN102" s="133" t="n"/>
      <c r="AO102" s="133" t="n"/>
      <c r="HB102" s="133" t="n"/>
    </row>
    <row r="103" customFormat="1" s="131">
      <c r="A103" s="171" t="n"/>
      <c r="B103" s="315" t="n"/>
      <c r="C103" s="173" t="n"/>
      <c r="D103" s="174" t="n"/>
      <c r="E103" s="173" t="n"/>
      <c r="F103" s="173" t="n"/>
      <c r="G103" s="173" t="n"/>
      <c r="H103" s="175" t="n"/>
      <c r="I103" s="132" t="n"/>
      <c r="J103" s="161" t="n"/>
      <c r="K103" s="173" t="n"/>
      <c r="L103" s="316" t="n"/>
      <c r="M103" s="316" t="n"/>
      <c r="N103" s="316" t="n"/>
      <c r="O103" s="173" t="n"/>
      <c r="P103" s="317" t="n"/>
      <c r="Q103" s="162" t="n"/>
      <c r="R103" s="133" t="n"/>
      <c r="S103" s="133" t="n"/>
      <c r="T103" s="133" t="n"/>
      <c r="U103" s="133" t="n"/>
      <c r="V103" s="133" t="n"/>
      <c r="W103" s="133" t="n"/>
      <c r="X103" s="133" t="n"/>
      <c r="Y103" s="133" t="n"/>
      <c r="Z103" s="133" t="n"/>
      <c r="AA103" s="133" t="n"/>
      <c r="AB103" s="133" t="n"/>
      <c r="AC103" s="133" t="n"/>
      <c r="AD103" s="133" t="n"/>
      <c r="AE103" s="133" t="n"/>
      <c r="AF103" s="133" t="n"/>
      <c r="AG103" s="133" t="n"/>
      <c r="AH103" s="133" t="n"/>
      <c r="AI103" s="133" t="n"/>
      <c r="AJ103" s="133" t="n"/>
      <c r="AK103" s="133" t="n"/>
      <c r="AL103" s="133" t="n"/>
      <c r="AM103" s="133" t="n"/>
      <c r="AN103" s="133" t="n"/>
      <c r="AO103" s="133" t="n"/>
      <c r="HB103" s="133" t="n"/>
    </row>
    <row r="104" customFormat="1" s="131">
      <c r="A104" s="171" t="n"/>
      <c r="B104" s="315" t="n"/>
      <c r="C104" s="173" t="n"/>
      <c r="D104" s="174" t="n"/>
      <c r="E104" s="173" t="n"/>
      <c r="F104" s="173" t="n"/>
      <c r="G104" s="173" t="n"/>
      <c r="H104" s="175" t="n"/>
      <c r="I104" s="132" t="n"/>
      <c r="J104" s="161" t="n"/>
      <c r="K104" s="173" t="n"/>
      <c r="L104" s="316" t="n"/>
      <c r="M104" s="316" t="n"/>
      <c r="N104" s="316" t="n"/>
      <c r="O104" s="173" t="n"/>
      <c r="P104" s="317" t="n"/>
      <c r="Q104" s="162" t="n"/>
      <c r="R104" s="133" t="n"/>
      <c r="S104" s="133" t="n"/>
      <c r="T104" s="133" t="n"/>
      <c r="U104" s="133" t="n"/>
      <c r="V104" s="133" t="n"/>
      <c r="W104" s="133" t="n"/>
      <c r="X104" s="133" t="n"/>
      <c r="Y104" s="133" t="n"/>
      <c r="Z104" s="133" t="n"/>
      <c r="AA104" s="133" t="n"/>
      <c r="AB104" s="133" t="n"/>
      <c r="AC104" s="133" t="n"/>
      <c r="AD104" s="133" t="n"/>
      <c r="AE104" s="133" t="n"/>
      <c r="AF104" s="133" t="n"/>
      <c r="AG104" s="133" t="n"/>
      <c r="AH104" s="133" t="n"/>
      <c r="AI104" s="133" t="n"/>
      <c r="AJ104" s="133" t="n"/>
      <c r="AK104" s="133" t="n"/>
      <c r="AL104" s="133" t="n"/>
      <c r="AM104" s="133" t="n"/>
      <c r="AN104" s="133" t="n"/>
      <c r="AO104" s="133" t="n"/>
      <c r="HB104" s="133" t="n"/>
    </row>
    <row r="105" customFormat="1" s="131">
      <c r="A105" s="171" t="n"/>
      <c r="B105" s="315" t="n"/>
      <c r="C105" s="173" t="n"/>
      <c r="D105" s="174" t="n"/>
      <c r="E105" s="173" t="n"/>
      <c r="F105" s="173" t="n"/>
      <c r="G105" s="173" t="n"/>
      <c r="H105" s="175" t="n"/>
      <c r="I105" s="132" t="n"/>
      <c r="J105" s="161" t="n"/>
      <c r="K105" s="173" t="n"/>
      <c r="L105" s="316" t="n"/>
      <c r="M105" s="316" t="n"/>
      <c r="N105" s="316" t="n"/>
      <c r="O105" s="173" t="n"/>
      <c r="P105" s="317" t="n"/>
      <c r="Q105" s="162" t="n"/>
      <c r="R105" s="133" t="n"/>
      <c r="S105" s="133" t="n"/>
      <c r="T105" s="133" t="n"/>
      <c r="U105" s="133" t="n"/>
      <c r="V105" s="133" t="n"/>
      <c r="W105" s="133" t="n"/>
      <c r="X105" s="133" t="n"/>
      <c r="Y105" s="133" t="n"/>
      <c r="Z105" s="133" t="n"/>
      <c r="AA105" s="133" t="n"/>
      <c r="AB105" s="133" t="n"/>
      <c r="AC105" s="133" t="n"/>
      <c r="AD105" s="133" t="n"/>
      <c r="AE105" s="133" t="n"/>
      <c r="AF105" s="133" t="n"/>
      <c r="AG105" s="133" t="n"/>
      <c r="AH105" s="133" t="n"/>
      <c r="AI105" s="133" t="n"/>
      <c r="AJ105" s="133" t="n"/>
      <c r="AK105" s="133" t="n"/>
      <c r="AL105" s="133" t="n"/>
      <c r="AM105" s="133" t="n"/>
      <c r="AN105" s="133" t="n"/>
      <c r="AO105" s="133" t="n"/>
      <c r="HB105" s="133" t="n"/>
    </row>
    <row r="106" customFormat="1" s="131">
      <c r="A106" s="171" t="n"/>
      <c r="B106" s="315" t="n"/>
      <c r="C106" s="173" t="n"/>
      <c r="D106" s="174" t="n"/>
      <c r="E106" s="173" t="n"/>
      <c r="F106" s="173" t="n"/>
      <c r="G106" s="173" t="n"/>
      <c r="H106" s="175" t="n"/>
      <c r="I106" s="132" t="n"/>
      <c r="J106" s="161" t="n"/>
      <c r="K106" s="173" t="n"/>
      <c r="L106" s="316" t="n"/>
      <c r="M106" s="316" t="n"/>
      <c r="N106" s="316" t="n"/>
      <c r="O106" s="173" t="n"/>
      <c r="P106" s="317" t="n"/>
      <c r="Q106" s="162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  <c r="AA106" s="133" t="n"/>
      <c r="AB106" s="133" t="n"/>
      <c r="AC106" s="133" t="n"/>
      <c r="AD106" s="133" t="n"/>
      <c r="AE106" s="133" t="n"/>
      <c r="AF106" s="133" t="n"/>
      <c r="AG106" s="133" t="n"/>
      <c r="AH106" s="133" t="n"/>
      <c r="AI106" s="133" t="n"/>
      <c r="AJ106" s="133" t="n"/>
      <c r="AK106" s="133" t="n"/>
      <c r="AL106" s="133" t="n"/>
      <c r="AM106" s="133" t="n"/>
      <c r="AN106" s="133" t="n"/>
      <c r="AO106" s="133" t="n"/>
      <c r="HB106" s="133" t="n"/>
    </row>
    <row r="107" customFormat="1" s="131">
      <c r="A107" s="171" t="n"/>
      <c r="B107" s="315" t="n"/>
      <c r="C107" s="173" t="n"/>
      <c r="D107" s="174" t="n"/>
      <c r="E107" s="173" t="n"/>
      <c r="F107" s="173" t="n"/>
      <c r="G107" s="173" t="n"/>
      <c r="H107" s="175" t="n"/>
      <c r="I107" s="132" t="n"/>
      <c r="J107" s="161" t="n"/>
      <c r="K107" s="173" t="n"/>
      <c r="L107" s="316" t="n"/>
      <c r="M107" s="316" t="n"/>
      <c r="N107" s="316" t="n"/>
      <c r="O107" s="173" t="n"/>
      <c r="P107" s="317" t="n"/>
      <c r="Q107" s="162" t="n"/>
      <c r="R107" s="133" t="n"/>
      <c r="S107" s="133" t="n"/>
      <c r="T107" s="133" t="n"/>
      <c r="U107" s="133" t="n"/>
      <c r="V107" s="133" t="n"/>
      <c r="W107" s="133" t="n"/>
      <c r="X107" s="133" t="n"/>
      <c r="Y107" s="133" t="n"/>
      <c r="Z107" s="133" t="n"/>
      <c r="AA107" s="133" t="n"/>
      <c r="AB107" s="133" t="n"/>
      <c r="AC107" s="133" t="n"/>
      <c r="AD107" s="133" t="n"/>
      <c r="AE107" s="133" t="n"/>
      <c r="AF107" s="133" t="n"/>
      <c r="AG107" s="133" t="n"/>
      <c r="AH107" s="133" t="n"/>
      <c r="AI107" s="133" t="n"/>
      <c r="AJ107" s="133" t="n"/>
      <c r="AK107" s="133" t="n"/>
      <c r="AL107" s="133" t="n"/>
      <c r="AM107" s="133" t="n"/>
      <c r="AN107" s="133" t="n"/>
      <c r="AO107" s="133" t="n"/>
      <c r="HB107" s="133" t="n"/>
    </row>
    <row r="108" customFormat="1" s="131">
      <c r="A108" s="171" t="n"/>
      <c r="B108" s="315" t="n"/>
      <c r="C108" s="173" t="n"/>
      <c r="D108" s="174" t="n"/>
      <c r="E108" s="173" t="n"/>
      <c r="F108" s="173" t="n"/>
      <c r="G108" s="173" t="n"/>
      <c r="H108" s="175" t="n"/>
      <c r="I108" s="132" t="n"/>
      <c r="J108" s="161" t="n"/>
      <c r="K108" s="173" t="n"/>
      <c r="L108" s="316" t="n"/>
      <c r="M108" s="316" t="n"/>
      <c r="N108" s="316" t="n"/>
      <c r="O108" s="173" t="n"/>
      <c r="P108" s="317" t="n"/>
      <c r="Q108" s="162" t="n"/>
      <c r="R108" s="133" t="n"/>
      <c r="S108" s="133" t="n"/>
      <c r="T108" s="133" t="n"/>
      <c r="U108" s="133" t="n"/>
      <c r="V108" s="133" t="n"/>
      <c r="W108" s="133" t="n"/>
      <c r="X108" s="133" t="n"/>
      <c r="Y108" s="133" t="n"/>
      <c r="Z108" s="133" t="n"/>
      <c r="AA108" s="133" t="n"/>
      <c r="AB108" s="133" t="n"/>
      <c r="AC108" s="133" t="n"/>
      <c r="AD108" s="133" t="n"/>
      <c r="AE108" s="133" t="n"/>
      <c r="AF108" s="133" t="n"/>
      <c r="AG108" s="133" t="n"/>
      <c r="AH108" s="133" t="n"/>
      <c r="AI108" s="133" t="n"/>
      <c r="AJ108" s="133" t="n"/>
      <c r="AK108" s="133" t="n"/>
      <c r="AL108" s="133" t="n"/>
      <c r="AM108" s="133" t="n"/>
      <c r="AN108" s="133" t="n"/>
      <c r="AO108" s="133" t="n"/>
      <c r="HB108" s="133" t="n"/>
    </row>
    <row r="109" customFormat="1" s="131">
      <c r="A109" s="171" t="n"/>
      <c r="B109" s="315" t="n"/>
      <c r="C109" s="173" t="n"/>
      <c r="D109" s="174" t="n"/>
      <c r="E109" s="173" t="n"/>
      <c r="F109" s="173" t="n"/>
      <c r="G109" s="173" t="n"/>
      <c r="H109" s="175" t="n"/>
      <c r="I109" s="132" t="n"/>
      <c r="J109" s="161" t="n"/>
      <c r="K109" s="173" t="n"/>
      <c r="L109" s="316" t="n"/>
      <c r="M109" s="316" t="n"/>
      <c r="N109" s="316" t="n"/>
      <c r="O109" s="173" t="n"/>
      <c r="P109" s="317" t="n"/>
      <c r="Q109" s="162" t="n"/>
      <c r="R109" s="133" t="n"/>
      <c r="S109" s="133" t="n"/>
      <c r="T109" s="133" t="n"/>
      <c r="U109" s="133" t="n"/>
      <c r="V109" s="133" t="n"/>
      <c r="W109" s="133" t="n"/>
      <c r="X109" s="133" t="n"/>
      <c r="Y109" s="133" t="n"/>
      <c r="Z109" s="133" t="n"/>
      <c r="AA109" s="133" t="n"/>
      <c r="AB109" s="133" t="n"/>
      <c r="AC109" s="133" t="n"/>
      <c r="AD109" s="133" t="n"/>
      <c r="AE109" s="133" t="n"/>
      <c r="AF109" s="133" t="n"/>
      <c r="AG109" s="133" t="n"/>
      <c r="AH109" s="133" t="n"/>
      <c r="AI109" s="133" t="n"/>
      <c r="AJ109" s="133" t="n"/>
      <c r="AK109" s="133" t="n"/>
      <c r="AL109" s="133" t="n"/>
      <c r="AM109" s="133" t="n"/>
      <c r="AN109" s="133" t="n"/>
      <c r="AO109" s="133" t="n"/>
      <c r="HB109" s="133" t="n"/>
    </row>
    <row r="110" customFormat="1" s="131">
      <c r="A110" s="171" t="n"/>
      <c r="B110" s="315" t="n"/>
      <c r="C110" s="173" t="n"/>
      <c r="D110" s="174" t="n"/>
      <c r="E110" s="173" t="n"/>
      <c r="F110" s="173" t="n"/>
      <c r="G110" s="173" t="n"/>
      <c r="H110" s="175" t="n"/>
      <c r="I110" s="132" t="n"/>
      <c r="J110" s="161" t="n"/>
      <c r="K110" s="173" t="n"/>
      <c r="L110" s="316" t="n"/>
      <c r="M110" s="316" t="n"/>
      <c r="N110" s="316" t="n"/>
      <c r="O110" s="173" t="n"/>
      <c r="P110" s="317" t="n"/>
      <c r="Q110" s="162" t="n"/>
      <c r="R110" s="133" t="n"/>
      <c r="S110" s="133" t="n"/>
      <c r="T110" s="133" t="n"/>
      <c r="U110" s="133" t="n"/>
      <c r="V110" s="133" t="n"/>
      <c r="W110" s="133" t="n"/>
      <c r="X110" s="133" t="n"/>
      <c r="Y110" s="133" t="n"/>
      <c r="Z110" s="133" t="n"/>
      <c r="AA110" s="133" t="n"/>
      <c r="AB110" s="133" t="n"/>
      <c r="AC110" s="133" t="n"/>
      <c r="AD110" s="133" t="n"/>
      <c r="AE110" s="133" t="n"/>
      <c r="AF110" s="133" t="n"/>
      <c r="AG110" s="133" t="n"/>
      <c r="AH110" s="133" t="n"/>
      <c r="AI110" s="133" t="n"/>
      <c r="AJ110" s="133" t="n"/>
      <c r="AK110" s="133" t="n"/>
      <c r="AL110" s="133" t="n"/>
      <c r="AM110" s="133" t="n"/>
      <c r="AN110" s="133" t="n"/>
      <c r="AO110" s="133" t="n"/>
      <c r="HB110" s="133" t="n"/>
    </row>
    <row r="111" customFormat="1" s="131">
      <c r="A111" s="171" t="n"/>
      <c r="B111" s="315" t="n"/>
      <c r="C111" s="173" t="n"/>
      <c r="D111" s="174" t="n"/>
      <c r="E111" s="173" t="n"/>
      <c r="F111" s="173" t="n"/>
      <c r="G111" s="173" t="n"/>
      <c r="H111" s="175" t="n"/>
      <c r="I111" s="132" t="n"/>
      <c r="J111" s="161" t="n"/>
      <c r="K111" s="173" t="n"/>
      <c r="L111" s="316" t="n"/>
      <c r="M111" s="316" t="n"/>
      <c r="N111" s="316" t="n"/>
      <c r="O111" s="173" t="n"/>
      <c r="P111" s="317" t="n"/>
      <c r="Q111" s="162" t="n"/>
      <c r="R111" s="133" t="n"/>
      <c r="S111" s="133" t="n"/>
      <c r="T111" s="133" t="n"/>
      <c r="U111" s="133" t="n"/>
      <c r="V111" s="133" t="n"/>
      <c r="W111" s="133" t="n"/>
      <c r="X111" s="133" t="n"/>
      <c r="Y111" s="133" t="n"/>
      <c r="Z111" s="133" t="n"/>
      <c r="AA111" s="133" t="n"/>
      <c r="AB111" s="133" t="n"/>
      <c r="AC111" s="133" t="n"/>
      <c r="AD111" s="133" t="n"/>
      <c r="AE111" s="133" t="n"/>
      <c r="AF111" s="133" t="n"/>
      <c r="AG111" s="133" t="n"/>
      <c r="AH111" s="133" t="n"/>
      <c r="AI111" s="133" t="n"/>
      <c r="AJ111" s="133" t="n"/>
      <c r="AK111" s="133" t="n"/>
      <c r="AL111" s="133" t="n"/>
      <c r="AM111" s="133" t="n"/>
      <c r="AN111" s="133" t="n"/>
      <c r="AO111" s="133" t="n"/>
      <c r="HB111" s="133" t="n"/>
    </row>
    <row r="112" customFormat="1" s="131">
      <c r="A112" s="171" t="n"/>
      <c r="B112" s="315" t="n"/>
      <c r="C112" s="173" t="n"/>
      <c r="D112" s="174" t="n"/>
      <c r="E112" s="173" t="n"/>
      <c r="F112" s="173" t="n"/>
      <c r="G112" s="173" t="n"/>
      <c r="H112" s="175" t="n"/>
      <c r="I112" s="132" t="n"/>
      <c r="J112" s="161" t="n"/>
      <c r="K112" s="173" t="n"/>
      <c r="L112" s="316" t="n"/>
      <c r="M112" s="316" t="n"/>
      <c r="N112" s="316" t="n"/>
      <c r="O112" s="173" t="n"/>
      <c r="P112" s="317" t="n"/>
      <c r="Q112" s="162" t="n"/>
      <c r="R112" s="133" t="n"/>
      <c r="S112" s="133" t="n"/>
      <c r="T112" s="133" t="n"/>
      <c r="U112" s="133" t="n"/>
      <c r="V112" s="133" t="n"/>
      <c r="W112" s="133" t="n"/>
      <c r="X112" s="133" t="n"/>
      <c r="Y112" s="133" t="n"/>
      <c r="Z112" s="133" t="n"/>
      <c r="AA112" s="133" t="n"/>
      <c r="AB112" s="133" t="n"/>
      <c r="AC112" s="133" t="n"/>
      <c r="AD112" s="133" t="n"/>
      <c r="AE112" s="133" t="n"/>
      <c r="AF112" s="133" t="n"/>
      <c r="AG112" s="133" t="n"/>
      <c r="AH112" s="133" t="n"/>
      <c r="AI112" s="133" t="n"/>
      <c r="AJ112" s="133" t="n"/>
      <c r="AK112" s="133" t="n"/>
      <c r="AL112" s="133" t="n"/>
      <c r="AM112" s="133" t="n"/>
      <c r="AN112" s="133" t="n"/>
      <c r="AO112" s="133" t="n"/>
      <c r="HB112" s="133" t="n"/>
    </row>
    <row r="113" customFormat="1" s="131">
      <c r="A113" s="171" t="n"/>
      <c r="B113" s="315" t="n"/>
      <c r="C113" s="173" t="n"/>
      <c r="D113" s="174" t="n"/>
      <c r="E113" s="173" t="n"/>
      <c r="F113" s="173" t="n"/>
      <c r="G113" s="173" t="n"/>
      <c r="H113" s="175" t="n"/>
      <c r="I113" s="132" t="n"/>
      <c r="J113" s="161" t="n"/>
      <c r="K113" s="173" t="n"/>
      <c r="L113" s="316" t="n"/>
      <c r="M113" s="316" t="n"/>
      <c r="N113" s="316" t="n"/>
      <c r="O113" s="173" t="n"/>
      <c r="P113" s="317" t="n"/>
      <c r="Q113" s="162" t="n"/>
      <c r="R113" s="133" t="n"/>
      <c r="S113" s="133" t="n"/>
      <c r="T113" s="133" t="n"/>
      <c r="U113" s="133" t="n"/>
      <c r="V113" s="133" t="n"/>
      <c r="W113" s="133" t="n"/>
      <c r="X113" s="133" t="n"/>
      <c r="Y113" s="133" t="n"/>
      <c r="Z113" s="133" t="n"/>
      <c r="AA113" s="133" t="n"/>
      <c r="AB113" s="133" t="n"/>
      <c r="AC113" s="133" t="n"/>
      <c r="AD113" s="133" t="n"/>
      <c r="AE113" s="133" t="n"/>
      <c r="AF113" s="133" t="n"/>
      <c r="AG113" s="133" t="n"/>
      <c r="AH113" s="133" t="n"/>
      <c r="AI113" s="133" t="n"/>
      <c r="AJ113" s="133" t="n"/>
      <c r="AK113" s="133" t="n"/>
      <c r="AL113" s="133" t="n"/>
      <c r="AM113" s="133" t="n"/>
      <c r="AN113" s="133" t="n"/>
      <c r="AO113" s="133" t="n"/>
      <c r="HB113" s="133" t="n"/>
    </row>
    <row r="114" customFormat="1" s="131">
      <c r="A114" s="171" t="n"/>
      <c r="B114" s="315" t="n"/>
      <c r="C114" s="173" t="n"/>
      <c r="D114" s="174" t="n"/>
      <c r="E114" s="173" t="n"/>
      <c r="F114" s="173" t="n"/>
      <c r="G114" s="173" t="n"/>
      <c r="H114" s="175" t="n"/>
      <c r="I114" s="132" t="n"/>
      <c r="J114" s="161" t="n"/>
      <c r="K114" s="173" t="n"/>
      <c r="L114" s="316" t="n"/>
      <c r="M114" s="316" t="n"/>
      <c r="N114" s="316" t="n"/>
      <c r="O114" s="173" t="n"/>
      <c r="P114" s="317" t="n"/>
      <c r="Q114" s="162" t="n"/>
      <c r="R114" s="133" t="n"/>
      <c r="S114" s="133" t="n"/>
      <c r="T114" s="133" t="n"/>
      <c r="U114" s="133" t="n"/>
      <c r="V114" s="133" t="n"/>
      <c r="W114" s="133" t="n"/>
      <c r="X114" s="133" t="n"/>
      <c r="Y114" s="133" t="n"/>
      <c r="Z114" s="133" t="n"/>
      <c r="AA114" s="133" t="n"/>
      <c r="AB114" s="133" t="n"/>
      <c r="AC114" s="133" t="n"/>
      <c r="AD114" s="133" t="n"/>
      <c r="AE114" s="133" t="n"/>
      <c r="AF114" s="133" t="n"/>
      <c r="AG114" s="133" t="n"/>
      <c r="AH114" s="133" t="n"/>
      <c r="AI114" s="133" t="n"/>
      <c r="AJ114" s="133" t="n"/>
      <c r="AK114" s="133" t="n"/>
      <c r="AL114" s="133" t="n"/>
      <c r="AM114" s="133" t="n"/>
      <c r="AN114" s="133" t="n"/>
      <c r="AO114" s="133" t="n"/>
      <c r="HB114" s="133" t="n"/>
    </row>
    <row r="115" customFormat="1" s="131">
      <c r="A115" s="171" t="n"/>
      <c r="B115" s="315" t="n"/>
      <c r="C115" s="173" t="n"/>
      <c r="D115" s="174" t="n"/>
      <c r="E115" s="173" t="n"/>
      <c r="F115" s="173" t="n"/>
      <c r="G115" s="173" t="n"/>
      <c r="H115" s="175" t="n"/>
      <c r="I115" s="132" t="n"/>
      <c r="J115" s="161" t="n"/>
      <c r="K115" s="173" t="n"/>
      <c r="L115" s="316" t="n"/>
      <c r="M115" s="316" t="n"/>
      <c r="N115" s="316" t="n"/>
      <c r="O115" s="173" t="n"/>
      <c r="P115" s="317" t="n"/>
      <c r="Q115" s="162" t="n"/>
      <c r="R115" s="133" t="n"/>
      <c r="S115" s="133" t="n"/>
      <c r="T115" s="133" t="n"/>
      <c r="U115" s="133" t="n"/>
      <c r="V115" s="133" t="n"/>
      <c r="W115" s="133" t="n"/>
      <c r="X115" s="133" t="n"/>
      <c r="Y115" s="133" t="n"/>
      <c r="Z115" s="133" t="n"/>
      <c r="AA115" s="133" t="n"/>
      <c r="AB115" s="133" t="n"/>
      <c r="AC115" s="133" t="n"/>
      <c r="AD115" s="133" t="n"/>
      <c r="AE115" s="133" t="n"/>
      <c r="AF115" s="133" t="n"/>
      <c r="AG115" s="133" t="n"/>
      <c r="AH115" s="133" t="n"/>
      <c r="AI115" s="133" t="n"/>
      <c r="AJ115" s="133" t="n"/>
      <c r="AK115" s="133" t="n"/>
      <c r="AL115" s="133" t="n"/>
      <c r="AM115" s="133" t="n"/>
      <c r="AN115" s="133" t="n"/>
      <c r="AO115" s="133" t="n"/>
      <c r="HB115" s="133" t="n"/>
    </row>
    <row r="116" customFormat="1" s="131">
      <c r="A116" s="171" t="n"/>
      <c r="B116" s="315" t="n"/>
      <c r="C116" s="173" t="n"/>
      <c r="D116" s="174" t="n"/>
      <c r="E116" s="173" t="n"/>
      <c r="F116" s="173" t="n"/>
      <c r="G116" s="173" t="n"/>
      <c r="H116" s="175" t="n"/>
      <c r="I116" s="132" t="n"/>
      <c r="J116" s="161" t="n"/>
      <c r="K116" s="173" t="n"/>
      <c r="L116" s="316" t="n"/>
      <c r="M116" s="316" t="n"/>
      <c r="N116" s="316" t="n"/>
      <c r="O116" s="173" t="n"/>
      <c r="P116" s="317" t="n"/>
      <c r="Q116" s="162" t="n"/>
      <c r="R116" s="133" t="n"/>
      <c r="S116" s="133" t="n"/>
      <c r="T116" s="133" t="n"/>
      <c r="U116" s="133" t="n"/>
      <c r="V116" s="133" t="n"/>
      <c r="W116" s="133" t="n"/>
      <c r="X116" s="133" t="n"/>
      <c r="Y116" s="133" t="n"/>
      <c r="Z116" s="133" t="n"/>
      <c r="AA116" s="133" t="n"/>
      <c r="AB116" s="133" t="n"/>
      <c r="AC116" s="133" t="n"/>
      <c r="AD116" s="133" t="n"/>
      <c r="AE116" s="133" t="n"/>
      <c r="AF116" s="133" t="n"/>
      <c r="AG116" s="133" t="n"/>
      <c r="AH116" s="133" t="n"/>
      <c r="AI116" s="133" t="n"/>
      <c r="AJ116" s="133" t="n"/>
      <c r="AK116" s="133" t="n"/>
      <c r="AL116" s="133" t="n"/>
      <c r="AM116" s="133" t="n"/>
      <c r="AN116" s="133" t="n"/>
      <c r="AO116" s="133" t="n"/>
      <c r="HB116" s="133" t="n"/>
    </row>
    <row r="117" customFormat="1" s="131">
      <c r="A117" s="171" t="n"/>
      <c r="B117" s="315" t="n"/>
      <c r="C117" s="173" t="n"/>
      <c r="D117" s="174" t="n"/>
      <c r="E117" s="173" t="n"/>
      <c r="F117" s="173" t="n"/>
      <c r="G117" s="173" t="n"/>
      <c r="H117" s="175" t="n"/>
      <c r="I117" s="132" t="n"/>
      <c r="J117" s="161" t="n"/>
      <c r="K117" s="173" t="n"/>
      <c r="L117" s="316" t="n"/>
      <c r="M117" s="316" t="n"/>
      <c r="N117" s="316" t="n"/>
      <c r="O117" s="173" t="n"/>
      <c r="P117" s="317" t="n"/>
      <c r="Q117" s="162" t="n"/>
      <c r="R117" s="133" t="n"/>
      <c r="S117" s="133" t="n"/>
      <c r="T117" s="133" t="n"/>
      <c r="U117" s="133" t="n"/>
      <c r="V117" s="133" t="n"/>
      <c r="W117" s="133" t="n"/>
      <c r="X117" s="133" t="n"/>
      <c r="Y117" s="133" t="n"/>
      <c r="Z117" s="133" t="n"/>
      <c r="AA117" s="133" t="n"/>
      <c r="AB117" s="133" t="n"/>
      <c r="AC117" s="133" t="n"/>
      <c r="AD117" s="133" t="n"/>
      <c r="AE117" s="133" t="n"/>
      <c r="AF117" s="133" t="n"/>
      <c r="AG117" s="133" t="n"/>
      <c r="AH117" s="133" t="n"/>
      <c r="AI117" s="133" t="n"/>
      <c r="AJ117" s="133" t="n"/>
      <c r="AK117" s="133" t="n"/>
      <c r="AL117" s="133" t="n"/>
      <c r="AM117" s="133" t="n"/>
      <c r="AN117" s="133" t="n"/>
      <c r="AO117" s="133" t="n"/>
      <c r="HB117" s="133" t="n"/>
    </row>
    <row r="118" customFormat="1" s="131">
      <c r="A118" s="171" t="n"/>
      <c r="B118" s="315" t="n"/>
      <c r="C118" s="173" t="n"/>
      <c r="D118" s="174" t="n"/>
      <c r="E118" s="173" t="n"/>
      <c r="F118" s="173" t="n"/>
      <c r="G118" s="173" t="n"/>
      <c r="H118" s="175" t="n"/>
      <c r="I118" s="132" t="n"/>
      <c r="J118" s="161" t="n"/>
      <c r="K118" s="173" t="n"/>
      <c r="L118" s="316" t="n"/>
      <c r="M118" s="316" t="n"/>
      <c r="N118" s="316" t="n"/>
      <c r="O118" s="173" t="n"/>
      <c r="P118" s="317" t="n"/>
      <c r="Q118" s="162" t="n"/>
      <c r="R118" s="133" t="n"/>
      <c r="S118" s="133" t="n"/>
      <c r="T118" s="133" t="n"/>
      <c r="U118" s="133" t="n"/>
      <c r="V118" s="133" t="n"/>
      <c r="W118" s="133" t="n"/>
      <c r="X118" s="133" t="n"/>
      <c r="Y118" s="133" t="n"/>
      <c r="Z118" s="133" t="n"/>
      <c r="AA118" s="133" t="n"/>
      <c r="AB118" s="133" t="n"/>
      <c r="AC118" s="133" t="n"/>
      <c r="AD118" s="133" t="n"/>
      <c r="AE118" s="133" t="n"/>
      <c r="AF118" s="133" t="n"/>
      <c r="AG118" s="133" t="n"/>
      <c r="AH118" s="133" t="n"/>
      <c r="AI118" s="133" t="n"/>
      <c r="AJ118" s="133" t="n"/>
      <c r="AK118" s="133" t="n"/>
      <c r="AL118" s="133" t="n"/>
      <c r="AM118" s="133" t="n"/>
      <c r="AN118" s="133" t="n"/>
      <c r="AO118" s="133" t="n"/>
      <c r="HB118" s="133" t="n"/>
    </row>
    <row r="119" customFormat="1" s="131">
      <c r="A119" s="171" t="n"/>
      <c r="B119" s="315" t="n"/>
      <c r="C119" s="173" t="n"/>
      <c r="D119" s="174" t="n"/>
      <c r="E119" s="173" t="n"/>
      <c r="F119" s="173" t="n"/>
      <c r="G119" s="173" t="n"/>
      <c r="H119" s="175" t="n"/>
      <c r="I119" s="132" t="n"/>
      <c r="J119" s="161" t="n"/>
      <c r="K119" s="173" t="n"/>
      <c r="L119" s="316" t="n"/>
      <c r="M119" s="316" t="n"/>
      <c r="N119" s="316" t="n"/>
      <c r="O119" s="173" t="n"/>
      <c r="P119" s="317" t="n"/>
      <c r="Q119" s="162" t="n"/>
      <c r="R119" s="133" t="n"/>
      <c r="S119" s="133" t="n"/>
      <c r="T119" s="133" t="n"/>
      <c r="U119" s="133" t="n"/>
      <c r="V119" s="133" t="n"/>
      <c r="W119" s="133" t="n"/>
      <c r="X119" s="133" t="n"/>
      <c r="Y119" s="133" t="n"/>
      <c r="Z119" s="133" t="n"/>
      <c r="AA119" s="133" t="n"/>
      <c r="AB119" s="133" t="n"/>
      <c r="AC119" s="133" t="n"/>
      <c r="AD119" s="133" t="n"/>
      <c r="AE119" s="133" t="n"/>
      <c r="AF119" s="133" t="n"/>
      <c r="AG119" s="133" t="n"/>
      <c r="AH119" s="133" t="n"/>
      <c r="AI119" s="133" t="n"/>
      <c r="AJ119" s="133" t="n"/>
      <c r="AK119" s="133" t="n"/>
      <c r="AL119" s="133" t="n"/>
      <c r="AM119" s="133" t="n"/>
      <c r="AN119" s="133" t="n"/>
      <c r="AO119" s="133" t="n"/>
      <c r="HB119" s="133" t="n"/>
    </row>
    <row r="120" customFormat="1" s="131">
      <c r="A120" s="171" t="n"/>
      <c r="B120" s="315" t="n"/>
      <c r="C120" s="173" t="n"/>
      <c r="D120" s="174" t="n"/>
      <c r="E120" s="173" t="n"/>
      <c r="F120" s="173" t="n"/>
      <c r="G120" s="173" t="n"/>
      <c r="H120" s="175" t="n"/>
      <c r="I120" s="132" t="n"/>
      <c r="J120" s="161" t="n"/>
      <c r="K120" s="173" t="n"/>
      <c r="L120" s="316" t="n"/>
      <c r="M120" s="316" t="n"/>
      <c r="N120" s="316" t="n"/>
      <c r="O120" s="173" t="n"/>
      <c r="P120" s="317" t="n"/>
      <c r="Q120" s="162" t="n"/>
      <c r="R120" s="133" t="n"/>
      <c r="S120" s="133" t="n"/>
      <c r="T120" s="133" t="n"/>
      <c r="U120" s="133" t="n"/>
      <c r="V120" s="133" t="n"/>
      <c r="W120" s="133" t="n"/>
      <c r="X120" s="133" t="n"/>
      <c r="Y120" s="133" t="n"/>
      <c r="Z120" s="133" t="n"/>
      <c r="AA120" s="133" t="n"/>
      <c r="AB120" s="133" t="n"/>
      <c r="AC120" s="133" t="n"/>
      <c r="AD120" s="133" t="n"/>
      <c r="AE120" s="133" t="n"/>
      <c r="AF120" s="133" t="n"/>
      <c r="AG120" s="133" t="n"/>
      <c r="AH120" s="133" t="n"/>
      <c r="AI120" s="133" t="n"/>
      <c r="AJ120" s="133" t="n"/>
      <c r="AK120" s="133" t="n"/>
      <c r="AL120" s="133" t="n"/>
      <c r="AM120" s="133" t="n"/>
      <c r="AN120" s="133" t="n"/>
      <c r="AO120" s="133" t="n"/>
      <c r="HB120" s="133" t="n"/>
    </row>
    <row r="121" customFormat="1" s="131">
      <c r="A121" s="171" t="n"/>
      <c r="B121" s="315" t="n"/>
      <c r="C121" s="173" t="n"/>
      <c r="D121" s="174" t="n"/>
      <c r="E121" s="173" t="n"/>
      <c r="F121" s="173" t="n"/>
      <c r="G121" s="173" t="n"/>
      <c r="H121" s="175" t="n"/>
      <c r="I121" s="132" t="n"/>
      <c r="J121" s="161" t="n"/>
      <c r="K121" s="173" t="n"/>
      <c r="L121" s="316" t="n"/>
      <c r="M121" s="316" t="n"/>
      <c r="N121" s="316" t="n"/>
      <c r="O121" s="173" t="n"/>
      <c r="P121" s="317" t="n"/>
      <c r="Q121" s="162" t="n"/>
      <c r="R121" s="133" t="n"/>
      <c r="S121" s="133" t="n"/>
      <c r="T121" s="133" t="n"/>
      <c r="U121" s="133" t="n"/>
      <c r="V121" s="133" t="n"/>
      <c r="W121" s="133" t="n"/>
      <c r="X121" s="133" t="n"/>
      <c r="Y121" s="133" t="n"/>
      <c r="Z121" s="133" t="n"/>
      <c r="AA121" s="133" t="n"/>
      <c r="AB121" s="133" t="n"/>
      <c r="AC121" s="133" t="n"/>
      <c r="AD121" s="133" t="n"/>
      <c r="AE121" s="133" t="n"/>
      <c r="AF121" s="133" t="n"/>
      <c r="AG121" s="133" t="n"/>
      <c r="AH121" s="133" t="n"/>
      <c r="AI121" s="133" t="n"/>
      <c r="AJ121" s="133" t="n"/>
      <c r="AK121" s="133" t="n"/>
      <c r="AL121" s="133" t="n"/>
      <c r="AM121" s="133" t="n"/>
      <c r="AN121" s="133" t="n"/>
      <c r="AO121" s="133" t="n"/>
      <c r="HB121" s="133" t="n"/>
    </row>
    <row r="122" customFormat="1" s="131">
      <c r="A122" s="171" t="n"/>
      <c r="B122" s="315" t="n"/>
      <c r="C122" s="173" t="n"/>
      <c r="D122" s="174" t="n"/>
      <c r="E122" s="173" t="n"/>
      <c r="F122" s="173" t="n"/>
      <c r="G122" s="173" t="n"/>
      <c r="H122" s="175" t="n"/>
      <c r="I122" s="132" t="n"/>
      <c r="J122" s="161" t="n"/>
      <c r="K122" s="173" t="n"/>
      <c r="L122" s="316" t="n"/>
      <c r="M122" s="316" t="n"/>
      <c r="N122" s="316" t="n"/>
      <c r="O122" s="173" t="n"/>
      <c r="P122" s="317" t="n"/>
      <c r="Q122" s="162" t="n"/>
      <c r="R122" s="133" t="n"/>
      <c r="S122" s="133" t="n"/>
      <c r="T122" s="133" t="n"/>
      <c r="U122" s="133" t="n"/>
      <c r="V122" s="133" t="n"/>
      <c r="W122" s="133" t="n"/>
      <c r="X122" s="133" t="n"/>
      <c r="Y122" s="133" t="n"/>
      <c r="Z122" s="133" t="n"/>
      <c r="AA122" s="133" t="n"/>
      <c r="AB122" s="133" t="n"/>
      <c r="AC122" s="133" t="n"/>
      <c r="AD122" s="133" t="n"/>
      <c r="AE122" s="133" t="n"/>
      <c r="AF122" s="133" t="n"/>
      <c r="AG122" s="133" t="n"/>
      <c r="AH122" s="133" t="n"/>
      <c r="AI122" s="133" t="n"/>
      <c r="AJ122" s="133" t="n"/>
      <c r="AK122" s="133" t="n"/>
      <c r="AL122" s="133" t="n"/>
      <c r="AM122" s="133" t="n"/>
      <c r="AN122" s="133" t="n"/>
      <c r="AO122" s="133" t="n"/>
      <c r="HB122" s="133" t="n"/>
    </row>
    <row r="123" customFormat="1" s="131">
      <c r="A123" s="171" t="n"/>
      <c r="B123" s="315" t="n"/>
      <c r="C123" s="173" t="n"/>
      <c r="D123" s="174" t="n"/>
      <c r="E123" s="173" t="n"/>
      <c r="F123" s="173" t="n"/>
      <c r="G123" s="173" t="n"/>
      <c r="H123" s="175" t="n"/>
      <c r="I123" s="132" t="n"/>
      <c r="J123" s="161" t="n"/>
      <c r="K123" s="173" t="n"/>
      <c r="L123" s="316" t="n"/>
      <c r="M123" s="316" t="n"/>
      <c r="N123" s="316" t="n"/>
      <c r="O123" s="173" t="n"/>
      <c r="P123" s="317" t="n"/>
      <c r="Q123" s="162" t="n"/>
      <c r="R123" s="133" t="n"/>
      <c r="S123" s="133" t="n"/>
      <c r="T123" s="133" t="n"/>
      <c r="U123" s="133" t="n"/>
      <c r="V123" s="133" t="n"/>
      <c r="W123" s="133" t="n"/>
      <c r="X123" s="133" t="n"/>
      <c r="Y123" s="133" t="n"/>
      <c r="Z123" s="133" t="n"/>
      <c r="AA123" s="133" t="n"/>
      <c r="AB123" s="133" t="n"/>
      <c r="AC123" s="133" t="n"/>
      <c r="AD123" s="133" t="n"/>
      <c r="AE123" s="133" t="n"/>
      <c r="AF123" s="133" t="n"/>
      <c r="AG123" s="133" t="n"/>
      <c r="AH123" s="133" t="n"/>
      <c r="AI123" s="133" t="n"/>
      <c r="AJ123" s="133" t="n"/>
      <c r="AK123" s="133" t="n"/>
      <c r="AL123" s="133" t="n"/>
      <c r="AM123" s="133" t="n"/>
      <c r="AN123" s="133" t="n"/>
      <c r="AO123" s="133" t="n"/>
      <c r="HB123" s="133" t="n"/>
    </row>
    <row r="124" customFormat="1" s="131">
      <c r="A124" s="171" t="n"/>
      <c r="B124" s="315" t="n"/>
      <c r="C124" s="173" t="n"/>
      <c r="D124" s="174" t="n"/>
      <c r="E124" s="173" t="n"/>
      <c r="F124" s="173" t="n"/>
      <c r="G124" s="173" t="n"/>
      <c r="H124" s="175" t="n"/>
      <c r="I124" s="132" t="n"/>
      <c r="J124" s="161" t="n"/>
      <c r="K124" s="173" t="n"/>
      <c r="L124" s="316" t="n"/>
      <c r="M124" s="316" t="n"/>
      <c r="N124" s="316" t="n"/>
      <c r="O124" s="173" t="n"/>
      <c r="P124" s="317" t="n"/>
      <c r="Q124" s="162" t="n"/>
      <c r="R124" s="133" t="n"/>
      <c r="S124" s="133" t="n"/>
      <c r="T124" s="133" t="n"/>
      <c r="U124" s="133" t="n"/>
      <c r="V124" s="133" t="n"/>
      <c r="W124" s="133" t="n"/>
      <c r="X124" s="133" t="n"/>
      <c r="Y124" s="133" t="n"/>
      <c r="Z124" s="133" t="n"/>
      <c r="AA124" s="133" t="n"/>
      <c r="AB124" s="133" t="n"/>
      <c r="AC124" s="133" t="n"/>
      <c r="AD124" s="133" t="n"/>
      <c r="AE124" s="133" t="n"/>
      <c r="AF124" s="133" t="n"/>
      <c r="AG124" s="133" t="n"/>
      <c r="AH124" s="133" t="n"/>
      <c r="AI124" s="133" t="n"/>
      <c r="AJ124" s="133" t="n"/>
      <c r="AK124" s="133" t="n"/>
      <c r="AL124" s="133" t="n"/>
      <c r="AM124" s="133" t="n"/>
      <c r="AN124" s="133" t="n"/>
      <c r="AO124" s="133" t="n"/>
      <c r="HB124" s="133" t="n"/>
    </row>
    <row r="125" customFormat="1" s="131">
      <c r="A125" s="171" t="n"/>
      <c r="B125" s="315" t="n"/>
      <c r="C125" s="173" t="n"/>
      <c r="D125" s="174" t="n"/>
      <c r="E125" s="173" t="n"/>
      <c r="F125" s="173" t="n"/>
      <c r="G125" s="173" t="n"/>
      <c r="H125" s="175" t="n"/>
      <c r="I125" s="132" t="n"/>
      <c r="J125" s="161" t="n"/>
      <c r="K125" s="173" t="n"/>
      <c r="L125" s="316" t="n"/>
      <c r="M125" s="316" t="n"/>
      <c r="N125" s="316" t="n"/>
      <c r="O125" s="173" t="n"/>
      <c r="P125" s="317" t="n"/>
      <c r="Q125" s="162" t="n"/>
      <c r="R125" s="133" t="n"/>
      <c r="S125" s="133" t="n"/>
      <c r="T125" s="133" t="n"/>
      <c r="U125" s="133" t="n"/>
      <c r="V125" s="133" t="n"/>
      <c r="W125" s="133" t="n"/>
      <c r="X125" s="133" t="n"/>
      <c r="Y125" s="133" t="n"/>
      <c r="Z125" s="133" t="n"/>
      <c r="AA125" s="133" t="n"/>
      <c r="AB125" s="133" t="n"/>
      <c r="AC125" s="133" t="n"/>
      <c r="AD125" s="133" t="n"/>
      <c r="AE125" s="133" t="n"/>
      <c r="AF125" s="133" t="n"/>
      <c r="AG125" s="133" t="n"/>
      <c r="AH125" s="133" t="n"/>
      <c r="AI125" s="133" t="n"/>
      <c r="AJ125" s="133" t="n"/>
      <c r="AK125" s="133" t="n"/>
      <c r="AL125" s="133" t="n"/>
      <c r="AM125" s="133" t="n"/>
      <c r="AN125" s="133" t="n"/>
      <c r="AO125" s="133" t="n"/>
      <c r="HB125" s="133" t="n"/>
    </row>
    <row r="126" customFormat="1" s="131">
      <c r="A126" s="171" t="n"/>
      <c r="B126" s="315" t="n"/>
      <c r="C126" s="173" t="n"/>
      <c r="D126" s="174" t="n"/>
      <c r="E126" s="173" t="n"/>
      <c r="F126" s="173" t="n"/>
      <c r="G126" s="173" t="n"/>
      <c r="H126" s="175" t="n"/>
      <c r="I126" s="132" t="n"/>
      <c r="J126" s="161" t="n"/>
      <c r="K126" s="173" t="n"/>
      <c r="L126" s="316" t="n"/>
      <c r="M126" s="316" t="n"/>
      <c r="N126" s="316" t="n"/>
      <c r="O126" s="173" t="n"/>
      <c r="P126" s="317" t="n"/>
      <c r="Q126" s="162" t="n"/>
      <c r="R126" s="133" t="n"/>
      <c r="S126" s="133" t="n"/>
      <c r="T126" s="133" t="n"/>
      <c r="U126" s="133" t="n"/>
      <c r="V126" s="133" t="n"/>
      <c r="W126" s="133" t="n"/>
      <c r="X126" s="133" t="n"/>
      <c r="Y126" s="133" t="n"/>
      <c r="Z126" s="133" t="n"/>
      <c r="AA126" s="133" t="n"/>
      <c r="AB126" s="133" t="n"/>
      <c r="AC126" s="133" t="n"/>
      <c r="AD126" s="133" t="n"/>
      <c r="AE126" s="133" t="n"/>
      <c r="AF126" s="133" t="n"/>
      <c r="AG126" s="133" t="n"/>
      <c r="AH126" s="133" t="n"/>
      <c r="AI126" s="133" t="n"/>
      <c r="AJ126" s="133" t="n"/>
      <c r="AK126" s="133" t="n"/>
      <c r="AL126" s="133" t="n"/>
      <c r="AM126" s="133" t="n"/>
      <c r="AN126" s="133" t="n"/>
      <c r="AO126" s="133" t="n"/>
      <c r="HB126" s="133" t="n"/>
    </row>
    <row r="127" customFormat="1" s="131">
      <c r="A127" s="171" t="n"/>
      <c r="B127" s="315" t="n"/>
      <c r="C127" s="173" t="n"/>
      <c r="D127" s="174" t="n"/>
      <c r="E127" s="173" t="n"/>
      <c r="F127" s="173" t="n"/>
      <c r="G127" s="173" t="n"/>
      <c r="H127" s="175" t="n"/>
      <c r="I127" s="132" t="n"/>
      <c r="J127" s="161" t="n"/>
      <c r="K127" s="173" t="n"/>
      <c r="L127" s="316" t="n"/>
      <c r="M127" s="316" t="n"/>
      <c r="N127" s="316" t="n"/>
      <c r="O127" s="173" t="n"/>
      <c r="P127" s="317" t="n"/>
      <c r="Q127" s="162" t="n"/>
      <c r="R127" s="133" t="n"/>
      <c r="S127" s="133" t="n"/>
      <c r="T127" s="133" t="n"/>
      <c r="U127" s="133" t="n"/>
      <c r="V127" s="133" t="n"/>
      <c r="W127" s="133" t="n"/>
      <c r="X127" s="133" t="n"/>
      <c r="Y127" s="133" t="n"/>
      <c r="Z127" s="133" t="n"/>
      <c r="AA127" s="133" t="n"/>
      <c r="AB127" s="133" t="n"/>
      <c r="AC127" s="133" t="n"/>
      <c r="AD127" s="133" t="n"/>
      <c r="AE127" s="133" t="n"/>
      <c r="AF127" s="133" t="n"/>
      <c r="AG127" s="133" t="n"/>
      <c r="AH127" s="133" t="n"/>
      <c r="AI127" s="133" t="n"/>
      <c r="AJ127" s="133" t="n"/>
      <c r="AK127" s="133" t="n"/>
      <c r="AL127" s="133" t="n"/>
      <c r="AM127" s="133" t="n"/>
      <c r="AN127" s="133" t="n"/>
      <c r="AO127" s="133" t="n"/>
      <c r="HB127" s="133" t="n"/>
    </row>
    <row r="128" customFormat="1" s="131">
      <c r="A128" s="171" t="n"/>
      <c r="B128" s="315" t="n"/>
      <c r="C128" s="173" t="n"/>
      <c r="D128" s="174" t="n"/>
      <c r="E128" s="173" t="n"/>
      <c r="F128" s="173" t="n"/>
      <c r="G128" s="173" t="n"/>
      <c r="H128" s="175" t="n"/>
      <c r="I128" s="132" t="n"/>
      <c r="J128" s="161" t="n"/>
      <c r="K128" s="173" t="n"/>
      <c r="L128" s="316" t="n"/>
      <c r="M128" s="316" t="n"/>
      <c r="N128" s="316" t="n"/>
      <c r="O128" s="173" t="n"/>
      <c r="P128" s="317" t="n"/>
      <c r="Q128" s="162" t="n"/>
      <c r="R128" s="133" t="n"/>
      <c r="S128" s="133" t="n"/>
      <c r="T128" s="133" t="n"/>
      <c r="U128" s="133" t="n"/>
      <c r="V128" s="133" t="n"/>
      <c r="W128" s="133" t="n"/>
      <c r="X128" s="133" t="n"/>
      <c r="Y128" s="133" t="n"/>
      <c r="Z128" s="133" t="n"/>
      <c r="AA128" s="133" t="n"/>
      <c r="AB128" s="133" t="n"/>
      <c r="AC128" s="133" t="n"/>
      <c r="AD128" s="133" t="n"/>
      <c r="AE128" s="133" t="n"/>
      <c r="AF128" s="133" t="n"/>
      <c r="AG128" s="133" t="n"/>
      <c r="AH128" s="133" t="n"/>
      <c r="AI128" s="133" t="n"/>
      <c r="AJ128" s="133" t="n"/>
      <c r="AK128" s="133" t="n"/>
      <c r="AL128" s="133" t="n"/>
      <c r="AM128" s="133" t="n"/>
      <c r="AN128" s="133" t="n"/>
      <c r="AO128" s="133" t="n"/>
      <c r="HB128" s="133" t="n"/>
    </row>
    <row r="129" customFormat="1" s="131">
      <c r="A129" s="171" t="n"/>
      <c r="B129" s="315" t="n"/>
      <c r="C129" s="173" t="n"/>
      <c r="D129" s="174" t="n"/>
      <c r="E129" s="173" t="n"/>
      <c r="F129" s="173" t="n"/>
      <c r="G129" s="173" t="n"/>
      <c r="H129" s="175" t="n"/>
      <c r="I129" s="132" t="n"/>
      <c r="J129" s="161" t="n"/>
      <c r="K129" s="173" t="n"/>
      <c r="L129" s="316" t="n"/>
      <c r="M129" s="316" t="n"/>
      <c r="N129" s="316" t="n"/>
      <c r="O129" s="173" t="n"/>
      <c r="P129" s="317" t="n"/>
      <c r="Q129" s="162" t="n"/>
      <c r="R129" s="133" t="n"/>
      <c r="S129" s="133" t="n"/>
      <c r="T129" s="133" t="n"/>
      <c r="U129" s="133" t="n"/>
      <c r="V129" s="133" t="n"/>
      <c r="W129" s="133" t="n"/>
      <c r="X129" s="133" t="n"/>
      <c r="Y129" s="133" t="n"/>
      <c r="Z129" s="133" t="n"/>
      <c r="AA129" s="133" t="n"/>
      <c r="AB129" s="133" t="n"/>
      <c r="AC129" s="133" t="n"/>
      <c r="AD129" s="133" t="n"/>
      <c r="AE129" s="133" t="n"/>
      <c r="AF129" s="133" t="n"/>
      <c r="AG129" s="133" t="n"/>
      <c r="AH129" s="133" t="n"/>
      <c r="AI129" s="133" t="n"/>
      <c r="AJ129" s="133" t="n"/>
      <c r="AK129" s="133" t="n"/>
      <c r="AL129" s="133" t="n"/>
      <c r="AM129" s="133" t="n"/>
      <c r="AN129" s="133" t="n"/>
      <c r="AO129" s="133" t="n"/>
      <c r="HB129" s="133" t="n"/>
    </row>
    <row r="130" customFormat="1" s="131">
      <c r="A130" s="171" t="n"/>
      <c r="B130" s="315" t="n"/>
      <c r="C130" s="173" t="n"/>
      <c r="D130" s="174" t="n"/>
      <c r="E130" s="173" t="n"/>
      <c r="F130" s="173" t="n"/>
      <c r="G130" s="173" t="n"/>
      <c r="H130" s="175" t="n"/>
      <c r="I130" s="132" t="n"/>
      <c r="J130" s="161" t="n"/>
      <c r="K130" s="173" t="n"/>
      <c r="L130" s="316" t="n"/>
      <c r="M130" s="316" t="n"/>
      <c r="N130" s="316" t="n"/>
      <c r="O130" s="173" t="n"/>
      <c r="P130" s="317" t="n"/>
      <c r="Q130" s="162" t="n"/>
      <c r="R130" s="133" t="n"/>
      <c r="S130" s="133" t="n"/>
      <c r="T130" s="133" t="n"/>
      <c r="U130" s="133" t="n"/>
      <c r="V130" s="133" t="n"/>
      <c r="W130" s="133" t="n"/>
      <c r="X130" s="133" t="n"/>
      <c r="Y130" s="133" t="n"/>
      <c r="Z130" s="133" t="n"/>
      <c r="AA130" s="133" t="n"/>
      <c r="AB130" s="133" t="n"/>
      <c r="AC130" s="133" t="n"/>
      <c r="AD130" s="133" t="n"/>
      <c r="AE130" s="133" t="n"/>
      <c r="AF130" s="133" t="n"/>
      <c r="AG130" s="133" t="n"/>
      <c r="AH130" s="133" t="n"/>
      <c r="AI130" s="133" t="n"/>
      <c r="AJ130" s="133" t="n"/>
      <c r="AK130" s="133" t="n"/>
      <c r="AL130" s="133" t="n"/>
      <c r="AM130" s="133" t="n"/>
      <c r="AN130" s="133" t="n"/>
      <c r="AO130" s="133" t="n"/>
      <c r="HB130" s="133" t="n"/>
    </row>
    <row r="131" customFormat="1" s="131">
      <c r="A131" s="171" t="n"/>
      <c r="B131" s="315" t="n"/>
      <c r="C131" s="173" t="n"/>
      <c r="D131" s="174" t="n"/>
      <c r="E131" s="173" t="n"/>
      <c r="F131" s="173" t="n"/>
      <c r="G131" s="173" t="n"/>
      <c r="H131" s="175" t="n"/>
      <c r="I131" s="132" t="n"/>
      <c r="J131" s="161" t="n"/>
      <c r="K131" s="173" t="n"/>
      <c r="L131" s="316" t="n"/>
      <c r="M131" s="316" t="n"/>
      <c r="N131" s="316" t="n"/>
      <c r="O131" s="173" t="n"/>
      <c r="P131" s="317" t="n"/>
      <c r="Q131" s="162" t="n"/>
      <c r="R131" s="133" t="n"/>
      <c r="S131" s="133" t="n"/>
      <c r="T131" s="133" t="n"/>
      <c r="U131" s="133" t="n"/>
      <c r="V131" s="133" t="n"/>
      <c r="W131" s="133" t="n"/>
      <c r="X131" s="133" t="n"/>
      <c r="Y131" s="133" t="n"/>
      <c r="Z131" s="133" t="n"/>
      <c r="AA131" s="133" t="n"/>
      <c r="AB131" s="133" t="n"/>
      <c r="AC131" s="133" t="n"/>
      <c r="AD131" s="133" t="n"/>
      <c r="AE131" s="133" t="n"/>
      <c r="AF131" s="133" t="n"/>
      <c r="AG131" s="133" t="n"/>
      <c r="AH131" s="133" t="n"/>
      <c r="AI131" s="133" t="n"/>
      <c r="AJ131" s="133" t="n"/>
      <c r="AK131" s="133" t="n"/>
      <c r="AL131" s="133" t="n"/>
      <c r="AM131" s="133" t="n"/>
      <c r="AN131" s="133" t="n"/>
      <c r="AO131" s="133" t="n"/>
      <c r="HB131" s="133" t="n"/>
    </row>
    <row r="132" customFormat="1" s="131">
      <c r="A132" s="171" t="n"/>
      <c r="B132" s="315" t="n"/>
      <c r="C132" s="173" t="n"/>
      <c r="D132" s="174" t="n"/>
      <c r="E132" s="173" t="n"/>
      <c r="F132" s="173" t="n"/>
      <c r="G132" s="173" t="n"/>
      <c r="H132" s="175" t="n"/>
      <c r="I132" s="132" t="n"/>
      <c r="J132" s="161" t="n"/>
      <c r="K132" s="173" t="n"/>
      <c r="L132" s="316" t="n"/>
      <c r="M132" s="316" t="n"/>
      <c r="N132" s="316" t="n"/>
      <c r="O132" s="173" t="n"/>
      <c r="P132" s="317" t="n"/>
      <c r="Q132" s="162" t="n"/>
      <c r="R132" s="133" t="n"/>
      <c r="S132" s="133" t="n"/>
      <c r="T132" s="133" t="n"/>
      <c r="U132" s="133" t="n"/>
      <c r="V132" s="133" t="n"/>
      <c r="W132" s="133" t="n"/>
      <c r="X132" s="133" t="n"/>
      <c r="Y132" s="133" t="n"/>
      <c r="Z132" s="133" t="n"/>
      <c r="AA132" s="133" t="n"/>
      <c r="AB132" s="133" t="n"/>
      <c r="AC132" s="133" t="n"/>
      <c r="AD132" s="133" t="n"/>
      <c r="AE132" s="133" t="n"/>
      <c r="AF132" s="133" t="n"/>
      <c r="AG132" s="133" t="n"/>
      <c r="AH132" s="133" t="n"/>
      <c r="AI132" s="133" t="n"/>
      <c r="AJ132" s="133" t="n"/>
      <c r="AK132" s="133" t="n"/>
      <c r="AL132" s="133" t="n"/>
      <c r="AM132" s="133" t="n"/>
      <c r="AN132" s="133" t="n"/>
      <c r="AO132" s="133" t="n"/>
      <c r="HB132" s="133" t="n"/>
    </row>
    <row r="133" customFormat="1" s="131">
      <c r="A133" s="171" t="n"/>
      <c r="B133" s="315" t="n"/>
      <c r="C133" s="173" t="n"/>
      <c r="D133" s="174" t="n"/>
      <c r="E133" s="173" t="n"/>
      <c r="F133" s="173" t="n"/>
      <c r="G133" s="173" t="n"/>
      <c r="H133" s="175" t="n"/>
      <c r="I133" s="132" t="n"/>
      <c r="J133" s="161" t="n"/>
      <c r="K133" s="173" t="n"/>
      <c r="L133" s="316" t="n"/>
      <c r="M133" s="316" t="n"/>
      <c r="N133" s="316" t="n"/>
      <c r="O133" s="173" t="n"/>
      <c r="P133" s="317" t="n"/>
      <c r="Q133" s="162" t="n"/>
      <c r="R133" s="133" t="n"/>
      <c r="S133" s="133" t="n"/>
      <c r="T133" s="133" t="n"/>
      <c r="U133" s="133" t="n"/>
      <c r="V133" s="133" t="n"/>
      <c r="W133" s="133" t="n"/>
      <c r="X133" s="133" t="n"/>
      <c r="Y133" s="133" t="n"/>
      <c r="Z133" s="133" t="n"/>
      <c r="AA133" s="133" t="n"/>
      <c r="AB133" s="133" t="n"/>
      <c r="AC133" s="133" t="n"/>
      <c r="AD133" s="133" t="n"/>
      <c r="AE133" s="133" t="n"/>
      <c r="AF133" s="133" t="n"/>
      <c r="AG133" s="133" t="n"/>
      <c r="AH133" s="133" t="n"/>
      <c r="AI133" s="133" t="n"/>
      <c r="AJ133" s="133" t="n"/>
      <c r="AK133" s="133" t="n"/>
      <c r="AL133" s="133" t="n"/>
      <c r="AM133" s="133" t="n"/>
      <c r="AN133" s="133" t="n"/>
      <c r="AO133" s="133" t="n"/>
      <c r="HB133" s="133" t="n"/>
    </row>
    <row r="134" customFormat="1" s="131">
      <c r="A134" s="171" t="n"/>
      <c r="B134" s="315" t="n"/>
      <c r="C134" s="173" t="n"/>
      <c r="D134" s="174" t="n"/>
      <c r="E134" s="173" t="n"/>
      <c r="F134" s="173" t="n"/>
      <c r="G134" s="173" t="n"/>
      <c r="H134" s="175" t="n"/>
      <c r="I134" s="132" t="n"/>
      <c r="J134" s="161" t="n"/>
      <c r="K134" s="173" t="n"/>
      <c r="L134" s="316" t="n"/>
      <c r="M134" s="316" t="n"/>
      <c r="N134" s="316" t="n"/>
      <c r="O134" s="173" t="n"/>
      <c r="P134" s="317" t="n"/>
      <c r="Q134" s="162" t="n"/>
      <c r="R134" s="133" t="n"/>
      <c r="S134" s="133" t="n"/>
      <c r="T134" s="133" t="n"/>
      <c r="U134" s="133" t="n"/>
      <c r="V134" s="133" t="n"/>
      <c r="W134" s="133" t="n"/>
      <c r="X134" s="133" t="n"/>
      <c r="Y134" s="133" t="n"/>
      <c r="Z134" s="133" t="n"/>
      <c r="AA134" s="133" t="n"/>
      <c r="AB134" s="133" t="n"/>
      <c r="AC134" s="133" t="n"/>
      <c r="AD134" s="133" t="n"/>
      <c r="AE134" s="133" t="n"/>
      <c r="AF134" s="133" t="n"/>
      <c r="AG134" s="133" t="n"/>
      <c r="AH134" s="133" t="n"/>
      <c r="AI134" s="133" t="n"/>
      <c r="AJ134" s="133" t="n"/>
      <c r="AK134" s="133" t="n"/>
      <c r="AL134" s="133" t="n"/>
      <c r="AM134" s="133" t="n"/>
      <c r="AN134" s="133" t="n"/>
      <c r="AO134" s="133" t="n"/>
      <c r="HB134" s="133" t="n"/>
    </row>
    <row r="135" customFormat="1" s="131">
      <c r="A135" s="171" t="n"/>
      <c r="B135" s="315" t="n"/>
      <c r="C135" s="173" t="n"/>
      <c r="D135" s="174" t="n"/>
      <c r="E135" s="173" t="n"/>
      <c r="F135" s="173" t="n"/>
      <c r="G135" s="173" t="n"/>
      <c r="H135" s="175" t="n"/>
      <c r="I135" s="132" t="n"/>
      <c r="J135" s="161" t="n"/>
      <c r="K135" s="173" t="n"/>
      <c r="L135" s="316" t="n"/>
      <c r="M135" s="316" t="n"/>
      <c r="N135" s="316" t="n"/>
      <c r="O135" s="173" t="n"/>
      <c r="P135" s="317" t="n"/>
      <c r="Q135" s="162" t="n"/>
      <c r="R135" s="133" t="n"/>
      <c r="S135" s="133" t="n"/>
      <c r="T135" s="133" t="n"/>
      <c r="U135" s="133" t="n"/>
      <c r="V135" s="133" t="n"/>
      <c r="W135" s="133" t="n"/>
      <c r="X135" s="133" t="n"/>
      <c r="Y135" s="133" t="n"/>
      <c r="Z135" s="133" t="n"/>
      <c r="AA135" s="133" t="n"/>
      <c r="AB135" s="133" t="n"/>
      <c r="AC135" s="133" t="n"/>
      <c r="AD135" s="133" t="n"/>
      <c r="AE135" s="133" t="n"/>
      <c r="AF135" s="133" t="n"/>
      <c r="AG135" s="133" t="n"/>
      <c r="AH135" s="133" t="n"/>
      <c r="AI135" s="133" t="n"/>
      <c r="AJ135" s="133" t="n"/>
      <c r="AK135" s="133" t="n"/>
      <c r="AL135" s="133" t="n"/>
      <c r="AM135" s="133" t="n"/>
      <c r="AN135" s="133" t="n"/>
      <c r="AO135" s="133" t="n"/>
      <c r="HB135" s="133" t="n"/>
    </row>
    <row r="136" customFormat="1" s="131">
      <c r="A136" s="171" t="n"/>
      <c r="B136" s="315" t="n"/>
      <c r="C136" s="173" t="n"/>
      <c r="D136" s="174" t="n"/>
      <c r="E136" s="173" t="n"/>
      <c r="F136" s="173" t="n"/>
      <c r="G136" s="173" t="n"/>
      <c r="H136" s="175" t="n"/>
      <c r="I136" s="132" t="n"/>
      <c r="J136" s="161" t="n"/>
      <c r="K136" s="173" t="n"/>
      <c r="L136" s="316" t="n"/>
      <c r="M136" s="316" t="n"/>
      <c r="N136" s="316" t="n"/>
      <c r="O136" s="173" t="n"/>
      <c r="P136" s="317" t="n"/>
      <c r="Q136" s="162" t="n"/>
      <c r="R136" s="133" t="n"/>
      <c r="S136" s="133" t="n"/>
      <c r="T136" s="133" t="n"/>
      <c r="U136" s="133" t="n"/>
      <c r="V136" s="133" t="n"/>
      <c r="W136" s="133" t="n"/>
      <c r="X136" s="133" t="n"/>
      <c r="Y136" s="133" t="n"/>
      <c r="Z136" s="133" t="n"/>
      <c r="AA136" s="133" t="n"/>
      <c r="AB136" s="133" t="n"/>
      <c r="AC136" s="133" t="n"/>
      <c r="AD136" s="133" t="n"/>
      <c r="AE136" s="133" t="n"/>
      <c r="AF136" s="133" t="n"/>
      <c r="AG136" s="133" t="n"/>
      <c r="AH136" s="133" t="n"/>
      <c r="AI136" s="133" t="n"/>
      <c r="AJ136" s="133" t="n"/>
      <c r="AK136" s="133" t="n"/>
      <c r="AL136" s="133" t="n"/>
      <c r="AM136" s="133" t="n"/>
      <c r="AN136" s="133" t="n"/>
      <c r="AO136" s="133" t="n"/>
      <c r="HB136" s="133" t="n"/>
    </row>
    <row r="137" customFormat="1" s="131">
      <c r="A137" s="171" t="n"/>
      <c r="B137" s="315" t="n"/>
      <c r="C137" s="173" t="n"/>
      <c r="D137" s="174" t="n"/>
      <c r="E137" s="173" t="n"/>
      <c r="F137" s="173" t="n"/>
      <c r="G137" s="173" t="n"/>
      <c r="H137" s="175" t="n"/>
      <c r="I137" s="132" t="n"/>
      <c r="J137" s="161" t="n"/>
      <c r="K137" s="173" t="n"/>
      <c r="L137" s="316" t="n"/>
      <c r="M137" s="316" t="n"/>
      <c r="N137" s="316" t="n"/>
      <c r="O137" s="173" t="n"/>
      <c r="P137" s="317" t="n"/>
      <c r="Q137" s="162" t="n"/>
      <c r="R137" s="133" t="n"/>
      <c r="S137" s="133" t="n"/>
      <c r="T137" s="133" t="n"/>
      <c r="U137" s="133" t="n"/>
      <c r="V137" s="133" t="n"/>
      <c r="W137" s="133" t="n"/>
      <c r="X137" s="133" t="n"/>
      <c r="Y137" s="133" t="n"/>
      <c r="Z137" s="133" t="n"/>
      <c r="AA137" s="133" t="n"/>
      <c r="AB137" s="133" t="n"/>
      <c r="AC137" s="133" t="n"/>
      <c r="AD137" s="133" t="n"/>
      <c r="AE137" s="133" t="n"/>
      <c r="AF137" s="133" t="n"/>
      <c r="AG137" s="133" t="n"/>
      <c r="AH137" s="133" t="n"/>
      <c r="AI137" s="133" t="n"/>
      <c r="AJ137" s="133" t="n"/>
      <c r="AK137" s="133" t="n"/>
      <c r="AL137" s="133" t="n"/>
      <c r="AM137" s="133" t="n"/>
      <c r="AN137" s="133" t="n"/>
      <c r="AO137" s="133" t="n"/>
      <c r="HB137" s="133" t="n"/>
    </row>
    <row r="138" customFormat="1" s="131">
      <c r="A138" s="171" t="n"/>
      <c r="B138" s="315" t="n"/>
      <c r="C138" s="173" t="n"/>
      <c r="D138" s="174" t="n"/>
      <c r="E138" s="173" t="n"/>
      <c r="F138" s="173" t="n"/>
      <c r="G138" s="173" t="n"/>
      <c r="H138" s="175" t="n"/>
      <c r="I138" s="132" t="n"/>
      <c r="J138" s="161" t="n"/>
      <c r="K138" s="173" t="n"/>
      <c r="L138" s="316" t="n"/>
      <c r="M138" s="316" t="n"/>
      <c r="N138" s="316" t="n"/>
      <c r="O138" s="173" t="n"/>
      <c r="P138" s="317" t="n"/>
      <c r="Q138" s="162" t="n"/>
      <c r="R138" s="133" t="n"/>
      <c r="S138" s="133" t="n"/>
      <c r="T138" s="133" t="n"/>
      <c r="U138" s="133" t="n"/>
      <c r="V138" s="133" t="n"/>
      <c r="W138" s="133" t="n"/>
      <c r="X138" s="133" t="n"/>
      <c r="Y138" s="133" t="n"/>
      <c r="Z138" s="133" t="n"/>
      <c r="AA138" s="133" t="n"/>
      <c r="AB138" s="133" t="n"/>
      <c r="AC138" s="133" t="n"/>
      <c r="AD138" s="133" t="n"/>
      <c r="AE138" s="133" t="n"/>
      <c r="AF138" s="133" t="n"/>
      <c r="AG138" s="133" t="n"/>
      <c r="AH138" s="133" t="n"/>
      <c r="AI138" s="133" t="n"/>
      <c r="AJ138" s="133" t="n"/>
      <c r="AK138" s="133" t="n"/>
      <c r="AL138" s="133" t="n"/>
      <c r="AM138" s="133" t="n"/>
      <c r="AN138" s="133" t="n"/>
      <c r="AO138" s="133" t="n"/>
      <c r="HB138" s="133" t="n"/>
    </row>
    <row r="139" customFormat="1" s="131">
      <c r="A139" s="171" t="n"/>
      <c r="B139" s="315" t="n"/>
      <c r="C139" s="173" t="n"/>
      <c r="D139" s="174" t="n"/>
      <c r="E139" s="173" t="n"/>
      <c r="F139" s="173" t="n"/>
      <c r="G139" s="173" t="n"/>
      <c r="H139" s="175" t="n"/>
      <c r="I139" s="132" t="n"/>
      <c r="J139" s="161" t="n"/>
      <c r="K139" s="173" t="n"/>
      <c r="L139" s="316" t="n"/>
      <c r="M139" s="316" t="n"/>
      <c r="N139" s="316" t="n"/>
      <c r="O139" s="173" t="n"/>
      <c r="P139" s="317" t="n"/>
      <c r="Q139" s="162" t="n"/>
      <c r="R139" s="133" t="n"/>
      <c r="S139" s="133" t="n"/>
      <c r="T139" s="133" t="n"/>
      <c r="U139" s="133" t="n"/>
      <c r="V139" s="133" t="n"/>
      <c r="W139" s="133" t="n"/>
      <c r="X139" s="133" t="n"/>
      <c r="Y139" s="133" t="n"/>
      <c r="Z139" s="133" t="n"/>
      <c r="AA139" s="133" t="n"/>
      <c r="AB139" s="133" t="n"/>
      <c r="AC139" s="133" t="n"/>
      <c r="AD139" s="133" t="n"/>
      <c r="AE139" s="133" t="n"/>
      <c r="AF139" s="133" t="n"/>
      <c r="AG139" s="133" t="n"/>
      <c r="AH139" s="133" t="n"/>
      <c r="AI139" s="133" t="n"/>
      <c r="AJ139" s="133" t="n"/>
      <c r="AK139" s="133" t="n"/>
      <c r="AL139" s="133" t="n"/>
      <c r="AM139" s="133" t="n"/>
      <c r="AN139" s="133" t="n"/>
      <c r="AO139" s="133" t="n"/>
      <c r="HB139" s="133" t="n"/>
    </row>
    <row r="140" customFormat="1" s="131">
      <c r="A140" s="171" t="n"/>
      <c r="B140" s="315" t="n"/>
      <c r="C140" s="173" t="n"/>
      <c r="D140" s="174" t="n"/>
      <c r="E140" s="173" t="n"/>
      <c r="F140" s="173" t="n"/>
      <c r="G140" s="173" t="n"/>
      <c r="H140" s="175" t="n"/>
      <c r="I140" s="132" t="n"/>
      <c r="J140" s="161" t="n"/>
      <c r="K140" s="173" t="n"/>
      <c r="L140" s="316" t="n"/>
      <c r="M140" s="316" t="n"/>
      <c r="N140" s="316" t="n"/>
      <c r="O140" s="173" t="n"/>
      <c r="P140" s="317" t="n"/>
      <c r="Q140" s="162" t="n"/>
      <c r="R140" s="133" t="n"/>
      <c r="S140" s="133" t="n"/>
      <c r="T140" s="133" t="n"/>
      <c r="U140" s="133" t="n"/>
      <c r="V140" s="133" t="n"/>
      <c r="W140" s="133" t="n"/>
      <c r="X140" s="133" t="n"/>
      <c r="Y140" s="133" t="n"/>
      <c r="Z140" s="133" t="n"/>
      <c r="AA140" s="133" t="n"/>
      <c r="AB140" s="133" t="n"/>
      <c r="AC140" s="133" t="n"/>
      <c r="AD140" s="133" t="n"/>
      <c r="AE140" s="133" t="n"/>
      <c r="AF140" s="133" t="n"/>
      <c r="AG140" s="133" t="n"/>
      <c r="AH140" s="133" t="n"/>
      <c r="AI140" s="133" t="n"/>
      <c r="AJ140" s="133" t="n"/>
      <c r="AK140" s="133" t="n"/>
      <c r="AL140" s="133" t="n"/>
      <c r="AM140" s="133" t="n"/>
      <c r="AN140" s="133" t="n"/>
      <c r="AO140" s="133" t="n"/>
      <c r="HB140" s="133" t="n"/>
    </row>
    <row r="141" customFormat="1" s="131">
      <c r="A141" s="171" t="n"/>
      <c r="B141" s="315" t="n"/>
      <c r="C141" s="173" t="n"/>
      <c r="D141" s="174" t="n"/>
      <c r="E141" s="173" t="n"/>
      <c r="F141" s="173" t="n"/>
      <c r="G141" s="173" t="n"/>
      <c r="H141" s="175" t="n"/>
      <c r="I141" s="132" t="n"/>
      <c r="J141" s="161" t="n"/>
      <c r="K141" s="173" t="n"/>
      <c r="L141" s="316" t="n"/>
      <c r="M141" s="316" t="n"/>
      <c r="N141" s="316" t="n"/>
      <c r="O141" s="173" t="n"/>
      <c r="P141" s="317" t="n"/>
      <c r="Q141" s="162" t="n"/>
      <c r="R141" s="133" t="n"/>
      <c r="S141" s="133" t="n"/>
      <c r="T141" s="133" t="n"/>
      <c r="U141" s="133" t="n"/>
      <c r="V141" s="133" t="n"/>
      <c r="W141" s="133" t="n"/>
      <c r="X141" s="133" t="n"/>
      <c r="Y141" s="133" t="n"/>
      <c r="Z141" s="133" t="n"/>
      <c r="AA141" s="133" t="n"/>
      <c r="AB141" s="133" t="n"/>
      <c r="AC141" s="133" t="n"/>
      <c r="AD141" s="133" t="n"/>
      <c r="AE141" s="133" t="n"/>
      <c r="AF141" s="133" t="n"/>
      <c r="AG141" s="133" t="n"/>
      <c r="AH141" s="133" t="n"/>
      <c r="AI141" s="133" t="n"/>
      <c r="AJ141" s="133" t="n"/>
      <c r="AK141" s="133" t="n"/>
      <c r="AL141" s="133" t="n"/>
      <c r="AM141" s="133" t="n"/>
      <c r="AN141" s="133" t="n"/>
      <c r="AO141" s="133" t="n"/>
      <c r="HB141" s="133" t="n"/>
    </row>
    <row r="142" customFormat="1" s="131">
      <c r="A142" s="171" t="n"/>
      <c r="B142" s="315" t="n"/>
      <c r="C142" s="173" t="n"/>
      <c r="D142" s="174" t="n"/>
      <c r="E142" s="173" t="n"/>
      <c r="F142" s="173" t="n"/>
      <c r="G142" s="173" t="n"/>
      <c r="H142" s="175" t="n"/>
      <c r="I142" s="132" t="n"/>
      <c r="J142" s="161" t="n"/>
      <c r="K142" s="173" t="n"/>
      <c r="L142" s="316" t="n"/>
      <c r="M142" s="316" t="n"/>
      <c r="N142" s="316" t="n"/>
      <c r="O142" s="173" t="n"/>
      <c r="P142" s="317" t="n"/>
      <c r="Q142" s="162" t="n"/>
      <c r="R142" s="133" t="n"/>
      <c r="S142" s="133" t="n"/>
      <c r="T142" s="133" t="n"/>
      <c r="U142" s="133" t="n"/>
      <c r="V142" s="133" t="n"/>
      <c r="W142" s="133" t="n"/>
      <c r="X142" s="133" t="n"/>
      <c r="Y142" s="133" t="n"/>
      <c r="Z142" s="133" t="n"/>
      <c r="AA142" s="133" t="n"/>
      <c r="AB142" s="133" t="n"/>
      <c r="AC142" s="133" t="n"/>
      <c r="AD142" s="133" t="n"/>
      <c r="AE142" s="133" t="n"/>
      <c r="AF142" s="133" t="n"/>
      <c r="AG142" s="133" t="n"/>
      <c r="AH142" s="133" t="n"/>
      <c r="AI142" s="133" t="n"/>
      <c r="AJ142" s="133" t="n"/>
      <c r="AK142" s="133" t="n"/>
      <c r="AL142" s="133" t="n"/>
      <c r="AM142" s="133" t="n"/>
      <c r="AN142" s="133" t="n"/>
      <c r="AO142" s="133" t="n"/>
      <c r="HB142" s="133" t="n"/>
    </row>
    <row r="143" customFormat="1" s="131">
      <c r="A143" s="171" t="n"/>
      <c r="B143" s="315" t="n"/>
      <c r="C143" s="173" t="n"/>
      <c r="D143" s="174" t="n"/>
      <c r="E143" s="173" t="n"/>
      <c r="F143" s="173" t="n"/>
      <c r="G143" s="173" t="n"/>
      <c r="H143" s="175" t="n"/>
      <c r="I143" s="132" t="n"/>
      <c r="J143" s="161" t="n"/>
      <c r="K143" s="173" t="n"/>
      <c r="L143" s="316" t="n"/>
      <c r="M143" s="316" t="n"/>
      <c r="N143" s="316" t="n"/>
      <c r="O143" s="173" t="n"/>
      <c r="P143" s="317" t="n"/>
      <c r="Q143" s="162" t="n"/>
      <c r="R143" s="133" t="n"/>
      <c r="S143" s="133" t="n"/>
      <c r="T143" s="133" t="n"/>
      <c r="U143" s="133" t="n"/>
      <c r="V143" s="133" t="n"/>
      <c r="W143" s="133" t="n"/>
      <c r="X143" s="133" t="n"/>
      <c r="Y143" s="133" t="n"/>
      <c r="Z143" s="133" t="n"/>
      <c r="AA143" s="133" t="n"/>
      <c r="AB143" s="133" t="n"/>
      <c r="AC143" s="133" t="n"/>
      <c r="AD143" s="133" t="n"/>
      <c r="AE143" s="133" t="n"/>
      <c r="AF143" s="133" t="n"/>
      <c r="AG143" s="133" t="n"/>
      <c r="AH143" s="133" t="n"/>
      <c r="AI143" s="133" t="n"/>
      <c r="AJ143" s="133" t="n"/>
      <c r="AK143" s="133" t="n"/>
      <c r="AL143" s="133" t="n"/>
      <c r="AM143" s="133" t="n"/>
      <c r="AN143" s="133" t="n"/>
      <c r="AO143" s="133" t="n"/>
      <c r="HB143" s="133" t="n"/>
    </row>
    <row r="144" customFormat="1" s="131">
      <c r="A144" s="171" t="n"/>
      <c r="B144" s="315" t="n"/>
      <c r="C144" s="173" t="n"/>
      <c r="D144" s="174" t="n"/>
      <c r="E144" s="173" t="n"/>
      <c r="F144" s="173" t="n"/>
      <c r="G144" s="173" t="n"/>
      <c r="H144" s="175" t="n"/>
      <c r="I144" s="132" t="n"/>
      <c r="J144" s="161" t="n"/>
      <c r="K144" s="173" t="n"/>
      <c r="L144" s="316" t="n"/>
      <c r="M144" s="316" t="n"/>
      <c r="N144" s="316" t="n"/>
      <c r="O144" s="173" t="n"/>
      <c r="P144" s="317" t="n"/>
      <c r="Q144" s="162" t="n"/>
      <c r="R144" s="133" t="n"/>
      <c r="S144" s="133" t="n"/>
      <c r="T144" s="133" t="n"/>
      <c r="U144" s="133" t="n"/>
      <c r="V144" s="133" t="n"/>
      <c r="W144" s="133" t="n"/>
      <c r="X144" s="133" t="n"/>
      <c r="Y144" s="133" t="n"/>
      <c r="Z144" s="133" t="n"/>
      <c r="AA144" s="133" t="n"/>
      <c r="AB144" s="133" t="n"/>
      <c r="AC144" s="133" t="n"/>
      <c r="AD144" s="133" t="n"/>
      <c r="AE144" s="133" t="n"/>
      <c r="AF144" s="133" t="n"/>
      <c r="AG144" s="133" t="n"/>
      <c r="AH144" s="133" t="n"/>
      <c r="AI144" s="133" t="n"/>
      <c r="AJ144" s="133" t="n"/>
      <c r="AK144" s="133" t="n"/>
      <c r="AL144" s="133" t="n"/>
      <c r="AM144" s="133" t="n"/>
      <c r="AN144" s="133" t="n"/>
      <c r="AO144" s="133" t="n"/>
      <c r="HB144" s="133" t="n"/>
    </row>
    <row r="145" customFormat="1" s="131">
      <c r="A145" s="171" t="n"/>
      <c r="B145" s="315" t="n"/>
      <c r="C145" s="173" t="n"/>
      <c r="D145" s="174" t="n"/>
      <c r="E145" s="173" t="n"/>
      <c r="F145" s="173" t="n"/>
      <c r="G145" s="173" t="n"/>
      <c r="H145" s="175" t="n"/>
      <c r="I145" s="132" t="n"/>
      <c r="J145" s="161" t="n"/>
      <c r="K145" s="173" t="n"/>
      <c r="L145" s="316" t="n"/>
      <c r="M145" s="316" t="n"/>
      <c r="N145" s="316" t="n"/>
      <c r="O145" s="173" t="n"/>
      <c r="P145" s="317" t="n"/>
      <c r="Q145" s="162" t="n"/>
      <c r="R145" s="133" t="n"/>
      <c r="S145" s="133" t="n"/>
      <c r="T145" s="133" t="n"/>
      <c r="U145" s="133" t="n"/>
      <c r="V145" s="133" t="n"/>
      <c r="W145" s="133" t="n"/>
      <c r="X145" s="133" t="n"/>
      <c r="Y145" s="133" t="n"/>
      <c r="Z145" s="133" t="n"/>
      <c r="AA145" s="133" t="n"/>
      <c r="AB145" s="133" t="n"/>
      <c r="AC145" s="133" t="n"/>
      <c r="AD145" s="133" t="n"/>
      <c r="AE145" s="133" t="n"/>
      <c r="AF145" s="133" t="n"/>
      <c r="AG145" s="133" t="n"/>
      <c r="AH145" s="133" t="n"/>
      <c r="AI145" s="133" t="n"/>
      <c r="AJ145" s="133" t="n"/>
      <c r="AK145" s="133" t="n"/>
      <c r="AL145" s="133" t="n"/>
      <c r="AM145" s="133" t="n"/>
      <c r="AN145" s="133" t="n"/>
      <c r="AO145" s="133" t="n"/>
      <c r="HB145" s="133" t="n"/>
    </row>
    <row r="146" customFormat="1" s="131">
      <c r="A146" s="171" t="n"/>
      <c r="B146" s="315" t="n"/>
      <c r="C146" s="173" t="n"/>
      <c r="D146" s="174" t="n"/>
      <c r="E146" s="173" t="n"/>
      <c r="F146" s="173" t="n"/>
      <c r="G146" s="173" t="n"/>
      <c r="H146" s="175" t="n"/>
      <c r="I146" s="132" t="n"/>
      <c r="J146" s="161" t="n"/>
      <c r="K146" s="173" t="n"/>
      <c r="L146" s="316" t="n"/>
      <c r="M146" s="316" t="n"/>
      <c r="N146" s="316" t="n"/>
      <c r="O146" s="173" t="n"/>
      <c r="P146" s="317" t="n"/>
      <c r="Q146" s="162" t="n"/>
      <c r="R146" s="133" t="n"/>
      <c r="S146" s="133" t="n"/>
      <c r="T146" s="133" t="n"/>
      <c r="U146" s="133" t="n"/>
      <c r="V146" s="133" t="n"/>
      <c r="W146" s="133" t="n"/>
      <c r="X146" s="133" t="n"/>
      <c r="Y146" s="133" t="n"/>
      <c r="Z146" s="133" t="n"/>
      <c r="AA146" s="133" t="n"/>
      <c r="AB146" s="133" t="n"/>
      <c r="AC146" s="133" t="n"/>
      <c r="AD146" s="133" t="n"/>
      <c r="AE146" s="133" t="n"/>
      <c r="AF146" s="133" t="n"/>
      <c r="AG146" s="133" t="n"/>
      <c r="AH146" s="133" t="n"/>
      <c r="AI146" s="133" t="n"/>
      <c r="AJ146" s="133" t="n"/>
      <c r="AK146" s="133" t="n"/>
      <c r="AL146" s="133" t="n"/>
      <c r="AM146" s="133" t="n"/>
      <c r="AN146" s="133" t="n"/>
      <c r="AO146" s="133" t="n"/>
      <c r="HB146" s="133" t="n"/>
    </row>
    <row r="147" customFormat="1" s="131">
      <c r="A147" s="171" t="n"/>
      <c r="B147" s="315" t="n"/>
      <c r="C147" s="173" t="n"/>
      <c r="D147" s="174" t="n"/>
      <c r="E147" s="173" t="n"/>
      <c r="F147" s="173" t="n"/>
      <c r="G147" s="173" t="n"/>
      <c r="H147" s="175" t="n"/>
      <c r="I147" s="132" t="n"/>
      <c r="J147" s="161" t="n"/>
      <c r="K147" s="173" t="n"/>
      <c r="L147" s="316" t="n"/>
      <c r="M147" s="316" t="n"/>
      <c r="N147" s="316" t="n"/>
      <c r="O147" s="173" t="n"/>
      <c r="P147" s="317" t="n"/>
      <c r="Q147" s="162" t="n"/>
      <c r="R147" s="133" t="n"/>
      <c r="S147" s="133" t="n"/>
      <c r="T147" s="133" t="n"/>
      <c r="U147" s="133" t="n"/>
      <c r="V147" s="133" t="n"/>
      <c r="W147" s="133" t="n"/>
      <c r="X147" s="133" t="n"/>
      <c r="Y147" s="133" t="n"/>
      <c r="Z147" s="133" t="n"/>
      <c r="AA147" s="133" t="n"/>
      <c r="AB147" s="133" t="n"/>
      <c r="AC147" s="133" t="n"/>
      <c r="AD147" s="133" t="n"/>
      <c r="AE147" s="133" t="n"/>
      <c r="AF147" s="133" t="n"/>
      <c r="AG147" s="133" t="n"/>
      <c r="AH147" s="133" t="n"/>
      <c r="AI147" s="133" t="n"/>
      <c r="AJ147" s="133" t="n"/>
      <c r="AK147" s="133" t="n"/>
      <c r="AL147" s="133" t="n"/>
      <c r="AM147" s="133" t="n"/>
      <c r="AN147" s="133" t="n"/>
      <c r="AO147" s="133" t="n"/>
      <c r="HB147" s="133" t="n"/>
    </row>
    <row r="148" customFormat="1" s="131">
      <c r="A148" s="171" t="n"/>
      <c r="B148" s="315" t="n"/>
      <c r="C148" s="173" t="n"/>
      <c r="D148" s="174" t="n"/>
      <c r="E148" s="173" t="n"/>
      <c r="F148" s="173" t="n"/>
      <c r="G148" s="173" t="n"/>
      <c r="H148" s="175" t="n"/>
      <c r="I148" s="132" t="n"/>
      <c r="J148" s="161" t="n"/>
      <c r="K148" s="173" t="n"/>
      <c r="L148" s="316" t="n"/>
      <c r="M148" s="316" t="n"/>
      <c r="N148" s="316" t="n"/>
      <c r="O148" s="173" t="n"/>
      <c r="P148" s="317" t="n"/>
      <c r="Q148" s="162" t="n"/>
      <c r="R148" s="133" t="n"/>
      <c r="S148" s="133" t="n"/>
      <c r="T148" s="133" t="n"/>
      <c r="U148" s="133" t="n"/>
      <c r="V148" s="133" t="n"/>
      <c r="W148" s="133" t="n"/>
      <c r="X148" s="133" t="n"/>
      <c r="Y148" s="133" t="n"/>
      <c r="Z148" s="133" t="n"/>
      <c r="AA148" s="133" t="n"/>
      <c r="AB148" s="133" t="n"/>
      <c r="AC148" s="133" t="n"/>
      <c r="AD148" s="133" t="n"/>
      <c r="AE148" s="133" t="n"/>
      <c r="AF148" s="133" t="n"/>
      <c r="AG148" s="133" t="n"/>
      <c r="AH148" s="133" t="n"/>
      <c r="AI148" s="133" t="n"/>
      <c r="AJ148" s="133" t="n"/>
      <c r="AK148" s="133" t="n"/>
      <c r="AL148" s="133" t="n"/>
      <c r="AM148" s="133" t="n"/>
      <c r="AN148" s="133" t="n"/>
      <c r="AO148" s="133" t="n"/>
      <c r="HB148" s="133" t="n"/>
    </row>
    <row r="149" customFormat="1" s="131">
      <c r="A149" s="171" t="n"/>
      <c r="B149" s="315" t="n"/>
      <c r="C149" s="173" t="n"/>
      <c r="D149" s="174" t="n"/>
      <c r="E149" s="173" t="n"/>
      <c r="F149" s="173" t="n"/>
      <c r="G149" s="173" t="n"/>
      <c r="H149" s="175" t="n"/>
      <c r="I149" s="132" t="n"/>
      <c r="J149" s="161" t="n"/>
      <c r="K149" s="173" t="n"/>
      <c r="L149" s="316" t="n"/>
      <c r="M149" s="316" t="n"/>
      <c r="N149" s="316" t="n"/>
      <c r="O149" s="173" t="n"/>
      <c r="P149" s="317" t="n"/>
      <c r="Q149" s="162" t="n"/>
      <c r="R149" s="133" t="n"/>
      <c r="S149" s="133" t="n"/>
      <c r="T149" s="133" t="n"/>
      <c r="U149" s="133" t="n"/>
      <c r="V149" s="133" t="n"/>
      <c r="W149" s="133" t="n"/>
      <c r="X149" s="133" t="n"/>
      <c r="Y149" s="133" t="n"/>
      <c r="Z149" s="133" t="n"/>
      <c r="AA149" s="133" t="n"/>
      <c r="AB149" s="133" t="n"/>
      <c r="AC149" s="133" t="n"/>
      <c r="AD149" s="133" t="n"/>
      <c r="AE149" s="133" t="n"/>
      <c r="AF149" s="133" t="n"/>
      <c r="AG149" s="133" t="n"/>
      <c r="AH149" s="133" t="n"/>
      <c r="AI149" s="133" t="n"/>
      <c r="AJ149" s="133" t="n"/>
      <c r="AK149" s="133" t="n"/>
      <c r="AL149" s="133" t="n"/>
      <c r="AM149" s="133" t="n"/>
      <c r="AN149" s="133" t="n"/>
      <c r="AO149" s="133" t="n"/>
      <c r="HB149" s="133" t="n"/>
    </row>
    <row r="150" customFormat="1" s="131">
      <c r="A150" s="171" t="n"/>
      <c r="B150" s="315" t="n"/>
      <c r="C150" s="173" t="n"/>
      <c r="D150" s="174" t="n"/>
      <c r="E150" s="173" t="n"/>
      <c r="F150" s="173" t="n"/>
      <c r="G150" s="173" t="n"/>
      <c r="H150" s="175" t="n"/>
      <c r="I150" s="132" t="n"/>
      <c r="J150" s="161" t="n"/>
      <c r="K150" s="173" t="n"/>
      <c r="L150" s="316" t="n"/>
      <c r="M150" s="316" t="n"/>
      <c r="N150" s="316" t="n"/>
      <c r="O150" s="173" t="n"/>
      <c r="P150" s="317" t="n"/>
      <c r="Q150" s="162" t="n"/>
      <c r="R150" s="133" t="n"/>
      <c r="S150" s="133" t="n"/>
      <c r="T150" s="133" t="n"/>
      <c r="U150" s="133" t="n"/>
      <c r="V150" s="133" t="n"/>
      <c r="W150" s="133" t="n"/>
      <c r="X150" s="133" t="n"/>
      <c r="Y150" s="133" t="n"/>
      <c r="Z150" s="133" t="n"/>
      <c r="AA150" s="133" t="n"/>
      <c r="AB150" s="133" t="n"/>
      <c r="AC150" s="133" t="n"/>
      <c r="AD150" s="133" t="n"/>
      <c r="AE150" s="133" t="n"/>
      <c r="AF150" s="133" t="n"/>
      <c r="AG150" s="133" t="n"/>
      <c r="AH150" s="133" t="n"/>
      <c r="AI150" s="133" t="n"/>
      <c r="AJ150" s="133" t="n"/>
      <c r="AK150" s="133" t="n"/>
      <c r="AL150" s="133" t="n"/>
      <c r="AM150" s="133" t="n"/>
      <c r="AN150" s="133" t="n"/>
      <c r="AO150" s="133" t="n"/>
      <c r="HB150" s="133" t="n"/>
    </row>
    <row r="151" customFormat="1" s="131">
      <c r="A151" s="171" t="n"/>
      <c r="B151" s="315" t="n"/>
      <c r="C151" s="173" t="n"/>
      <c r="D151" s="174" t="n"/>
      <c r="E151" s="173" t="n"/>
      <c r="F151" s="173" t="n"/>
      <c r="G151" s="173" t="n"/>
      <c r="H151" s="175" t="n"/>
      <c r="I151" s="132" t="n"/>
      <c r="J151" s="161" t="n"/>
      <c r="K151" s="173" t="n"/>
      <c r="L151" s="316" t="n"/>
      <c r="M151" s="316" t="n"/>
      <c r="N151" s="316" t="n"/>
      <c r="O151" s="173" t="n"/>
      <c r="P151" s="317" t="n"/>
      <c r="Q151" s="162" t="n"/>
      <c r="R151" s="133" t="n"/>
      <c r="S151" s="133" t="n"/>
      <c r="T151" s="133" t="n"/>
      <c r="U151" s="133" t="n"/>
      <c r="V151" s="133" t="n"/>
      <c r="W151" s="133" t="n"/>
      <c r="X151" s="133" t="n"/>
      <c r="Y151" s="133" t="n"/>
      <c r="Z151" s="133" t="n"/>
      <c r="AA151" s="133" t="n"/>
      <c r="AB151" s="133" t="n"/>
      <c r="AC151" s="133" t="n"/>
      <c r="AD151" s="133" t="n"/>
      <c r="AE151" s="133" t="n"/>
      <c r="AF151" s="133" t="n"/>
      <c r="AG151" s="133" t="n"/>
      <c r="AH151" s="133" t="n"/>
      <c r="AI151" s="133" t="n"/>
      <c r="AJ151" s="133" t="n"/>
      <c r="AK151" s="133" t="n"/>
      <c r="AL151" s="133" t="n"/>
      <c r="AM151" s="133" t="n"/>
      <c r="AN151" s="133" t="n"/>
      <c r="AO151" s="133" t="n"/>
      <c r="HB151" s="133" t="n"/>
    </row>
    <row r="152" customFormat="1" s="131">
      <c r="A152" s="171" t="n"/>
      <c r="B152" s="315" t="n"/>
      <c r="C152" s="173" t="n"/>
      <c r="D152" s="174" t="n"/>
      <c r="E152" s="173" t="n"/>
      <c r="F152" s="173" t="n"/>
      <c r="G152" s="173" t="n"/>
      <c r="H152" s="175" t="n"/>
      <c r="I152" s="132" t="n"/>
      <c r="J152" s="161" t="n"/>
      <c r="K152" s="173" t="n"/>
      <c r="L152" s="316" t="n"/>
      <c r="M152" s="316" t="n"/>
      <c r="N152" s="316" t="n"/>
      <c r="O152" s="173" t="n"/>
      <c r="P152" s="317" t="n"/>
      <c r="Q152" s="162" t="n"/>
      <c r="R152" s="133" t="n"/>
      <c r="S152" s="133" t="n"/>
      <c r="T152" s="133" t="n"/>
      <c r="U152" s="133" t="n"/>
      <c r="V152" s="133" t="n"/>
      <c r="W152" s="133" t="n"/>
      <c r="X152" s="133" t="n"/>
      <c r="Y152" s="133" t="n"/>
      <c r="Z152" s="133" t="n"/>
      <c r="AA152" s="133" t="n"/>
      <c r="AB152" s="133" t="n"/>
      <c r="AC152" s="133" t="n"/>
      <c r="AD152" s="133" t="n"/>
      <c r="AE152" s="133" t="n"/>
      <c r="AF152" s="133" t="n"/>
      <c r="AG152" s="133" t="n"/>
      <c r="AH152" s="133" t="n"/>
      <c r="AI152" s="133" t="n"/>
      <c r="AJ152" s="133" t="n"/>
      <c r="AK152" s="133" t="n"/>
      <c r="AL152" s="133" t="n"/>
      <c r="AM152" s="133" t="n"/>
      <c r="AN152" s="133" t="n"/>
      <c r="AO152" s="133" t="n"/>
      <c r="HB152" s="133" t="n"/>
    </row>
    <row r="153" customFormat="1" s="131">
      <c r="A153" s="171" t="n"/>
      <c r="B153" s="315" t="n"/>
      <c r="C153" s="173" t="n"/>
      <c r="D153" s="174" t="n"/>
      <c r="E153" s="173" t="n"/>
      <c r="F153" s="173" t="n"/>
      <c r="G153" s="173" t="n"/>
      <c r="H153" s="175" t="n"/>
      <c r="I153" s="132" t="n"/>
      <c r="J153" s="161" t="n"/>
      <c r="K153" s="173" t="n"/>
      <c r="L153" s="316" t="n"/>
      <c r="M153" s="316" t="n"/>
      <c r="N153" s="316" t="n"/>
      <c r="O153" s="173" t="n"/>
      <c r="P153" s="317" t="n"/>
      <c r="Q153" s="162" t="n"/>
      <c r="R153" s="133" t="n"/>
      <c r="S153" s="133" t="n"/>
      <c r="T153" s="133" t="n"/>
      <c r="U153" s="133" t="n"/>
      <c r="V153" s="133" t="n"/>
      <c r="W153" s="133" t="n"/>
      <c r="X153" s="133" t="n"/>
      <c r="Y153" s="133" t="n"/>
      <c r="Z153" s="133" t="n"/>
      <c r="AA153" s="133" t="n"/>
      <c r="AB153" s="133" t="n"/>
      <c r="AC153" s="133" t="n"/>
      <c r="AD153" s="133" t="n"/>
      <c r="AE153" s="133" t="n"/>
      <c r="AF153" s="133" t="n"/>
      <c r="AG153" s="133" t="n"/>
      <c r="AH153" s="133" t="n"/>
      <c r="AI153" s="133" t="n"/>
      <c r="AJ153" s="133" t="n"/>
      <c r="AK153" s="133" t="n"/>
      <c r="AL153" s="133" t="n"/>
      <c r="AM153" s="133" t="n"/>
      <c r="AN153" s="133" t="n"/>
      <c r="AO153" s="133" t="n"/>
      <c r="HB153" s="133" t="n"/>
    </row>
    <row r="154" customFormat="1" s="131">
      <c r="A154" s="171" t="n"/>
      <c r="B154" s="315" t="n"/>
      <c r="C154" s="173" t="n"/>
      <c r="D154" s="174" t="n"/>
      <c r="E154" s="173" t="n"/>
      <c r="F154" s="173" t="n"/>
      <c r="G154" s="173" t="n"/>
      <c r="H154" s="175" t="n"/>
      <c r="I154" s="132" t="n"/>
      <c r="J154" s="161" t="n"/>
      <c r="K154" s="173" t="n"/>
      <c r="L154" s="316" t="n"/>
      <c r="M154" s="316" t="n"/>
      <c r="N154" s="316" t="n"/>
      <c r="O154" s="173" t="n"/>
      <c r="P154" s="317" t="n"/>
      <c r="Q154" s="162" t="n"/>
      <c r="R154" s="133" t="n"/>
      <c r="S154" s="133" t="n"/>
      <c r="T154" s="133" t="n"/>
      <c r="U154" s="133" t="n"/>
      <c r="V154" s="133" t="n"/>
      <c r="W154" s="133" t="n"/>
      <c r="X154" s="133" t="n"/>
      <c r="Y154" s="133" t="n"/>
      <c r="Z154" s="133" t="n"/>
      <c r="AA154" s="133" t="n"/>
      <c r="AB154" s="133" t="n"/>
      <c r="AC154" s="133" t="n"/>
      <c r="AD154" s="133" t="n"/>
      <c r="AE154" s="133" t="n"/>
      <c r="AF154" s="133" t="n"/>
      <c r="AG154" s="133" t="n"/>
      <c r="AH154" s="133" t="n"/>
      <c r="AI154" s="133" t="n"/>
      <c r="AJ154" s="133" t="n"/>
      <c r="AK154" s="133" t="n"/>
      <c r="AL154" s="133" t="n"/>
      <c r="AM154" s="133" t="n"/>
      <c r="AN154" s="133" t="n"/>
      <c r="AO154" s="133" t="n"/>
      <c r="HB154" s="133" t="n"/>
    </row>
    <row r="155" customFormat="1" s="131">
      <c r="A155" s="171" t="n"/>
      <c r="B155" s="315" t="n"/>
      <c r="C155" s="173" t="n"/>
      <c r="D155" s="174" t="n"/>
      <c r="E155" s="173" t="n"/>
      <c r="F155" s="173" t="n"/>
      <c r="G155" s="173" t="n"/>
      <c r="H155" s="175" t="n"/>
      <c r="I155" s="132" t="n"/>
      <c r="J155" s="161" t="n"/>
      <c r="K155" s="173" t="n"/>
      <c r="L155" s="316" t="n"/>
      <c r="M155" s="316" t="n"/>
      <c r="N155" s="316" t="n"/>
      <c r="O155" s="173" t="n"/>
      <c r="P155" s="317" t="n"/>
      <c r="Q155" s="162" t="n"/>
      <c r="R155" s="133" t="n"/>
      <c r="S155" s="133" t="n"/>
      <c r="T155" s="133" t="n"/>
      <c r="U155" s="133" t="n"/>
      <c r="V155" s="133" t="n"/>
      <c r="W155" s="133" t="n"/>
      <c r="X155" s="133" t="n"/>
      <c r="Y155" s="133" t="n"/>
      <c r="Z155" s="133" t="n"/>
      <c r="AA155" s="133" t="n"/>
      <c r="AB155" s="133" t="n"/>
      <c r="AC155" s="133" t="n"/>
      <c r="AD155" s="133" t="n"/>
      <c r="AE155" s="133" t="n"/>
      <c r="AF155" s="133" t="n"/>
      <c r="AG155" s="133" t="n"/>
      <c r="AH155" s="133" t="n"/>
      <c r="AI155" s="133" t="n"/>
      <c r="AJ155" s="133" t="n"/>
      <c r="AK155" s="133" t="n"/>
      <c r="AL155" s="133" t="n"/>
      <c r="AM155" s="133" t="n"/>
      <c r="AN155" s="133" t="n"/>
      <c r="AO155" s="133" t="n"/>
      <c r="HB155" s="133" t="n"/>
    </row>
    <row r="156" customFormat="1" s="131">
      <c r="A156" s="171" t="n"/>
      <c r="B156" s="315" t="n"/>
      <c r="C156" s="173" t="n"/>
      <c r="D156" s="174" t="n"/>
      <c r="E156" s="173" t="n"/>
      <c r="F156" s="173" t="n"/>
      <c r="G156" s="173" t="n"/>
      <c r="H156" s="175" t="n"/>
      <c r="I156" s="132" t="n"/>
      <c r="J156" s="161" t="n"/>
      <c r="K156" s="173" t="n"/>
      <c r="L156" s="316" t="n"/>
      <c r="M156" s="316" t="n"/>
      <c r="N156" s="316" t="n"/>
      <c r="O156" s="173" t="n"/>
      <c r="P156" s="317" t="n"/>
      <c r="Q156" s="162" t="n"/>
      <c r="R156" s="133" t="n"/>
      <c r="S156" s="133" t="n"/>
      <c r="T156" s="133" t="n"/>
      <c r="U156" s="133" t="n"/>
      <c r="V156" s="133" t="n"/>
      <c r="W156" s="133" t="n"/>
      <c r="X156" s="133" t="n"/>
      <c r="Y156" s="133" t="n"/>
      <c r="Z156" s="133" t="n"/>
      <c r="AA156" s="133" t="n"/>
      <c r="AB156" s="133" t="n"/>
      <c r="AC156" s="133" t="n"/>
      <c r="AD156" s="133" t="n"/>
      <c r="AE156" s="133" t="n"/>
      <c r="AF156" s="133" t="n"/>
      <c r="AG156" s="133" t="n"/>
      <c r="AH156" s="133" t="n"/>
      <c r="AI156" s="133" t="n"/>
      <c r="AJ156" s="133" t="n"/>
      <c r="AK156" s="133" t="n"/>
      <c r="AL156" s="133" t="n"/>
      <c r="AM156" s="133" t="n"/>
      <c r="AN156" s="133" t="n"/>
      <c r="AO156" s="133" t="n"/>
      <c r="HB156" s="133" t="n"/>
    </row>
    <row r="157" customFormat="1" s="131">
      <c r="A157" s="171" t="n"/>
      <c r="B157" s="315" t="n"/>
      <c r="C157" s="173" t="n"/>
      <c r="D157" s="174" t="n"/>
      <c r="E157" s="173" t="n"/>
      <c r="F157" s="173" t="n"/>
      <c r="G157" s="173" t="n"/>
      <c r="H157" s="175" t="n"/>
      <c r="I157" s="132" t="n"/>
      <c r="J157" s="161" t="n"/>
      <c r="K157" s="173" t="n"/>
      <c r="L157" s="316" t="n"/>
      <c r="M157" s="316" t="n"/>
      <c r="N157" s="316" t="n"/>
      <c r="O157" s="173" t="n"/>
      <c r="P157" s="317" t="n"/>
      <c r="Q157" s="162" t="n"/>
      <c r="R157" s="133" t="n"/>
      <c r="S157" s="133" t="n"/>
      <c r="T157" s="133" t="n"/>
      <c r="U157" s="133" t="n"/>
      <c r="V157" s="133" t="n"/>
      <c r="W157" s="133" t="n"/>
      <c r="X157" s="133" t="n"/>
      <c r="Y157" s="133" t="n"/>
      <c r="Z157" s="133" t="n"/>
      <c r="AA157" s="133" t="n"/>
      <c r="AB157" s="133" t="n"/>
      <c r="AC157" s="133" t="n"/>
      <c r="AD157" s="133" t="n"/>
      <c r="AE157" s="133" t="n"/>
      <c r="AF157" s="133" t="n"/>
      <c r="AG157" s="133" t="n"/>
      <c r="AH157" s="133" t="n"/>
      <c r="AI157" s="133" t="n"/>
      <c r="AJ157" s="133" t="n"/>
      <c r="AK157" s="133" t="n"/>
      <c r="AL157" s="133" t="n"/>
      <c r="AM157" s="133" t="n"/>
      <c r="AN157" s="133" t="n"/>
      <c r="AO157" s="133" t="n"/>
      <c r="HB157" s="133" t="n"/>
    </row>
    <row r="158" customFormat="1" s="131">
      <c r="A158" s="171" t="n"/>
      <c r="B158" s="315" t="n"/>
      <c r="C158" s="173" t="n"/>
      <c r="D158" s="174" t="n"/>
      <c r="E158" s="173" t="n"/>
      <c r="F158" s="173" t="n"/>
      <c r="G158" s="173" t="n"/>
      <c r="H158" s="175" t="n"/>
      <c r="I158" s="132" t="n"/>
      <c r="J158" s="161" t="n"/>
      <c r="K158" s="173" t="n"/>
      <c r="L158" s="316" t="n"/>
      <c r="M158" s="316" t="n"/>
      <c r="N158" s="316" t="n"/>
      <c r="O158" s="173" t="n"/>
      <c r="P158" s="317" t="n"/>
      <c r="Q158" s="162" t="n"/>
      <c r="R158" s="133" t="n"/>
      <c r="S158" s="133" t="n"/>
      <c r="T158" s="133" t="n"/>
      <c r="U158" s="133" t="n"/>
      <c r="V158" s="133" t="n"/>
      <c r="W158" s="133" t="n"/>
      <c r="X158" s="133" t="n"/>
      <c r="Y158" s="133" t="n"/>
      <c r="Z158" s="133" t="n"/>
      <c r="AA158" s="133" t="n"/>
      <c r="AB158" s="133" t="n"/>
      <c r="AC158" s="133" t="n"/>
      <c r="AD158" s="133" t="n"/>
      <c r="AE158" s="133" t="n"/>
      <c r="AF158" s="133" t="n"/>
      <c r="AG158" s="133" t="n"/>
      <c r="AH158" s="133" t="n"/>
      <c r="AI158" s="133" t="n"/>
      <c r="AJ158" s="133" t="n"/>
      <c r="AK158" s="133" t="n"/>
      <c r="AL158" s="133" t="n"/>
      <c r="AM158" s="133" t="n"/>
      <c r="AN158" s="133" t="n"/>
      <c r="AO158" s="133" t="n"/>
      <c r="HB158" s="133" t="n"/>
    </row>
    <row r="159" customFormat="1" s="131">
      <c r="A159" s="171" t="n"/>
      <c r="B159" s="315" t="n"/>
      <c r="C159" s="173" t="n"/>
      <c r="D159" s="174" t="n"/>
      <c r="E159" s="173" t="n"/>
      <c r="F159" s="173" t="n"/>
      <c r="G159" s="173" t="n"/>
      <c r="H159" s="175" t="n"/>
      <c r="I159" s="132" t="n"/>
      <c r="J159" s="161" t="n"/>
      <c r="K159" s="173" t="n"/>
      <c r="L159" s="316" t="n"/>
      <c r="M159" s="316" t="n"/>
      <c r="N159" s="316" t="n"/>
      <c r="O159" s="173" t="n"/>
      <c r="P159" s="317" t="n"/>
      <c r="Q159" s="162" t="n"/>
      <c r="R159" s="133" t="n"/>
      <c r="S159" s="133" t="n"/>
      <c r="T159" s="133" t="n"/>
      <c r="U159" s="133" t="n"/>
      <c r="V159" s="133" t="n"/>
      <c r="W159" s="133" t="n"/>
      <c r="X159" s="133" t="n"/>
      <c r="Y159" s="133" t="n"/>
      <c r="Z159" s="133" t="n"/>
      <c r="AA159" s="133" t="n"/>
      <c r="AB159" s="133" t="n"/>
      <c r="AC159" s="133" t="n"/>
      <c r="AD159" s="133" t="n"/>
      <c r="AE159" s="133" t="n"/>
      <c r="AF159" s="133" t="n"/>
      <c r="AG159" s="133" t="n"/>
      <c r="AH159" s="133" t="n"/>
      <c r="AI159" s="133" t="n"/>
      <c r="AJ159" s="133" t="n"/>
      <c r="AK159" s="133" t="n"/>
      <c r="AL159" s="133" t="n"/>
      <c r="AM159" s="133" t="n"/>
      <c r="AN159" s="133" t="n"/>
      <c r="AO159" s="133" t="n"/>
      <c r="HB159" s="133" t="n"/>
    </row>
    <row r="160" customFormat="1" s="131">
      <c r="A160" s="171" t="n"/>
      <c r="B160" s="315" t="n"/>
      <c r="C160" s="173" t="n"/>
      <c r="D160" s="174" t="n"/>
      <c r="E160" s="173" t="n"/>
      <c r="F160" s="173" t="n"/>
      <c r="G160" s="173" t="n"/>
      <c r="H160" s="175" t="n"/>
      <c r="I160" s="132" t="n"/>
      <c r="J160" s="161" t="n"/>
      <c r="K160" s="173" t="n"/>
      <c r="L160" s="316" t="n"/>
      <c r="M160" s="316" t="n"/>
      <c r="N160" s="316" t="n"/>
      <c r="O160" s="173" t="n"/>
      <c r="P160" s="317" t="n"/>
      <c r="Q160" s="162" t="n"/>
      <c r="R160" s="133" t="n"/>
      <c r="S160" s="133" t="n"/>
      <c r="T160" s="133" t="n"/>
      <c r="U160" s="133" t="n"/>
      <c r="V160" s="133" t="n"/>
      <c r="W160" s="133" t="n"/>
      <c r="X160" s="133" t="n"/>
      <c r="Y160" s="133" t="n"/>
      <c r="Z160" s="133" t="n"/>
      <c r="AA160" s="133" t="n"/>
      <c r="AB160" s="133" t="n"/>
      <c r="AC160" s="133" t="n"/>
      <c r="AD160" s="133" t="n"/>
      <c r="AE160" s="133" t="n"/>
      <c r="AF160" s="133" t="n"/>
      <c r="AG160" s="133" t="n"/>
      <c r="AH160" s="133" t="n"/>
      <c r="AI160" s="133" t="n"/>
      <c r="AJ160" s="133" t="n"/>
      <c r="AK160" s="133" t="n"/>
      <c r="AL160" s="133" t="n"/>
      <c r="AM160" s="133" t="n"/>
      <c r="AN160" s="133" t="n"/>
      <c r="AO160" s="133" t="n"/>
      <c r="HB160" s="133" t="n"/>
    </row>
    <row r="161" customFormat="1" s="131">
      <c r="A161" s="171" t="n"/>
      <c r="B161" s="315" t="n"/>
      <c r="C161" s="173" t="n"/>
      <c r="D161" s="174" t="n"/>
      <c r="E161" s="173" t="n"/>
      <c r="F161" s="173" t="n"/>
      <c r="G161" s="173" t="n"/>
      <c r="H161" s="175" t="n"/>
      <c r="I161" s="132" t="n"/>
      <c r="J161" s="161" t="n"/>
      <c r="K161" s="173" t="n"/>
      <c r="L161" s="316" t="n"/>
      <c r="M161" s="316" t="n"/>
      <c r="N161" s="316" t="n"/>
      <c r="O161" s="173" t="n"/>
      <c r="P161" s="317" t="n"/>
      <c r="Q161" s="162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  <c r="AA161" s="133" t="n"/>
      <c r="AB161" s="133" t="n"/>
      <c r="AC161" s="133" t="n"/>
      <c r="AD161" s="133" t="n"/>
      <c r="AE161" s="133" t="n"/>
      <c r="AF161" s="133" t="n"/>
      <c r="AG161" s="133" t="n"/>
      <c r="AH161" s="133" t="n"/>
      <c r="AI161" s="133" t="n"/>
      <c r="AJ161" s="133" t="n"/>
      <c r="AK161" s="133" t="n"/>
      <c r="AL161" s="133" t="n"/>
      <c r="AM161" s="133" t="n"/>
      <c r="AN161" s="133" t="n"/>
      <c r="AO161" s="133" t="n"/>
      <c r="HB161" s="133" t="n"/>
    </row>
    <row r="162" customFormat="1" s="131">
      <c r="A162" s="171" t="n"/>
      <c r="B162" s="315" t="n"/>
      <c r="C162" s="173" t="n"/>
      <c r="D162" s="174" t="n"/>
      <c r="E162" s="173" t="n"/>
      <c r="F162" s="173" t="n"/>
      <c r="G162" s="173" t="n"/>
      <c r="H162" s="175" t="n"/>
      <c r="I162" s="132" t="n"/>
      <c r="J162" s="161" t="n"/>
      <c r="K162" s="173" t="n"/>
      <c r="L162" s="316" t="n"/>
      <c r="M162" s="316" t="n"/>
      <c r="N162" s="316" t="n"/>
      <c r="O162" s="173" t="n"/>
      <c r="P162" s="317" t="n"/>
      <c r="Q162" s="162" t="n"/>
      <c r="R162" s="133" t="n"/>
      <c r="S162" s="133" t="n"/>
      <c r="T162" s="133" t="n"/>
      <c r="U162" s="133" t="n"/>
      <c r="V162" s="133" t="n"/>
      <c r="W162" s="133" t="n"/>
      <c r="X162" s="133" t="n"/>
      <c r="Y162" s="133" t="n"/>
      <c r="Z162" s="133" t="n"/>
      <c r="AA162" s="133" t="n"/>
      <c r="AB162" s="133" t="n"/>
      <c r="AC162" s="133" t="n"/>
      <c r="AD162" s="133" t="n"/>
      <c r="AE162" s="133" t="n"/>
      <c r="AF162" s="133" t="n"/>
      <c r="AG162" s="133" t="n"/>
      <c r="AH162" s="133" t="n"/>
      <c r="AI162" s="133" t="n"/>
      <c r="AJ162" s="133" t="n"/>
      <c r="AK162" s="133" t="n"/>
      <c r="AL162" s="133" t="n"/>
      <c r="AM162" s="133" t="n"/>
      <c r="AN162" s="133" t="n"/>
      <c r="AO162" s="133" t="n"/>
      <c r="HB162" s="133" t="n"/>
    </row>
    <row r="163" customFormat="1" s="131">
      <c r="A163" s="171" t="n"/>
      <c r="B163" s="315" t="n"/>
      <c r="C163" s="173" t="n"/>
      <c r="D163" s="174" t="n"/>
      <c r="E163" s="173" t="n"/>
      <c r="F163" s="173" t="n"/>
      <c r="G163" s="173" t="n"/>
      <c r="H163" s="175" t="n"/>
      <c r="I163" s="132" t="n"/>
      <c r="J163" s="161" t="n"/>
      <c r="K163" s="173" t="n"/>
      <c r="L163" s="316" t="n"/>
      <c r="M163" s="316" t="n"/>
      <c r="N163" s="316" t="n"/>
      <c r="O163" s="173" t="n"/>
      <c r="P163" s="317" t="n"/>
      <c r="Q163" s="162" t="n"/>
      <c r="R163" s="133" t="n"/>
      <c r="S163" s="133" t="n"/>
      <c r="T163" s="133" t="n"/>
      <c r="U163" s="133" t="n"/>
      <c r="V163" s="133" t="n"/>
      <c r="W163" s="133" t="n"/>
      <c r="X163" s="133" t="n"/>
      <c r="Y163" s="133" t="n"/>
      <c r="Z163" s="133" t="n"/>
      <c r="AA163" s="133" t="n"/>
      <c r="AB163" s="133" t="n"/>
      <c r="AC163" s="133" t="n"/>
      <c r="AD163" s="133" t="n"/>
      <c r="AE163" s="133" t="n"/>
      <c r="AF163" s="133" t="n"/>
      <c r="AG163" s="133" t="n"/>
      <c r="AH163" s="133" t="n"/>
      <c r="AI163" s="133" t="n"/>
      <c r="AJ163" s="133" t="n"/>
      <c r="AK163" s="133" t="n"/>
      <c r="AL163" s="133" t="n"/>
      <c r="AM163" s="133" t="n"/>
      <c r="AN163" s="133" t="n"/>
      <c r="AO163" s="133" t="n"/>
      <c r="HB163" s="133" t="n"/>
    </row>
    <row r="164" customFormat="1" s="131">
      <c r="A164" s="171" t="n"/>
      <c r="B164" s="315" t="n"/>
      <c r="C164" s="173" t="n"/>
      <c r="D164" s="174" t="n"/>
      <c r="E164" s="173" t="n"/>
      <c r="F164" s="173" t="n"/>
      <c r="G164" s="173" t="n"/>
      <c r="H164" s="175" t="n"/>
      <c r="I164" s="132" t="n"/>
      <c r="J164" s="161" t="n"/>
      <c r="K164" s="173" t="n"/>
      <c r="L164" s="316" t="n"/>
      <c r="M164" s="316" t="n"/>
      <c r="N164" s="316" t="n"/>
      <c r="O164" s="173" t="n"/>
      <c r="P164" s="317" t="n"/>
      <c r="Q164" s="162" t="n"/>
      <c r="R164" s="133" t="n"/>
      <c r="S164" s="133" t="n"/>
      <c r="T164" s="133" t="n"/>
      <c r="U164" s="133" t="n"/>
      <c r="V164" s="133" t="n"/>
      <c r="W164" s="133" t="n"/>
      <c r="X164" s="133" t="n"/>
      <c r="Y164" s="133" t="n"/>
      <c r="Z164" s="133" t="n"/>
      <c r="AA164" s="133" t="n"/>
      <c r="AB164" s="133" t="n"/>
      <c r="AC164" s="133" t="n"/>
      <c r="AD164" s="133" t="n"/>
      <c r="AE164" s="133" t="n"/>
      <c r="AF164" s="133" t="n"/>
      <c r="AG164" s="133" t="n"/>
      <c r="AH164" s="133" t="n"/>
      <c r="AI164" s="133" t="n"/>
      <c r="AJ164" s="133" t="n"/>
      <c r="AK164" s="133" t="n"/>
      <c r="AL164" s="133" t="n"/>
      <c r="AM164" s="133" t="n"/>
      <c r="AN164" s="133" t="n"/>
      <c r="AO164" s="133" t="n"/>
      <c r="HB164" s="133" t="n"/>
    </row>
    <row r="165" customFormat="1" s="131">
      <c r="A165" s="171" t="n"/>
      <c r="B165" s="315" t="n"/>
      <c r="C165" s="173" t="n"/>
      <c r="D165" s="174" t="n"/>
      <c r="E165" s="173" t="n"/>
      <c r="F165" s="173" t="n"/>
      <c r="G165" s="173" t="n"/>
      <c r="H165" s="175" t="n"/>
      <c r="I165" s="132" t="n"/>
      <c r="J165" s="161" t="n"/>
      <c r="K165" s="173" t="n"/>
      <c r="L165" s="316" t="n"/>
      <c r="M165" s="316" t="n"/>
      <c r="N165" s="316" t="n"/>
      <c r="O165" s="173" t="n"/>
      <c r="P165" s="317" t="n"/>
      <c r="Q165" s="162" t="n"/>
      <c r="R165" s="133" t="n"/>
      <c r="S165" s="133" t="n"/>
      <c r="T165" s="133" t="n"/>
      <c r="U165" s="133" t="n"/>
      <c r="V165" s="133" t="n"/>
      <c r="W165" s="133" t="n"/>
      <c r="X165" s="133" t="n"/>
      <c r="Y165" s="133" t="n"/>
      <c r="Z165" s="133" t="n"/>
      <c r="AA165" s="133" t="n"/>
      <c r="AB165" s="133" t="n"/>
      <c r="AC165" s="133" t="n"/>
      <c r="AD165" s="133" t="n"/>
      <c r="AE165" s="133" t="n"/>
      <c r="AF165" s="133" t="n"/>
      <c r="AG165" s="133" t="n"/>
      <c r="AH165" s="133" t="n"/>
      <c r="AI165" s="133" t="n"/>
      <c r="AJ165" s="133" t="n"/>
      <c r="AK165" s="133" t="n"/>
      <c r="AL165" s="133" t="n"/>
      <c r="AM165" s="133" t="n"/>
      <c r="AN165" s="133" t="n"/>
      <c r="AO165" s="133" t="n"/>
      <c r="HB165" s="133" t="n"/>
    </row>
    <row r="166" customFormat="1" s="131">
      <c r="A166" s="171" t="n"/>
      <c r="B166" s="315" t="n"/>
      <c r="C166" s="173" t="n"/>
      <c r="D166" s="174" t="n"/>
      <c r="E166" s="173" t="n"/>
      <c r="F166" s="173" t="n"/>
      <c r="G166" s="173" t="n"/>
      <c r="H166" s="175" t="n"/>
      <c r="I166" s="132" t="n"/>
      <c r="J166" s="161" t="n"/>
      <c r="K166" s="173" t="n"/>
      <c r="L166" s="316" t="n"/>
      <c r="M166" s="316" t="n"/>
      <c r="N166" s="316" t="n"/>
      <c r="O166" s="173" t="n"/>
      <c r="P166" s="317" t="n"/>
      <c r="Q166" s="162" t="n"/>
      <c r="R166" s="133" t="n"/>
      <c r="S166" s="133" t="n"/>
      <c r="T166" s="133" t="n"/>
      <c r="U166" s="133" t="n"/>
      <c r="V166" s="133" t="n"/>
      <c r="W166" s="133" t="n"/>
      <c r="X166" s="133" t="n"/>
      <c r="Y166" s="133" t="n"/>
      <c r="Z166" s="133" t="n"/>
      <c r="AA166" s="133" t="n"/>
      <c r="AB166" s="133" t="n"/>
      <c r="AC166" s="133" t="n"/>
      <c r="AD166" s="133" t="n"/>
      <c r="AE166" s="133" t="n"/>
      <c r="AF166" s="133" t="n"/>
      <c r="AG166" s="133" t="n"/>
      <c r="AH166" s="133" t="n"/>
      <c r="AI166" s="133" t="n"/>
      <c r="AJ166" s="133" t="n"/>
      <c r="AK166" s="133" t="n"/>
      <c r="AL166" s="133" t="n"/>
      <c r="AM166" s="133" t="n"/>
      <c r="AN166" s="133" t="n"/>
      <c r="AO166" s="133" t="n"/>
      <c r="HB166" s="133" t="n"/>
    </row>
    <row r="167" customFormat="1" s="131">
      <c r="A167" s="171" t="n"/>
      <c r="B167" s="315" t="n"/>
      <c r="C167" s="173" t="n"/>
      <c r="D167" s="174" t="n"/>
      <c r="E167" s="173" t="n"/>
      <c r="F167" s="173" t="n"/>
      <c r="G167" s="173" t="n"/>
      <c r="H167" s="175" t="n"/>
      <c r="I167" s="132" t="n"/>
      <c r="J167" s="161" t="n"/>
      <c r="K167" s="173" t="n"/>
      <c r="L167" s="316" t="n"/>
      <c r="M167" s="316" t="n"/>
      <c r="N167" s="316" t="n"/>
      <c r="O167" s="173" t="n"/>
      <c r="P167" s="317" t="n"/>
      <c r="Q167" s="162" t="n"/>
      <c r="R167" s="133" t="n"/>
      <c r="S167" s="133" t="n"/>
      <c r="T167" s="133" t="n"/>
      <c r="U167" s="133" t="n"/>
      <c r="V167" s="133" t="n"/>
      <c r="W167" s="133" t="n"/>
      <c r="X167" s="133" t="n"/>
      <c r="Y167" s="133" t="n"/>
      <c r="Z167" s="133" t="n"/>
      <c r="AA167" s="133" t="n"/>
      <c r="AB167" s="133" t="n"/>
      <c r="AC167" s="133" t="n"/>
      <c r="AD167" s="133" t="n"/>
      <c r="AE167" s="133" t="n"/>
      <c r="AF167" s="133" t="n"/>
      <c r="AG167" s="133" t="n"/>
      <c r="AH167" s="133" t="n"/>
      <c r="AI167" s="133" t="n"/>
      <c r="AJ167" s="133" t="n"/>
      <c r="AK167" s="133" t="n"/>
      <c r="AL167" s="133" t="n"/>
      <c r="AM167" s="133" t="n"/>
      <c r="AN167" s="133" t="n"/>
      <c r="AO167" s="133" t="n"/>
      <c r="HB167" s="133" t="n"/>
    </row>
    <row r="168" customFormat="1" s="131">
      <c r="A168" s="171" t="n"/>
      <c r="B168" s="315" t="n"/>
      <c r="C168" s="173" t="n"/>
      <c r="D168" s="174" t="n"/>
      <c r="E168" s="173" t="n"/>
      <c r="F168" s="173" t="n"/>
      <c r="G168" s="173" t="n"/>
      <c r="H168" s="175" t="n"/>
      <c r="I168" s="132" t="n"/>
      <c r="J168" s="161" t="n"/>
      <c r="K168" s="173" t="n"/>
      <c r="L168" s="316" t="n"/>
      <c r="M168" s="316" t="n"/>
      <c r="N168" s="316" t="n"/>
      <c r="O168" s="173" t="n"/>
      <c r="P168" s="317" t="n"/>
      <c r="Q168" s="162" t="n"/>
      <c r="R168" s="133" t="n"/>
      <c r="S168" s="133" t="n"/>
      <c r="T168" s="133" t="n"/>
      <c r="U168" s="133" t="n"/>
      <c r="V168" s="133" t="n"/>
      <c r="W168" s="133" t="n"/>
      <c r="X168" s="133" t="n"/>
      <c r="Y168" s="133" t="n"/>
      <c r="Z168" s="133" t="n"/>
      <c r="AA168" s="133" t="n"/>
      <c r="AB168" s="133" t="n"/>
      <c r="AC168" s="133" t="n"/>
      <c r="AD168" s="133" t="n"/>
      <c r="AE168" s="133" t="n"/>
      <c r="AF168" s="133" t="n"/>
      <c r="AG168" s="133" t="n"/>
      <c r="AH168" s="133" t="n"/>
      <c r="AI168" s="133" t="n"/>
      <c r="AJ168" s="133" t="n"/>
      <c r="AK168" s="133" t="n"/>
      <c r="AL168" s="133" t="n"/>
      <c r="AM168" s="133" t="n"/>
      <c r="AN168" s="133" t="n"/>
      <c r="AO168" s="133" t="n"/>
      <c r="HB168" s="133" t="n"/>
    </row>
    <row r="169" customFormat="1" s="131">
      <c r="A169" s="171" t="n"/>
      <c r="B169" s="315" t="n"/>
      <c r="C169" s="173" t="n"/>
      <c r="D169" s="174" t="n"/>
      <c r="E169" s="173" t="n"/>
      <c r="F169" s="173" t="n"/>
      <c r="G169" s="173" t="n"/>
      <c r="H169" s="175" t="n"/>
      <c r="I169" s="132" t="n"/>
      <c r="J169" s="161" t="n"/>
      <c r="K169" s="173" t="n"/>
      <c r="L169" s="316" t="n"/>
      <c r="M169" s="316" t="n"/>
      <c r="N169" s="316" t="n"/>
      <c r="O169" s="173" t="n"/>
      <c r="P169" s="317" t="n"/>
      <c r="Q169" s="162" t="n"/>
      <c r="R169" s="133" t="n"/>
      <c r="S169" s="133" t="n"/>
      <c r="T169" s="133" t="n"/>
      <c r="U169" s="133" t="n"/>
      <c r="V169" s="133" t="n"/>
      <c r="W169" s="133" t="n"/>
      <c r="X169" s="133" t="n"/>
      <c r="Y169" s="133" t="n"/>
      <c r="Z169" s="133" t="n"/>
      <c r="AA169" s="133" t="n"/>
      <c r="AB169" s="133" t="n"/>
      <c r="AC169" s="133" t="n"/>
      <c r="AD169" s="133" t="n"/>
      <c r="AE169" s="133" t="n"/>
      <c r="AF169" s="133" t="n"/>
      <c r="AG169" s="133" t="n"/>
      <c r="AH169" s="133" t="n"/>
      <c r="AI169" s="133" t="n"/>
      <c r="AJ169" s="133" t="n"/>
      <c r="AK169" s="133" t="n"/>
      <c r="AL169" s="133" t="n"/>
      <c r="AM169" s="133" t="n"/>
      <c r="AN169" s="133" t="n"/>
      <c r="AO169" s="133" t="n"/>
      <c r="HB169" s="133" t="n"/>
    </row>
    <row r="170" customFormat="1" s="131">
      <c r="A170" s="171" t="n"/>
      <c r="B170" s="315" t="n"/>
      <c r="C170" s="173" t="n"/>
      <c r="D170" s="174" t="n"/>
      <c r="E170" s="173" t="n"/>
      <c r="F170" s="173" t="n"/>
      <c r="G170" s="173" t="n"/>
      <c r="H170" s="175" t="n"/>
      <c r="I170" s="132" t="n"/>
      <c r="J170" s="161" t="n"/>
      <c r="K170" s="173" t="n"/>
      <c r="L170" s="316" t="n"/>
      <c r="M170" s="316" t="n"/>
      <c r="N170" s="316" t="n"/>
      <c r="O170" s="173" t="n"/>
      <c r="P170" s="317" t="n"/>
      <c r="Q170" s="162" t="n"/>
      <c r="R170" s="133" t="n"/>
      <c r="S170" s="133" t="n"/>
      <c r="T170" s="133" t="n"/>
      <c r="U170" s="133" t="n"/>
      <c r="V170" s="133" t="n"/>
      <c r="W170" s="133" t="n"/>
      <c r="X170" s="133" t="n"/>
      <c r="Y170" s="133" t="n"/>
      <c r="Z170" s="133" t="n"/>
      <c r="AA170" s="133" t="n"/>
      <c r="AB170" s="133" t="n"/>
      <c r="AC170" s="133" t="n"/>
      <c r="AD170" s="133" t="n"/>
      <c r="AE170" s="133" t="n"/>
      <c r="AF170" s="133" t="n"/>
      <c r="AG170" s="133" t="n"/>
      <c r="AH170" s="133" t="n"/>
      <c r="AI170" s="133" t="n"/>
      <c r="AJ170" s="133" t="n"/>
      <c r="AK170" s="133" t="n"/>
      <c r="AL170" s="133" t="n"/>
      <c r="AM170" s="133" t="n"/>
      <c r="AN170" s="133" t="n"/>
      <c r="AO170" s="133" t="n"/>
      <c r="HB170" s="133" t="n"/>
    </row>
    <row r="171" customFormat="1" s="131">
      <c r="A171" s="171" t="n"/>
      <c r="B171" s="315" t="n"/>
      <c r="C171" s="173" t="n"/>
      <c r="D171" s="174" t="n"/>
      <c r="E171" s="173" t="n"/>
      <c r="F171" s="173" t="n"/>
      <c r="G171" s="173" t="n"/>
      <c r="H171" s="175" t="n"/>
      <c r="I171" s="132" t="n"/>
      <c r="J171" s="161" t="n"/>
      <c r="K171" s="173" t="n"/>
      <c r="L171" s="316" t="n"/>
      <c r="M171" s="316" t="n"/>
      <c r="N171" s="316" t="n"/>
      <c r="O171" s="173" t="n"/>
      <c r="P171" s="317" t="n"/>
      <c r="Q171" s="162" t="n"/>
      <c r="R171" s="133" t="n"/>
      <c r="S171" s="133" t="n"/>
      <c r="T171" s="133" t="n"/>
      <c r="U171" s="133" t="n"/>
      <c r="V171" s="133" t="n"/>
      <c r="W171" s="133" t="n"/>
      <c r="X171" s="133" t="n"/>
      <c r="Y171" s="133" t="n"/>
      <c r="Z171" s="133" t="n"/>
      <c r="AA171" s="133" t="n"/>
      <c r="AB171" s="133" t="n"/>
      <c r="AC171" s="133" t="n"/>
      <c r="AD171" s="133" t="n"/>
      <c r="AE171" s="133" t="n"/>
      <c r="AF171" s="133" t="n"/>
      <c r="AG171" s="133" t="n"/>
      <c r="AH171" s="133" t="n"/>
      <c r="AI171" s="133" t="n"/>
      <c r="AJ171" s="133" t="n"/>
      <c r="AK171" s="133" t="n"/>
      <c r="AL171" s="133" t="n"/>
      <c r="AM171" s="133" t="n"/>
      <c r="AN171" s="133" t="n"/>
      <c r="AO171" s="133" t="n"/>
      <c r="HB171" s="133" t="n"/>
    </row>
    <row r="172" customFormat="1" s="131">
      <c r="A172" s="171" t="n"/>
      <c r="B172" s="315" t="n"/>
      <c r="C172" s="173" t="n"/>
      <c r="D172" s="174" t="n"/>
      <c r="E172" s="173" t="n"/>
      <c r="F172" s="173" t="n"/>
      <c r="G172" s="173" t="n"/>
      <c r="H172" s="175" t="n"/>
      <c r="I172" s="132" t="n"/>
      <c r="J172" s="161" t="n"/>
      <c r="K172" s="173" t="n"/>
      <c r="L172" s="316" t="n"/>
      <c r="M172" s="316" t="n"/>
      <c r="N172" s="316" t="n"/>
      <c r="O172" s="173" t="n"/>
      <c r="P172" s="317" t="n"/>
      <c r="Q172" s="162" t="n"/>
      <c r="R172" s="133" t="n"/>
      <c r="S172" s="133" t="n"/>
      <c r="T172" s="133" t="n"/>
      <c r="U172" s="133" t="n"/>
      <c r="V172" s="133" t="n"/>
      <c r="W172" s="133" t="n"/>
      <c r="X172" s="133" t="n"/>
      <c r="Y172" s="133" t="n"/>
      <c r="Z172" s="133" t="n"/>
      <c r="AA172" s="133" t="n"/>
      <c r="AB172" s="133" t="n"/>
      <c r="AC172" s="133" t="n"/>
      <c r="AD172" s="133" t="n"/>
      <c r="AE172" s="133" t="n"/>
      <c r="AF172" s="133" t="n"/>
      <c r="AG172" s="133" t="n"/>
      <c r="AH172" s="133" t="n"/>
      <c r="AI172" s="133" t="n"/>
      <c r="AJ172" s="133" t="n"/>
      <c r="AK172" s="133" t="n"/>
      <c r="AL172" s="133" t="n"/>
      <c r="AM172" s="133" t="n"/>
      <c r="AN172" s="133" t="n"/>
      <c r="AO172" s="133" t="n"/>
      <c r="HB172" s="133" t="n"/>
    </row>
    <row r="173" customFormat="1" s="131">
      <c r="A173" s="171" t="n"/>
      <c r="B173" s="315" t="n"/>
      <c r="C173" s="173" t="n"/>
      <c r="D173" s="174" t="n"/>
      <c r="E173" s="173" t="n"/>
      <c r="F173" s="173" t="n"/>
      <c r="G173" s="173" t="n"/>
      <c r="H173" s="175" t="n"/>
      <c r="I173" s="132" t="n"/>
      <c r="J173" s="161" t="n"/>
      <c r="K173" s="173" t="n"/>
      <c r="L173" s="316" t="n"/>
      <c r="M173" s="316" t="n"/>
      <c r="N173" s="316" t="n"/>
      <c r="O173" s="173" t="n"/>
      <c r="P173" s="317" t="n"/>
      <c r="Q173" s="162" t="n"/>
      <c r="R173" s="133" t="n"/>
      <c r="S173" s="133" t="n"/>
      <c r="T173" s="133" t="n"/>
      <c r="U173" s="133" t="n"/>
      <c r="V173" s="133" t="n"/>
      <c r="W173" s="133" t="n"/>
      <c r="X173" s="133" t="n"/>
      <c r="Y173" s="133" t="n"/>
      <c r="Z173" s="133" t="n"/>
      <c r="AA173" s="133" t="n"/>
      <c r="AB173" s="133" t="n"/>
      <c r="AC173" s="133" t="n"/>
      <c r="AD173" s="133" t="n"/>
      <c r="AE173" s="133" t="n"/>
      <c r="AF173" s="133" t="n"/>
      <c r="AG173" s="133" t="n"/>
      <c r="AH173" s="133" t="n"/>
      <c r="AI173" s="133" t="n"/>
      <c r="AJ173" s="133" t="n"/>
      <c r="AK173" s="133" t="n"/>
      <c r="AL173" s="133" t="n"/>
      <c r="AM173" s="133" t="n"/>
      <c r="AN173" s="133" t="n"/>
      <c r="AO173" s="133" t="n"/>
      <c r="HB173" s="133" t="n"/>
    </row>
    <row r="174" customFormat="1" s="131">
      <c r="A174" s="171" t="n"/>
      <c r="B174" s="315" t="n"/>
      <c r="C174" s="173" t="n"/>
      <c r="D174" s="174" t="n"/>
      <c r="E174" s="173" t="n"/>
      <c r="F174" s="173" t="n"/>
      <c r="G174" s="173" t="n"/>
      <c r="H174" s="175" t="n"/>
      <c r="I174" s="132" t="n"/>
      <c r="J174" s="161" t="n"/>
      <c r="K174" s="173" t="n"/>
      <c r="L174" s="316" t="n"/>
      <c r="M174" s="316" t="n"/>
      <c r="N174" s="316" t="n"/>
      <c r="O174" s="173" t="n"/>
      <c r="P174" s="317" t="n"/>
      <c r="Q174" s="162" t="n"/>
      <c r="R174" s="133" t="n"/>
      <c r="S174" s="133" t="n"/>
      <c r="T174" s="133" t="n"/>
      <c r="U174" s="133" t="n"/>
      <c r="V174" s="133" t="n"/>
      <c r="W174" s="133" t="n"/>
      <c r="X174" s="133" t="n"/>
      <c r="Y174" s="133" t="n"/>
      <c r="Z174" s="133" t="n"/>
      <c r="AA174" s="133" t="n"/>
      <c r="AB174" s="133" t="n"/>
      <c r="AC174" s="133" t="n"/>
      <c r="AD174" s="133" t="n"/>
      <c r="AE174" s="133" t="n"/>
      <c r="AF174" s="133" t="n"/>
      <c r="AG174" s="133" t="n"/>
      <c r="AH174" s="133" t="n"/>
      <c r="AI174" s="133" t="n"/>
      <c r="AJ174" s="133" t="n"/>
      <c r="AK174" s="133" t="n"/>
      <c r="AL174" s="133" t="n"/>
      <c r="AM174" s="133" t="n"/>
      <c r="AN174" s="133" t="n"/>
      <c r="AO174" s="133" t="n"/>
      <c r="HB174" s="133" t="n"/>
    </row>
    <row r="175" customFormat="1" s="131">
      <c r="A175" s="171" t="n"/>
      <c r="B175" s="315" t="n"/>
      <c r="C175" s="173" t="n"/>
      <c r="D175" s="174" t="n"/>
      <c r="E175" s="173" t="n"/>
      <c r="F175" s="173" t="n"/>
      <c r="G175" s="173" t="n"/>
      <c r="H175" s="175" t="n"/>
      <c r="I175" s="132" t="n"/>
      <c r="J175" s="161" t="n"/>
      <c r="K175" s="173" t="n"/>
      <c r="L175" s="316" t="n"/>
      <c r="M175" s="316" t="n"/>
      <c r="N175" s="316" t="n"/>
      <c r="O175" s="173" t="n"/>
      <c r="P175" s="317" t="n"/>
      <c r="Q175" s="162" t="n"/>
      <c r="R175" s="133" t="n"/>
      <c r="S175" s="133" t="n"/>
      <c r="T175" s="133" t="n"/>
      <c r="U175" s="133" t="n"/>
      <c r="V175" s="133" t="n"/>
      <c r="W175" s="133" t="n"/>
      <c r="X175" s="133" t="n"/>
      <c r="Y175" s="133" t="n"/>
      <c r="Z175" s="133" t="n"/>
      <c r="AA175" s="133" t="n"/>
      <c r="AB175" s="133" t="n"/>
      <c r="AC175" s="133" t="n"/>
      <c r="AD175" s="133" t="n"/>
      <c r="AE175" s="133" t="n"/>
      <c r="AF175" s="133" t="n"/>
      <c r="AG175" s="133" t="n"/>
      <c r="AH175" s="133" t="n"/>
      <c r="AI175" s="133" t="n"/>
      <c r="AJ175" s="133" t="n"/>
      <c r="AK175" s="133" t="n"/>
      <c r="AL175" s="133" t="n"/>
      <c r="AM175" s="133" t="n"/>
      <c r="AN175" s="133" t="n"/>
      <c r="AO175" s="133" t="n"/>
      <c r="HB175" s="133" t="n"/>
    </row>
    <row r="176" customFormat="1" s="131">
      <c r="A176" s="171" t="n"/>
      <c r="B176" s="315" t="n"/>
      <c r="C176" s="173" t="n"/>
      <c r="D176" s="174" t="n"/>
      <c r="E176" s="173" t="n"/>
      <c r="F176" s="173" t="n"/>
      <c r="G176" s="173" t="n"/>
      <c r="H176" s="175" t="n"/>
      <c r="I176" s="132" t="n"/>
      <c r="J176" s="161" t="n"/>
      <c r="K176" s="173" t="n"/>
      <c r="L176" s="316" t="n"/>
      <c r="M176" s="316" t="n"/>
      <c r="N176" s="316" t="n"/>
      <c r="O176" s="173" t="n"/>
      <c r="P176" s="317" t="n"/>
      <c r="Q176" s="162" t="n"/>
      <c r="R176" s="133" t="n"/>
      <c r="S176" s="133" t="n"/>
      <c r="T176" s="133" t="n"/>
      <c r="U176" s="133" t="n"/>
      <c r="V176" s="133" t="n"/>
      <c r="W176" s="133" t="n"/>
      <c r="X176" s="133" t="n"/>
      <c r="Y176" s="133" t="n"/>
      <c r="Z176" s="133" t="n"/>
      <c r="AA176" s="133" t="n"/>
      <c r="AB176" s="133" t="n"/>
      <c r="AC176" s="133" t="n"/>
      <c r="AD176" s="133" t="n"/>
      <c r="AE176" s="133" t="n"/>
      <c r="AF176" s="133" t="n"/>
      <c r="AG176" s="133" t="n"/>
      <c r="AH176" s="133" t="n"/>
      <c r="AI176" s="133" t="n"/>
      <c r="AJ176" s="133" t="n"/>
      <c r="AK176" s="133" t="n"/>
      <c r="AL176" s="133" t="n"/>
      <c r="AM176" s="133" t="n"/>
      <c r="AN176" s="133" t="n"/>
      <c r="AO176" s="133" t="n"/>
      <c r="HB176" s="133" t="n"/>
    </row>
    <row r="177" customFormat="1" s="131">
      <c r="A177" s="171" t="n"/>
      <c r="B177" s="315" t="n"/>
      <c r="C177" s="173" t="n"/>
      <c r="D177" s="174" t="n"/>
      <c r="E177" s="173" t="n"/>
      <c r="F177" s="173" t="n"/>
      <c r="G177" s="173" t="n"/>
      <c r="H177" s="175" t="n"/>
      <c r="I177" s="132" t="n"/>
      <c r="J177" s="161" t="n"/>
      <c r="K177" s="173" t="n"/>
      <c r="L177" s="316" t="n"/>
      <c r="M177" s="316" t="n"/>
      <c r="N177" s="316" t="n"/>
      <c r="O177" s="173" t="n"/>
      <c r="P177" s="317" t="n"/>
      <c r="Q177" s="162" t="n"/>
      <c r="R177" s="133" t="n"/>
      <c r="S177" s="133" t="n"/>
      <c r="T177" s="133" t="n"/>
      <c r="U177" s="133" t="n"/>
      <c r="V177" s="133" t="n"/>
      <c r="W177" s="133" t="n"/>
      <c r="X177" s="133" t="n"/>
      <c r="Y177" s="133" t="n"/>
      <c r="Z177" s="133" t="n"/>
      <c r="AA177" s="133" t="n"/>
      <c r="AB177" s="133" t="n"/>
      <c r="AC177" s="133" t="n"/>
      <c r="AD177" s="133" t="n"/>
      <c r="AE177" s="133" t="n"/>
      <c r="AF177" s="133" t="n"/>
      <c r="AG177" s="133" t="n"/>
      <c r="AH177" s="133" t="n"/>
      <c r="AI177" s="133" t="n"/>
      <c r="AJ177" s="133" t="n"/>
      <c r="AK177" s="133" t="n"/>
      <c r="AL177" s="133" t="n"/>
      <c r="AM177" s="133" t="n"/>
      <c r="AN177" s="133" t="n"/>
      <c r="AO177" s="133" t="n"/>
      <c r="HB177" s="133" t="n"/>
    </row>
    <row r="178" customFormat="1" s="131">
      <c r="A178" s="171" t="n"/>
      <c r="B178" s="315" t="n"/>
      <c r="C178" s="173" t="n"/>
      <c r="D178" s="174" t="n"/>
      <c r="E178" s="173" t="n"/>
      <c r="F178" s="173" t="n"/>
      <c r="G178" s="173" t="n"/>
      <c r="H178" s="175" t="n"/>
      <c r="I178" s="132" t="n"/>
      <c r="J178" s="161" t="n"/>
      <c r="K178" s="173" t="n"/>
      <c r="L178" s="316" t="n"/>
      <c r="M178" s="316" t="n"/>
      <c r="N178" s="316" t="n"/>
      <c r="O178" s="173" t="n"/>
      <c r="P178" s="317" t="n"/>
      <c r="Q178" s="162" t="n"/>
      <c r="R178" s="133" t="n"/>
      <c r="S178" s="133" t="n"/>
      <c r="T178" s="133" t="n"/>
      <c r="U178" s="133" t="n"/>
      <c r="V178" s="133" t="n"/>
      <c r="W178" s="133" t="n"/>
      <c r="X178" s="133" t="n"/>
      <c r="Y178" s="133" t="n"/>
      <c r="Z178" s="133" t="n"/>
      <c r="AA178" s="133" t="n"/>
      <c r="AB178" s="133" t="n"/>
      <c r="AC178" s="133" t="n"/>
      <c r="AD178" s="133" t="n"/>
      <c r="AE178" s="133" t="n"/>
      <c r="AF178" s="133" t="n"/>
      <c r="AG178" s="133" t="n"/>
      <c r="AH178" s="133" t="n"/>
      <c r="AI178" s="133" t="n"/>
      <c r="AJ178" s="133" t="n"/>
      <c r="AK178" s="133" t="n"/>
      <c r="AL178" s="133" t="n"/>
      <c r="AM178" s="133" t="n"/>
      <c r="AN178" s="133" t="n"/>
      <c r="AO178" s="133" t="n"/>
      <c r="HB178" s="133" t="n"/>
    </row>
    <row r="179" customFormat="1" s="131">
      <c r="A179" s="171" t="n"/>
      <c r="B179" s="315" t="n"/>
      <c r="C179" s="173" t="n"/>
      <c r="D179" s="174" t="n"/>
      <c r="E179" s="173" t="n"/>
      <c r="F179" s="173" t="n"/>
      <c r="G179" s="173" t="n"/>
      <c r="H179" s="175" t="n"/>
      <c r="I179" s="132" t="n"/>
      <c r="J179" s="161" t="n"/>
      <c r="K179" s="173" t="n"/>
      <c r="L179" s="316" t="n"/>
      <c r="M179" s="316" t="n"/>
      <c r="N179" s="316" t="n"/>
      <c r="O179" s="173" t="n"/>
      <c r="P179" s="317" t="n"/>
      <c r="Q179" s="162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  <c r="AA179" s="133" t="n"/>
      <c r="AB179" s="133" t="n"/>
      <c r="AC179" s="133" t="n"/>
      <c r="AD179" s="133" t="n"/>
      <c r="AE179" s="133" t="n"/>
      <c r="AF179" s="133" t="n"/>
      <c r="AG179" s="133" t="n"/>
      <c r="AH179" s="133" t="n"/>
      <c r="AI179" s="133" t="n"/>
      <c r="AJ179" s="133" t="n"/>
      <c r="AK179" s="133" t="n"/>
      <c r="AL179" s="133" t="n"/>
      <c r="AM179" s="133" t="n"/>
      <c r="AN179" s="133" t="n"/>
      <c r="AO179" s="133" t="n"/>
      <c r="HB179" s="133" t="n"/>
    </row>
    <row r="180" customFormat="1" s="131">
      <c r="A180" s="171" t="n"/>
      <c r="B180" s="315" t="n"/>
      <c r="C180" s="173" t="n"/>
      <c r="D180" s="174" t="n"/>
      <c r="E180" s="173" t="n"/>
      <c r="F180" s="173" t="n"/>
      <c r="G180" s="173" t="n"/>
      <c r="H180" s="175" t="n"/>
      <c r="I180" s="132" t="n"/>
      <c r="J180" s="161" t="n"/>
      <c r="K180" s="173" t="n"/>
      <c r="L180" s="316" t="n"/>
      <c r="M180" s="316" t="n"/>
      <c r="N180" s="316" t="n"/>
      <c r="O180" s="173" t="n"/>
      <c r="P180" s="317" t="n"/>
      <c r="Q180" s="162" t="n"/>
      <c r="R180" s="133" t="n"/>
      <c r="S180" s="133" t="n"/>
      <c r="T180" s="133" t="n"/>
      <c r="U180" s="133" t="n"/>
      <c r="V180" s="133" t="n"/>
      <c r="W180" s="133" t="n"/>
      <c r="X180" s="133" t="n"/>
      <c r="Y180" s="133" t="n"/>
      <c r="Z180" s="133" t="n"/>
      <c r="AA180" s="133" t="n"/>
      <c r="AB180" s="133" t="n"/>
      <c r="AC180" s="133" t="n"/>
      <c r="AD180" s="133" t="n"/>
      <c r="AE180" s="133" t="n"/>
      <c r="AF180" s="133" t="n"/>
      <c r="AG180" s="133" t="n"/>
      <c r="AH180" s="133" t="n"/>
      <c r="AI180" s="133" t="n"/>
      <c r="AJ180" s="133" t="n"/>
      <c r="AK180" s="133" t="n"/>
      <c r="AL180" s="133" t="n"/>
      <c r="AM180" s="133" t="n"/>
      <c r="AN180" s="133" t="n"/>
      <c r="AO180" s="133" t="n"/>
      <c r="HB180" s="133" t="n"/>
    </row>
    <row r="181" customFormat="1" s="131">
      <c r="A181" s="171" t="n"/>
      <c r="B181" s="315" t="n"/>
      <c r="C181" s="173" t="n"/>
      <c r="D181" s="174" t="n"/>
      <c r="E181" s="173" t="n"/>
      <c r="F181" s="173" t="n"/>
      <c r="G181" s="173" t="n"/>
      <c r="H181" s="175" t="n"/>
      <c r="I181" s="132" t="n"/>
      <c r="J181" s="161" t="n"/>
      <c r="K181" s="173" t="n"/>
      <c r="L181" s="316" t="n"/>
      <c r="M181" s="316" t="n"/>
      <c r="N181" s="316" t="n"/>
      <c r="O181" s="173" t="n"/>
      <c r="P181" s="317" t="n"/>
      <c r="Q181" s="162" t="n"/>
      <c r="R181" s="133" t="n"/>
      <c r="S181" s="133" t="n"/>
      <c r="T181" s="133" t="n"/>
      <c r="U181" s="133" t="n"/>
      <c r="V181" s="133" t="n"/>
      <c r="W181" s="133" t="n"/>
      <c r="X181" s="133" t="n"/>
      <c r="Y181" s="133" t="n"/>
      <c r="Z181" s="133" t="n"/>
      <c r="AA181" s="133" t="n"/>
      <c r="AB181" s="133" t="n"/>
      <c r="AC181" s="133" t="n"/>
      <c r="AD181" s="133" t="n"/>
      <c r="AE181" s="133" t="n"/>
      <c r="AF181" s="133" t="n"/>
      <c r="AG181" s="133" t="n"/>
      <c r="AH181" s="133" t="n"/>
      <c r="AI181" s="133" t="n"/>
      <c r="AJ181" s="133" t="n"/>
      <c r="AK181" s="133" t="n"/>
      <c r="AL181" s="133" t="n"/>
      <c r="AM181" s="133" t="n"/>
      <c r="AN181" s="133" t="n"/>
      <c r="AO181" s="133" t="n"/>
      <c r="HB181" s="133" t="n"/>
    </row>
    <row r="182" customFormat="1" s="131">
      <c r="A182" s="171" t="n"/>
      <c r="B182" s="315" t="n"/>
      <c r="C182" s="173" t="n"/>
      <c r="D182" s="174" t="n"/>
      <c r="E182" s="173" t="n"/>
      <c r="F182" s="173" t="n"/>
      <c r="G182" s="173" t="n"/>
      <c r="H182" s="175" t="n"/>
      <c r="I182" s="132" t="n"/>
      <c r="J182" s="161" t="n"/>
      <c r="K182" s="173" t="n"/>
      <c r="L182" s="316" t="n"/>
      <c r="M182" s="316" t="n"/>
      <c r="N182" s="316" t="n"/>
      <c r="O182" s="173" t="n"/>
      <c r="P182" s="317" t="n"/>
      <c r="Q182" s="162" t="n"/>
      <c r="R182" s="133" t="n"/>
      <c r="S182" s="133" t="n"/>
      <c r="T182" s="133" t="n"/>
      <c r="U182" s="133" t="n"/>
      <c r="V182" s="133" t="n"/>
      <c r="W182" s="133" t="n"/>
      <c r="X182" s="133" t="n"/>
      <c r="Y182" s="133" t="n"/>
      <c r="Z182" s="133" t="n"/>
      <c r="AA182" s="133" t="n"/>
      <c r="AB182" s="133" t="n"/>
      <c r="AC182" s="133" t="n"/>
      <c r="AD182" s="133" t="n"/>
      <c r="AE182" s="133" t="n"/>
      <c r="AF182" s="133" t="n"/>
      <c r="AG182" s="133" t="n"/>
      <c r="AH182" s="133" t="n"/>
      <c r="AI182" s="133" t="n"/>
      <c r="AJ182" s="133" t="n"/>
      <c r="AK182" s="133" t="n"/>
      <c r="AL182" s="133" t="n"/>
      <c r="AM182" s="133" t="n"/>
      <c r="AN182" s="133" t="n"/>
      <c r="AO182" s="133" t="n"/>
      <c r="HB182" s="133" t="n"/>
    </row>
    <row r="183" customFormat="1" s="131">
      <c r="A183" s="171" t="n"/>
      <c r="B183" s="315" t="n"/>
      <c r="C183" s="173" t="n"/>
      <c r="D183" s="174" t="n"/>
      <c r="E183" s="173" t="n"/>
      <c r="F183" s="173" t="n"/>
      <c r="G183" s="173" t="n"/>
      <c r="H183" s="175" t="n"/>
      <c r="I183" s="132" t="n"/>
      <c r="J183" s="161" t="n"/>
      <c r="K183" s="173" t="n"/>
      <c r="L183" s="316" t="n"/>
      <c r="M183" s="316" t="n"/>
      <c r="N183" s="316" t="n"/>
      <c r="O183" s="173" t="n"/>
      <c r="P183" s="317" t="n"/>
      <c r="Q183" s="162" t="n"/>
      <c r="R183" s="133" t="n"/>
      <c r="S183" s="133" t="n"/>
      <c r="T183" s="133" t="n"/>
      <c r="U183" s="133" t="n"/>
      <c r="V183" s="133" t="n"/>
      <c r="W183" s="133" t="n"/>
      <c r="X183" s="133" t="n"/>
      <c r="Y183" s="133" t="n"/>
      <c r="Z183" s="133" t="n"/>
      <c r="AA183" s="133" t="n"/>
      <c r="AB183" s="133" t="n"/>
      <c r="AC183" s="133" t="n"/>
      <c r="AD183" s="133" t="n"/>
      <c r="AE183" s="133" t="n"/>
      <c r="AF183" s="133" t="n"/>
      <c r="AG183" s="133" t="n"/>
      <c r="AH183" s="133" t="n"/>
      <c r="AI183" s="133" t="n"/>
      <c r="AJ183" s="133" t="n"/>
      <c r="AK183" s="133" t="n"/>
      <c r="AL183" s="133" t="n"/>
      <c r="AM183" s="133" t="n"/>
      <c r="AN183" s="133" t="n"/>
      <c r="AO183" s="133" t="n"/>
      <c r="HB183" s="133" t="n"/>
    </row>
    <row r="184" customFormat="1" s="131">
      <c r="A184" s="171" t="n"/>
      <c r="B184" s="315" t="n"/>
      <c r="C184" s="173" t="n"/>
      <c r="D184" s="174" t="n"/>
      <c r="E184" s="173" t="n"/>
      <c r="F184" s="173" t="n"/>
      <c r="G184" s="173" t="n"/>
      <c r="H184" s="175" t="n"/>
      <c r="I184" s="132" t="n"/>
      <c r="J184" s="161" t="n"/>
      <c r="K184" s="173" t="n"/>
      <c r="L184" s="316" t="n"/>
      <c r="M184" s="316" t="n"/>
      <c r="N184" s="316" t="n"/>
      <c r="O184" s="173" t="n"/>
      <c r="P184" s="317" t="n"/>
      <c r="Q184" s="162" t="n"/>
      <c r="R184" s="133" t="n"/>
      <c r="S184" s="133" t="n"/>
      <c r="T184" s="133" t="n"/>
      <c r="U184" s="133" t="n"/>
      <c r="V184" s="133" t="n"/>
      <c r="W184" s="133" t="n"/>
      <c r="X184" s="133" t="n"/>
      <c r="Y184" s="133" t="n"/>
      <c r="Z184" s="133" t="n"/>
      <c r="AA184" s="133" t="n"/>
      <c r="AB184" s="133" t="n"/>
      <c r="AC184" s="133" t="n"/>
      <c r="AD184" s="133" t="n"/>
      <c r="AE184" s="133" t="n"/>
      <c r="AF184" s="133" t="n"/>
      <c r="AG184" s="133" t="n"/>
      <c r="AH184" s="133" t="n"/>
      <c r="AI184" s="133" t="n"/>
      <c r="AJ184" s="133" t="n"/>
      <c r="AK184" s="133" t="n"/>
      <c r="AL184" s="133" t="n"/>
      <c r="AM184" s="133" t="n"/>
      <c r="AN184" s="133" t="n"/>
      <c r="AO184" s="133" t="n"/>
      <c r="HB184" s="133" t="n"/>
    </row>
    <row r="185" customFormat="1" s="131">
      <c r="A185" s="171" t="n"/>
      <c r="B185" s="315" t="n"/>
      <c r="C185" s="173" t="n"/>
      <c r="D185" s="174" t="n"/>
      <c r="E185" s="173" t="n"/>
      <c r="F185" s="173" t="n"/>
      <c r="G185" s="173" t="n"/>
      <c r="H185" s="175" t="n"/>
      <c r="I185" s="132" t="n"/>
      <c r="J185" s="161" t="n"/>
      <c r="K185" s="173" t="n"/>
      <c r="L185" s="316" t="n"/>
      <c r="M185" s="316" t="n"/>
      <c r="N185" s="316" t="n"/>
      <c r="O185" s="173" t="n"/>
      <c r="P185" s="317" t="n"/>
      <c r="Q185" s="162" t="n"/>
      <c r="R185" s="133" t="n"/>
      <c r="S185" s="133" t="n"/>
      <c r="T185" s="133" t="n"/>
      <c r="U185" s="133" t="n"/>
      <c r="V185" s="133" t="n"/>
      <c r="W185" s="133" t="n"/>
      <c r="X185" s="133" t="n"/>
      <c r="Y185" s="133" t="n"/>
      <c r="Z185" s="133" t="n"/>
      <c r="AA185" s="133" t="n"/>
      <c r="AB185" s="133" t="n"/>
      <c r="AC185" s="133" t="n"/>
      <c r="AD185" s="133" t="n"/>
      <c r="AE185" s="133" t="n"/>
      <c r="AF185" s="133" t="n"/>
      <c r="AG185" s="133" t="n"/>
      <c r="AH185" s="133" t="n"/>
      <c r="AI185" s="133" t="n"/>
      <c r="AJ185" s="133" t="n"/>
      <c r="AK185" s="133" t="n"/>
      <c r="AL185" s="133" t="n"/>
      <c r="AM185" s="133" t="n"/>
      <c r="AN185" s="133" t="n"/>
      <c r="AO185" s="133" t="n"/>
      <c r="HB185" s="133" t="n"/>
    </row>
    <row r="186" customFormat="1" s="131">
      <c r="A186" s="171" t="n"/>
      <c r="B186" s="315" t="n"/>
      <c r="C186" s="173" t="n"/>
      <c r="D186" s="174" t="n"/>
      <c r="E186" s="173" t="n"/>
      <c r="F186" s="173" t="n"/>
      <c r="G186" s="173" t="n"/>
      <c r="H186" s="175" t="n"/>
      <c r="I186" s="132" t="n"/>
      <c r="J186" s="161" t="n"/>
      <c r="K186" s="173" t="n"/>
      <c r="L186" s="316" t="n"/>
      <c r="M186" s="316" t="n"/>
      <c r="N186" s="316" t="n"/>
      <c r="O186" s="173" t="n"/>
      <c r="P186" s="317" t="n"/>
      <c r="Q186" s="162" t="n"/>
      <c r="R186" s="133" t="n"/>
      <c r="S186" s="133" t="n"/>
      <c r="T186" s="133" t="n"/>
      <c r="U186" s="133" t="n"/>
      <c r="V186" s="133" t="n"/>
      <c r="W186" s="133" t="n"/>
      <c r="X186" s="133" t="n"/>
      <c r="Y186" s="133" t="n"/>
      <c r="Z186" s="133" t="n"/>
      <c r="AA186" s="133" t="n"/>
      <c r="AB186" s="133" t="n"/>
      <c r="AC186" s="133" t="n"/>
      <c r="AD186" s="133" t="n"/>
      <c r="AE186" s="133" t="n"/>
      <c r="AF186" s="133" t="n"/>
      <c r="AG186" s="133" t="n"/>
      <c r="AH186" s="133" t="n"/>
      <c r="AI186" s="133" t="n"/>
      <c r="AJ186" s="133" t="n"/>
      <c r="AK186" s="133" t="n"/>
      <c r="AL186" s="133" t="n"/>
      <c r="AM186" s="133" t="n"/>
      <c r="AN186" s="133" t="n"/>
      <c r="AO186" s="133" t="n"/>
      <c r="HB186" s="133" t="n"/>
    </row>
    <row r="187" customFormat="1" s="131">
      <c r="A187" s="171" t="n"/>
      <c r="B187" s="315" t="n"/>
      <c r="C187" s="173" t="n"/>
      <c r="D187" s="174" t="n"/>
      <c r="E187" s="173" t="n"/>
      <c r="F187" s="173" t="n"/>
      <c r="G187" s="173" t="n"/>
      <c r="H187" s="175" t="n"/>
      <c r="I187" s="132" t="n"/>
      <c r="J187" s="161" t="n"/>
      <c r="K187" s="173" t="n"/>
      <c r="L187" s="316" t="n"/>
      <c r="M187" s="316" t="n"/>
      <c r="N187" s="316" t="n"/>
      <c r="O187" s="173" t="n"/>
      <c r="P187" s="317" t="n"/>
      <c r="Q187" s="162" t="n"/>
      <c r="R187" s="133" t="n"/>
      <c r="S187" s="133" t="n"/>
      <c r="T187" s="133" t="n"/>
      <c r="U187" s="133" t="n"/>
      <c r="V187" s="133" t="n"/>
      <c r="W187" s="133" t="n"/>
      <c r="X187" s="133" t="n"/>
      <c r="Y187" s="133" t="n"/>
      <c r="Z187" s="133" t="n"/>
      <c r="AA187" s="133" t="n"/>
      <c r="AB187" s="133" t="n"/>
      <c r="AC187" s="133" t="n"/>
      <c r="AD187" s="133" t="n"/>
      <c r="AE187" s="133" t="n"/>
      <c r="AF187" s="133" t="n"/>
      <c r="AG187" s="133" t="n"/>
      <c r="AH187" s="133" t="n"/>
      <c r="AI187" s="133" t="n"/>
      <c r="AJ187" s="133" t="n"/>
      <c r="AK187" s="133" t="n"/>
      <c r="AL187" s="133" t="n"/>
      <c r="AM187" s="133" t="n"/>
      <c r="AN187" s="133" t="n"/>
      <c r="AO187" s="133" t="n"/>
      <c r="HB187" s="133" t="n"/>
    </row>
    <row r="188" customFormat="1" s="131">
      <c r="A188" s="171" t="n"/>
      <c r="B188" s="315" t="n"/>
      <c r="C188" s="173" t="n"/>
      <c r="D188" s="174" t="n"/>
      <c r="E188" s="173" t="n"/>
      <c r="F188" s="173" t="n"/>
      <c r="G188" s="173" t="n"/>
      <c r="H188" s="175" t="n"/>
      <c r="I188" s="132" t="n"/>
      <c r="J188" s="161" t="n"/>
      <c r="K188" s="173" t="n"/>
      <c r="L188" s="316" t="n"/>
      <c r="M188" s="316" t="n"/>
      <c r="N188" s="316" t="n"/>
      <c r="O188" s="173" t="n"/>
      <c r="P188" s="317" t="n"/>
      <c r="Q188" s="162" t="n"/>
      <c r="R188" s="133" t="n"/>
      <c r="S188" s="133" t="n"/>
      <c r="T188" s="133" t="n"/>
      <c r="U188" s="133" t="n"/>
      <c r="V188" s="133" t="n"/>
      <c r="W188" s="133" t="n"/>
      <c r="X188" s="133" t="n"/>
      <c r="Y188" s="133" t="n"/>
      <c r="Z188" s="133" t="n"/>
      <c r="AA188" s="133" t="n"/>
      <c r="AB188" s="133" t="n"/>
      <c r="AC188" s="133" t="n"/>
      <c r="AD188" s="133" t="n"/>
      <c r="AE188" s="133" t="n"/>
      <c r="AF188" s="133" t="n"/>
      <c r="AG188" s="133" t="n"/>
      <c r="AH188" s="133" t="n"/>
      <c r="AI188" s="133" t="n"/>
      <c r="AJ188" s="133" t="n"/>
      <c r="AK188" s="133" t="n"/>
      <c r="AL188" s="133" t="n"/>
      <c r="AM188" s="133" t="n"/>
      <c r="AN188" s="133" t="n"/>
      <c r="AO188" s="133" t="n"/>
      <c r="HB188" s="133" t="n"/>
    </row>
    <row r="189" customFormat="1" s="131">
      <c r="A189" s="171" t="n"/>
      <c r="B189" s="315" t="n"/>
      <c r="C189" s="173" t="n"/>
      <c r="D189" s="174" t="n"/>
      <c r="E189" s="173" t="n"/>
      <c r="F189" s="173" t="n"/>
      <c r="G189" s="173" t="n"/>
      <c r="H189" s="175" t="n"/>
      <c r="I189" s="132" t="n"/>
      <c r="J189" s="161" t="n"/>
      <c r="K189" s="173" t="n"/>
      <c r="L189" s="316" t="n"/>
      <c r="M189" s="316" t="n"/>
      <c r="N189" s="316" t="n"/>
      <c r="O189" s="173" t="n"/>
      <c r="P189" s="317" t="n"/>
      <c r="Q189" s="162" t="n"/>
      <c r="R189" s="133" t="n"/>
      <c r="S189" s="133" t="n"/>
      <c r="T189" s="133" t="n"/>
      <c r="U189" s="133" t="n"/>
      <c r="V189" s="133" t="n"/>
      <c r="W189" s="133" t="n"/>
      <c r="X189" s="133" t="n"/>
      <c r="Y189" s="133" t="n"/>
      <c r="Z189" s="133" t="n"/>
      <c r="AA189" s="133" t="n"/>
      <c r="AB189" s="133" t="n"/>
      <c r="AC189" s="133" t="n"/>
      <c r="AD189" s="133" t="n"/>
      <c r="AE189" s="133" t="n"/>
      <c r="AF189" s="133" t="n"/>
      <c r="AG189" s="133" t="n"/>
      <c r="AH189" s="133" t="n"/>
      <c r="AI189" s="133" t="n"/>
      <c r="AJ189" s="133" t="n"/>
      <c r="AK189" s="133" t="n"/>
      <c r="AL189" s="133" t="n"/>
      <c r="AM189" s="133" t="n"/>
      <c r="AN189" s="133" t="n"/>
      <c r="AO189" s="133" t="n"/>
      <c r="HB189" s="133" t="n"/>
    </row>
    <row r="190" customFormat="1" s="131">
      <c r="A190" s="171" t="n"/>
      <c r="B190" s="315" t="n"/>
      <c r="C190" s="173" t="n"/>
      <c r="D190" s="174" t="n"/>
      <c r="E190" s="173" t="n"/>
      <c r="F190" s="173" t="n"/>
      <c r="G190" s="173" t="n"/>
      <c r="H190" s="175" t="n"/>
      <c r="I190" s="132" t="n"/>
      <c r="J190" s="161" t="n"/>
      <c r="K190" s="173" t="n"/>
      <c r="L190" s="316" t="n"/>
      <c r="M190" s="316" t="n"/>
      <c r="N190" s="316" t="n"/>
      <c r="O190" s="173" t="n"/>
      <c r="P190" s="317" t="n"/>
      <c r="Q190" s="162" t="n"/>
      <c r="R190" s="133" t="n"/>
      <c r="S190" s="133" t="n"/>
      <c r="T190" s="133" t="n"/>
      <c r="U190" s="133" t="n"/>
      <c r="V190" s="133" t="n"/>
      <c r="W190" s="133" t="n"/>
      <c r="X190" s="133" t="n"/>
      <c r="Y190" s="133" t="n"/>
      <c r="Z190" s="133" t="n"/>
      <c r="AA190" s="133" t="n"/>
      <c r="AB190" s="133" t="n"/>
      <c r="AC190" s="133" t="n"/>
      <c r="AD190" s="133" t="n"/>
      <c r="AE190" s="133" t="n"/>
      <c r="AF190" s="133" t="n"/>
      <c r="AG190" s="133" t="n"/>
      <c r="AH190" s="133" t="n"/>
      <c r="AI190" s="133" t="n"/>
      <c r="AJ190" s="133" t="n"/>
      <c r="AK190" s="133" t="n"/>
      <c r="AL190" s="133" t="n"/>
      <c r="AM190" s="133" t="n"/>
      <c r="AN190" s="133" t="n"/>
      <c r="AO190" s="133" t="n"/>
      <c r="HB190" s="133" t="n"/>
    </row>
    <row r="191" customFormat="1" s="131">
      <c r="A191" s="171" t="n"/>
      <c r="B191" s="315" t="n"/>
      <c r="C191" s="173" t="n"/>
      <c r="D191" s="174" t="n"/>
      <c r="E191" s="173" t="n"/>
      <c r="F191" s="173" t="n"/>
      <c r="G191" s="173" t="n"/>
      <c r="H191" s="175" t="n"/>
      <c r="I191" s="132" t="n"/>
      <c r="J191" s="161" t="n"/>
      <c r="K191" s="173" t="n"/>
      <c r="L191" s="316" t="n"/>
      <c r="M191" s="316" t="n"/>
      <c r="N191" s="316" t="n"/>
      <c r="O191" s="173" t="n"/>
      <c r="P191" s="317" t="n"/>
      <c r="Q191" s="162" t="n"/>
      <c r="R191" s="133" t="n"/>
      <c r="S191" s="133" t="n"/>
      <c r="T191" s="133" t="n"/>
      <c r="U191" s="133" t="n"/>
      <c r="V191" s="133" t="n"/>
      <c r="W191" s="133" t="n"/>
      <c r="X191" s="133" t="n"/>
      <c r="Y191" s="133" t="n"/>
      <c r="Z191" s="133" t="n"/>
      <c r="AA191" s="133" t="n"/>
      <c r="AB191" s="133" t="n"/>
      <c r="AC191" s="133" t="n"/>
      <c r="AD191" s="133" t="n"/>
      <c r="AE191" s="133" t="n"/>
      <c r="AF191" s="133" t="n"/>
      <c r="AG191" s="133" t="n"/>
      <c r="AH191" s="133" t="n"/>
      <c r="AI191" s="133" t="n"/>
      <c r="AJ191" s="133" t="n"/>
      <c r="AK191" s="133" t="n"/>
      <c r="AL191" s="133" t="n"/>
      <c r="AM191" s="133" t="n"/>
      <c r="AN191" s="133" t="n"/>
      <c r="AO191" s="133" t="n"/>
      <c r="HB191" s="133" t="n"/>
    </row>
    <row r="192" customFormat="1" s="131">
      <c r="A192" s="171" t="n"/>
      <c r="B192" s="315" t="n"/>
      <c r="C192" s="173" t="n"/>
      <c r="D192" s="174" t="n"/>
      <c r="E192" s="173" t="n"/>
      <c r="F192" s="173" t="n"/>
      <c r="G192" s="173" t="n"/>
      <c r="H192" s="175" t="n"/>
      <c r="I192" s="132" t="n"/>
      <c r="J192" s="161" t="n"/>
      <c r="K192" s="173" t="n"/>
      <c r="L192" s="316" t="n"/>
      <c r="M192" s="316" t="n"/>
      <c r="N192" s="316" t="n"/>
      <c r="O192" s="173" t="n"/>
      <c r="P192" s="317" t="n"/>
      <c r="Q192" s="162" t="n"/>
      <c r="R192" s="133" t="n"/>
      <c r="S192" s="133" t="n"/>
      <c r="T192" s="133" t="n"/>
      <c r="U192" s="133" t="n"/>
      <c r="V192" s="133" t="n"/>
      <c r="W192" s="133" t="n"/>
      <c r="X192" s="133" t="n"/>
      <c r="Y192" s="133" t="n"/>
      <c r="Z192" s="133" t="n"/>
      <c r="AA192" s="133" t="n"/>
      <c r="AB192" s="133" t="n"/>
      <c r="AC192" s="133" t="n"/>
      <c r="AD192" s="133" t="n"/>
      <c r="AE192" s="133" t="n"/>
      <c r="AF192" s="133" t="n"/>
      <c r="AG192" s="133" t="n"/>
      <c r="AH192" s="133" t="n"/>
      <c r="AI192" s="133" t="n"/>
      <c r="AJ192" s="133" t="n"/>
      <c r="AK192" s="133" t="n"/>
      <c r="AL192" s="133" t="n"/>
      <c r="AM192" s="133" t="n"/>
      <c r="AN192" s="133" t="n"/>
      <c r="AO192" s="133" t="n"/>
      <c r="HB192" s="133" t="n"/>
    </row>
    <row r="193" customFormat="1" s="131">
      <c r="A193" s="171" t="n"/>
      <c r="B193" s="315" t="n"/>
      <c r="C193" s="173" t="n"/>
      <c r="D193" s="174" t="n"/>
      <c r="E193" s="173" t="n"/>
      <c r="F193" s="173" t="n"/>
      <c r="G193" s="173" t="n"/>
      <c r="H193" s="175" t="n"/>
      <c r="I193" s="132" t="n"/>
      <c r="J193" s="161" t="n"/>
      <c r="K193" s="173" t="n"/>
      <c r="L193" s="316" t="n"/>
      <c r="M193" s="316" t="n"/>
      <c r="N193" s="316" t="n"/>
      <c r="O193" s="173" t="n"/>
      <c r="P193" s="317" t="n"/>
      <c r="Q193" s="162" t="n"/>
      <c r="R193" s="133" t="n"/>
      <c r="S193" s="133" t="n"/>
      <c r="T193" s="133" t="n"/>
      <c r="U193" s="133" t="n"/>
      <c r="V193" s="133" t="n"/>
      <c r="W193" s="133" t="n"/>
      <c r="X193" s="133" t="n"/>
      <c r="Y193" s="133" t="n"/>
      <c r="Z193" s="133" t="n"/>
      <c r="AA193" s="133" t="n"/>
      <c r="AB193" s="133" t="n"/>
      <c r="AC193" s="133" t="n"/>
      <c r="AD193" s="133" t="n"/>
      <c r="AE193" s="133" t="n"/>
      <c r="AF193" s="133" t="n"/>
      <c r="AG193" s="133" t="n"/>
      <c r="AH193" s="133" t="n"/>
      <c r="AI193" s="133" t="n"/>
      <c r="AJ193" s="133" t="n"/>
      <c r="AK193" s="133" t="n"/>
      <c r="AL193" s="133" t="n"/>
      <c r="AM193" s="133" t="n"/>
      <c r="AN193" s="133" t="n"/>
      <c r="AO193" s="133" t="n"/>
      <c r="HB193" s="133" t="n"/>
    </row>
    <row r="194" customFormat="1" s="131">
      <c r="A194" s="171" t="n"/>
      <c r="B194" s="315" t="n"/>
      <c r="C194" s="173" t="n"/>
      <c r="D194" s="174" t="n"/>
      <c r="E194" s="173" t="n"/>
      <c r="F194" s="173" t="n"/>
      <c r="G194" s="173" t="n"/>
      <c r="H194" s="175" t="n"/>
      <c r="I194" s="132" t="n"/>
      <c r="J194" s="161" t="n"/>
      <c r="K194" s="173" t="n"/>
      <c r="L194" s="316" t="n"/>
      <c r="M194" s="316" t="n"/>
      <c r="N194" s="316" t="n"/>
      <c r="O194" s="173" t="n"/>
      <c r="P194" s="317" t="n"/>
      <c r="Q194" s="162" t="n"/>
      <c r="R194" s="133" t="n"/>
      <c r="S194" s="133" t="n"/>
      <c r="T194" s="133" t="n"/>
      <c r="U194" s="133" t="n"/>
      <c r="V194" s="133" t="n"/>
      <c r="W194" s="133" t="n"/>
      <c r="X194" s="133" t="n"/>
      <c r="Y194" s="133" t="n"/>
      <c r="Z194" s="133" t="n"/>
      <c r="AA194" s="133" t="n"/>
      <c r="AB194" s="133" t="n"/>
      <c r="AC194" s="133" t="n"/>
      <c r="AD194" s="133" t="n"/>
      <c r="AE194" s="133" t="n"/>
      <c r="AF194" s="133" t="n"/>
      <c r="AG194" s="133" t="n"/>
      <c r="AH194" s="133" t="n"/>
      <c r="AI194" s="133" t="n"/>
      <c r="AJ194" s="133" t="n"/>
      <c r="AK194" s="133" t="n"/>
      <c r="AL194" s="133" t="n"/>
      <c r="AM194" s="133" t="n"/>
      <c r="AN194" s="133" t="n"/>
      <c r="AO194" s="133" t="n"/>
      <c r="HB194" s="133" t="n"/>
    </row>
    <row r="195" customFormat="1" s="131">
      <c r="A195" s="171" t="n"/>
      <c r="B195" s="315" t="n"/>
      <c r="C195" s="173" t="n"/>
      <c r="D195" s="174" t="n"/>
      <c r="E195" s="173" t="n"/>
      <c r="F195" s="173" t="n"/>
      <c r="G195" s="173" t="n"/>
      <c r="H195" s="175" t="n"/>
      <c r="I195" s="132" t="n"/>
      <c r="J195" s="161" t="n"/>
      <c r="K195" s="173" t="n"/>
      <c r="L195" s="316" t="n"/>
      <c r="M195" s="316" t="n"/>
      <c r="N195" s="316" t="n"/>
      <c r="O195" s="173" t="n"/>
      <c r="P195" s="317" t="n"/>
      <c r="Q195" s="162" t="n"/>
      <c r="R195" s="133" t="n"/>
      <c r="S195" s="133" t="n"/>
      <c r="T195" s="133" t="n"/>
      <c r="U195" s="133" t="n"/>
      <c r="V195" s="133" t="n"/>
      <c r="W195" s="133" t="n"/>
      <c r="X195" s="133" t="n"/>
      <c r="Y195" s="133" t="n"/>
      <c r="Z195" s="133" t="n"/>
      <c r="AA195" s="133" t="n"/>
      <c r="AB195" s="133" t="n"/>
      <c r="AC195" s="133" t="n"/>
      <c r="AD195" s="133" t="n"/>
      <c r="AE195" s="133" t="n"/>
      <c r="AF195" s="133" t="n"/>
      <c r="AG195" s="133" t="n"/>
      <c r="AH195" s="133" t="n"/>
      <c r="AI195" s="133" t="n"/>
      <c r="AJ195" s="133" t="n"/>
      <c r="AK195" s="133" t="n"/>
      <c r="AL195" s="133" t="n"/>
      <c r="AM195" s="133" t="n"/>
      <c r="AN195" s="133" t="n"/>
      <c r="AO195" s="133" t="n"/>
      <c r="HB195" s="133" t="n"/>
    </row>
    <row r="196" customFormat="1" s="131">
      <c r="A196" s="171" t="n"/>
      <c r="B196" s="315" t="n"/>
      <c r="C196" s="173" t="n"/>
      <c r="D196" s="174" t="n"/>
      <c r="E196" s="173" t="n"/>
      <c r="F196" s="173" t="n"/>
      <c r="G196" s="173" t="n"/>
      <c r="H196" s="175" t="n"/>
      <c r="I196" s="132" t="n"/>
      <c r="J196" s="161" t="n"/>
      <c r="K196" s="173" t="n"/>
      <c r="L196" s="316" t="n"/>
      <c r="M196" s="316" t="n"/>
      <c r="N196" s="316" t="n"/>
      <c r="O196" s="173" t="n"/>
      <c r="P196" s="317" t="n"/>
      <c r="Q196" s="162" t="n"/>
      <c r="R196" s="133" t="n"/>
      <c r="S196" s="133" t="n"/>
      <c r="T196" s="133" t="n"/>
      <c r="U196" s="133" t="n"/>
      <c r="V196" s="133" t="n"/>
      <c r="W196" s="133" t="n"/>
      <c r="X196" s="133" t="n"/>
      <c r="Y196" s="133" t="n"/>
      <c r="Z196" s="133" t="n"/>
      <c r="AA196" s="133" t="n"/>
      <c r="AB196" s="133" t="n"/>
      <c r="AC196" s="133" t="n"/>
      <c r="AD196" s="133" t="n"/>
      <c r="AE196" s="133" t="n"/>
      <c r="AF196" s="133" t="n"/>
      <c r="AG196" s="133" t="n"/>
      <c r="AH196" s="133" t="n"/>
      <c r="AI196" s="133" t="n"/>
      <c r="AJ196" s="133" t="n"/>
      <c r="AK196" s="133" t="n"/>
      <c r="AL196" s="133" t="n"/>
      <c r="AM196" s="133" t="n"/>
      <c r="AN196" s="133" t="n"/>
      <c r="AO196" s="133" t="n"/>
      <c r="HB196" s="133" t="n"/>
    </row>
    <row r="197" customFormat="1" s="131">
      <c r="A197" s="171" t="n"/>
      <c r="B197" s="315" t="n"/>
      <c r="C197" s="173" t="n"/>
      <c r="D197" s="174" t="n"/>
      <c r="E197" s="173" t="n"/>
      <c r="F197" s="173" t="n"/>
      <c r="G197" s="173" t="n"/>
      <c r="H197" s="175" t="n"/>
      <c r="I197" s="132" t="n"/>
      <c r="J197" s="161" t="n"/>
      <c r="K197" s="173" t="n"/>
      <c r="L197" s="316" t="n"/>
      <c r="M197" s="316" t="n"/>
      <c r="N197" s="316" t="n"/>
      <c r="O197" s="173" t="n"/>
      <c r="P197" s="317" t="n"/>
      <c r="Q197" s="162" t="n"/>
      <c r="R197" s="133" t="n"/>
      <c r="S197" s="133" t="n"/>
      <c r="T197" s="133" t="n"/>
      <c r="U197" s="133" t="n"/>
      <c r="V197" s="133" t="n"/>
      <c r="W197" s="133" t="n"/>
      <c r="X197" s="133" t="n"/>
      <c r="Y197" s="133" t="n"/>
      <c r="Z197" s="133" t="n"/>
      <c r="AA197" s="133" t="n"/>
      <c r="AB197" s="133" t="n"/>
      <c r="AC197" s="133" t="n"/>
      <c r="AD197" s="133" t="n"/>
      <c r="AE197" s="133" t="n"/>
      <c r="AF197" s="133" t="n"/>
      <c r="AG197" s="133" t="n"/>
      <c r="AH197" s="133" t="n"/>
      <c r="AI197" s="133" t="n"/>
      <c r="AJ197" s="133" t="n"/>
      <c r="AK197" s="133" t="n"/>
      <c r="AL197" s="133" t="n"/>
      <c r="AM197" s="133" t="n"/>
      <c r="AN197" s="133" t="n"/>
      <c r="AO197" s="133" t="n"/>
      <c r="HB197" s="133" t="n"/>
    </row>
    <row r="198" customFormat="1" s="131">
      <c r="A198" s="171" t="n"/>
      <c r="B198" s="315" t="n"/>
      <c r="C198" s="173" t="n"/>
      <c r="D198" s="174" t="n"/>
      <c r="E198" s="173" t="n"/>
      <c r="F198" s="173" t="n"/>
      <c r="G198" s="173" t="n"/>
      <c r="H198" s="175" t="n"/>
      <c r="I198" s="132" t="n"/>
      <c r="J198" s="161" t="n"/>
      <c r="K198" s="173" t="n"/>
      <c r="L198" s="316" t="n"/>
      <c r="M198" s="316" t="n"/>
      <c r="N198" s="316" t="n"/>
      <c r="O198" s="173" t="n"/>
      <c r="P198" s="317" t="n"/>
      <c r="Q198" s="162" t="n"/>
      <c r="R198" s="133" t="n"/>
      <c r="S198" s="133" t="n"/>
      <c r="T198" s="133" t="n"/>
      <c r="U198" s="133" t="n"/>
      <c r="V198" s="133" t="n"/>
      <c r="W198" s="133" t="n"/>
      <c r="X198" s="133" t="n"/>
      <c r="Y198" s="133" t="n"/>
      <c r="Z198" s="133" t="n"/>
      <c r="AA198" s="133" t="n"/>
      <c r="AB198" s="133" t="n"/>
      <c r="AC198" s="133" t="n"/>
      <c r="AD198" s="133" t="n"/>
      <c r="AE198" s="133" t="n"/>
      <c r="AF198" s="133" t="n"/>
      <c r="AG198" s="133" t="n"/>
      <c r="AH198" s="133" t="n"/>
      <c r="AI198" s="133" t="n"/>
      <c r="AJ198" s="133" t="n"/>
      <c r="AK198" s="133" t="n"/>
      <c r="AL198" s="133" t="n"/>
      <c r="AM198" s="133" t="n"/>
      <c r="AN198" s="133" t="n"/>
      <c r="AO198" s="133" t="n"/>
      <c r="HB198" s="133" t="n"/>
    </row>
    <row r="199" customFormat="1" s="131">
      <c r="A199" s="171" t="n"/>
      <c r="B199" s="315" t="n"/>
      <c r="C199" s="173" t="n"/>
      <c r="D199" s="174" t="n"/>
      <c r="E199" s="173" t="n"/>
      <c r="F199" s="173" t="n"/>
      <c r="G199" s="173" t="n"/>
      <c r="H199" s="175" t="n"/>
      <c r="I199" s="132" t="n"/>
      <c r="J199" s="161" t="n"/>
      <c r="K199" s="173" t="n"/>
      <c r="L199" s="316" t="n"/>
      <c r="M199" s="316" t="n"/>
      <c r="N199" s="316" t="n"/>
      <c r="O199" s="173" t="n"/>
      <c r="P199" s="317" t="n"/>
      <c r="Q199" s="162" t="n"/>
      <c r="R199" s="133" t="n"/>
      <c r="S199" s="133" t="n"/>
      <c r="T199" s="133" t="n"/>
      <c r="U199" s="133" t="n"/>
      <c r="V199" s="133" t="n"/>
      <c r="W199" s="133" t="n"/>
      <c r="X199" s="133" t="n"/>
      <c r="Y199" s="133" t="n"/>
      <c r="Z199" s="133" t="n"/>
      <c r="AA199" s="133" t="n"/>
      <c r="AB199" s="133" t="n"/>
      <c r="AC199" s="133" t="n"/>
      <c r="AD199" s="133" t="n"/>
      <c r="AE199" s="133" t="n"/>
      <c r="AF199" s="133" t="n"/>
      <c r="AG199" s="133" t="n"/>
      <c r="AH199" s="133" t="n"/>
      <c r="AI199" s="133" t="n"/>
      <c r="AJ199" s="133" t="n"/>
      <c r="AK199" s="133" t="n"/>
      <c r="AL199" s="133" t="n"/>
      <c r="AM199" s="133" t="n"/>
      <c r="AN199" s="133" t="n"/>
      <c r="AO199" s="133" t="n"/>
      <c r="HB199" s="133" t="n"/>
    </row>
    <row r="200" customFormat="1" s="131">
      <c r="A200" s="171" t="n"/>
      <c r="B200" s="315" t="n"/>
      <c r="C200" s="173" t="n"/>
      <c r="D200" s="174" t="n"/>
      <c r="E200" s="173" t="n"/>
      <c r="F200" s="173" t="n"/>
      <c r="G200" s="173" t="n"/>
      <c r="H200" s="175" t="n"/>
      <c r="I200" s="132" t="n"/>
      <c r="J200" s="161" t="n"/>
      <c r="K200" s="173" t="n"/>
      <c r="L200" s="316" t="n"/>
      <c r="M200" s="316" t="n"/>
      <c r="N200" s="316" t="n"/>
      <c r="O200" s="173" t="n"/>
      <c r="P200" s="317" t="n"/>
      <c r="Q200" s="162" t="n"/>
      <c r="R200" s="130" t="n"/>
      <c r="S200" s="130" t="n"/>
      <c r="T200" s="130" t="n"/>
      <c r="U200" s="130" t="n"/>
      <c r="V200" s="130" t="n"/>
      <c r="W200" s="130" t="n"/>
      <c r="X200" s="130" t="n"/>
      <c r="Y200" s="130" t="n"/>
      <c r="Z200" s="130" t="n"/>
      <c r="AA200" s="130" t="n"/>
      <c r="AB200" s="130" t="n"/>
      <c r="AC200" s="130" t="n"/>
      <c r="AD200" s="130" t="n"/>
      <c r="AE200" s="130" t="n"/>
      <c r="AF200" s="130" t="n"/>
      <c r="AG200" s="130" t="n"/>
      <c r="AH200" s="130" t="n"/>
      <c r="AI200" s="130" t="n"/>
      <c r="AJ200" s="130" t="n"/>
      <c r="AK200" s="130" t="n"/>
      <c r="AL200" s="130" t="n"/>
      <c r="AM200" s="130" t="n"/>
      <c r="AN200" s="130" t="n"/>
      <c r="AO200" s="130" t="n"/>
      <c r="HB200" s="130" t="n"/>
    </row>
    <row r="201">
      <c r="A201" s="171" t="n"/>
      <c r="B201" s="315" t="n"/>
      <c r="C201" s="173" t="n"/>
      <c r="D201" s="174" t="n"/>
      <c r="E201" s="173" t="n"/>
      <c r="F201" s="173" t="n"/>
      <c r="G201" s="173" t="n"/>
      <c r="H201" s="175" t="n"/>
      <c r="I201" s="132" t="n"/>
      <c r="J201" s="161" t="n"/>
      <c r="K201" s="173" t="n"/>
      <c r="L201" s="316" t="n"/>
      <c r="M201" s="316" t="n"/>
      <c r="N201" s="316" t="n"/>
      <c r="O201" s="173" t="n"/>
      <c r="P201" s="317" t="n"/>
      <c r="Q201" s="162" t="n"/>
      <c r="R201" s="124" t="n"/>
      <c r="S201" s="124" t="n"/>
      <c r="T201" s="124" t="n"/>
      <c r="U201" s="124" t="n"/>
      <c r="V201" s="124" t="n"/>
      <c r="W201" s="124" t="n"/>
      <c r="X201" s="124" t="n"/>
      <c r="Y201" s="124" t="n"/>
      <c r="Z201" s="124" t="n"/>
      <c r="AA201" s="124" t="n"/>
      <c r="AB201" s="124" t="n"/>
      <c r="AC201" s="124" t="n"/>
      <c r="AD201" s="124" t="n"/>
      <c r="AE201" s="124" t="n"/>
      <c r="AF201" s="124" t="n"/>
      <c r="AG201" s="124" t="n"/>
      <c r="AH201" s="124" t="n"/>
      <c r="AI201" s="124" t="n"/>
      <c r="AJ201" s="124" t="n"/>
      <c r="AK201" s="124" t="n"/>
      <c r="AL201" s="124" t="n"/>
      <c r="AM201" s="124" t="n"/>
      <c r="AN201" s="124" t="n"/>
      <c r="AO201" s="124" t="n"/>
      <c r="HB201" s="124" t="n"/>
    </row>
    <row r="202">
      <c r="A202" s="171" t="n"/>
      <c r="B202" s="315" t="n"/>
      <c r="C202" s="173" t="n"/>
      <c r="D202" s="174" t="n"/>
      <c r="E202" s="173" t="n"/>
      <c r="F202" s="173" t="n"/>
      <c r="G202" s="173" t="n"/>
      <c r="H202" s="175" t="n"/>
      <c r="I202" s="132" t="n"/>
      <c r="J202" s="161" t="n"/>
      <c r="K202" s="173" t="n"/>
      <c r="L202" s="316" t="n"/>
      <c r="M202" s="316" t="n"/>
      <c r="N202" s="316" t="n"/>
      <c r="O202" s="173" t="n"/>
      <c r="P202" s="317" t="n"/>
      <c r="Q202" s="162" t="n"/>
      <c r="R202" s="124" t="n"/>
      <c r="S202" s="124" t="n"/>
      <c r="T202" s="124" t="n"/>
      <c r="U202" s="124" t="n"/>
      <c r="V202" s="124" t="n"/>
      <c r="W202" s="124" t="n"/>
      <c r="X202" s="124" t="n"/>
      <c r="Y202" s="124" t="n"/>
      <c r="Z202" s="124" t="n"/>
      <c r="AA202" s="124" t="n"/>
      <c r="AB202" s="124" t="n"/>
      <c r="AC202" s="124" t="n"/>
      <c r="AD202" s="124" t="n"/>
      <c r="AE202" s="124" t="n"/>
      <c r="AF202" s="124" t="n"/>
      <c r="AG202" s="124" t="n"/>
      <c r="AH202" s="124" t="n"/>
      <c r="AI202" s="124" t="n"/>
      <c r="AJ202" s="124" t="n"/>
      <c r="AK202" s="124" t="n"/>
      <c r="AL202" s="124" t="n"/>
      <c r="AM202" s="124" t="n"/>
      <c r="AN202" s="124" t="n"/>
      <c r="AO202" s="124" t="n"/>
      <c r="HB202" s="124" t="n"/>
    </row>
    <row r="203">
      <c r="A203" s="171" t="n"/>
      <c r="B203" s="315" t="n"/>
      <c r="C203" s="173" t="n"/>
      <c r="D203" s="174" t="n"/>
      <c r="E203" s="173" t="n"/>
      <c r="F203" s="173" t="n"/>
      <c r="G203" s="173" t="n"/>
      <c r="H203" s="175" t="n"/>
      <c r="I203" s="132" t="n"/>
      <c r="J203" s="161" t="n"/>
      <c r="K203" s="173" t="n"/>
      <c r="L203" s="316" t="n"/>
      <c r="M203" s="316" t="n"/>
      <c r="N203" s="316" t="n"/>
      <c r="O203" s="173" t="n"/>
      <c r="P203" s="317" t="n"/>
      <c r="Q203" s="162" t="n"/>
      <c r="R203" s="124" t="n"/>
      <c r="S203" s="124" t="n"/>
      <c r="T203" s="124" t="n"/>
      <c r="U203" s="124" t="n"/>
      <c r="V203" s="124" t="n"/>
      <c r="W203" s="124" t="n"/>
      <c r="X203" s="124" t="n"/>
      <c r="Y203" s="124" t="n"/>
      <c r="Z203" s="124" t="n"/>
      <c r="AA203" s="124" t="n"/>
      <c r="AB203" s="124" t="n"/>
      <c r="AC203" s="124" t="n"/>
      <c r="AD203" s="124" t="n"/>
      <c r="AE203" s="124" t="n"/>
      <c r="AF203" s="124" t="n"/>
      <c r="AG203" s="124" t="n"/>
      <c r="AH203" s="124" t="n"/>
      <c r="AI203" s="124" t="n"/>
      <c r="AJ203" s="124" t="n"/>
      <c r="AK203" s="124" t="n"/>
      <c r="AL203" s="124" t="n"/>
      <c r="AM203" s="124" t="n"/>
      <c r="AN203" s="124" t="n"/>
      <c r="AO203" s="124" t="n"/>
      <c r="HB203" s="124" t="n"/>
    </row>
    <row r="204">
      <c r="A204" s="171" t="n"/>
      <c r="B204" s="315" t="n"/>
      <c r="C204" s="173" t="n"/>
      <c r="D204" s="174" t="n"/>
      <c r="E204" s="173" t="n"/>
      <c r="F204" s="173" t="n"/>
      <c r="G204" s="173" t="n"/>
      <c r="H204" s="175" t="n"/>
      <c r="I204" s="132" t="n"/>
      <c r="J204" s="161" t="n"/>
      <c r="K204" s="173" t="n"/>
      <c r="L204" s="316" t="n"/>
      <c r="M204" s="316" t="n"/>
      <c r="N204" s="316" t="n"/>
      <c r="O204" s="173" t="n"/>
      <c r="P204" s="317" t="n"/>
      <c r="Q204" s="162" t="n"/>
      <c r="R204" s="124" t="n"/>
      <c r="S204" s="124" t="n"/>
      <c r="T204" s="124" t="n"/>
      <c r="U204" s="124" t="n"/>
      <c r="V204" s="124" t="n"/>
      <c r="W204" s="124" t="n"/>
      <c r="X204" s="124" t="n"/>
      <c r="Y204" s="124" t="n"/>
      <c r="Z204" s="124" t="n"/>
      <c r="AA204" s="124" t="n"/>
      <c r="AB204" s="124" t="n"/>
      <c r="AC204" s="124" t="n"/>
      <c r="AD204" s="124" t="n"/>
      <c r="AE204" s="124" t="n"/>
      <c r="AF204" s="124" t="n"/>
      <c r="AG204" s="124" t="n"/>
      <c r="AH204" s="124" t="n"/>
      <c r="AI204" s="124" t="n"/>
      <c r="AJ204" s="124" t="n"/>
      <c r="AK204" s="124" t="n"/>
      <c r="AL204" s="124" t="n"/>
      <c r="AM204" s="124" t="n"/>
      <c r="AN204" s="124" t="n"/>
      <c r="AO204" s="124" t="n"/>
      <c r="HB204" s="124" t="n"/>
    </row>
    <row r="205">
      <c r="A205" s="171" t="n"/>
      <c r="B205" s="315" t="n"/>
      <c r="C205" s="173" t="n"/>
      <c r="D205" s="174" t="n"/>
      <c r="E205" s="173" t="n"/>
      <c r="F205" s="173" t="n"/>
      <c r="G205" s="173" t="n"/>
      <c r="H205" s="175" t="n"/>
      <c r="I205" s="132" t="n"/>
      <c r="J205" s="161" t="n"/>
      <c r="K205" s="173" t="n"/>
      <c r="L205" s="316" t="n"/>
      <c r="M205" s="316" t="n"/>
      <c r="N205" s="316" t="n"/>
      <c r="O205" s="173" t="n"/>
      <c r="P205" s="317" t="n"/>
      <c r="Q205" s="162" t="n"/>
      <c r="R205" s="124" t="n"/>
      <c r="S205" s="124" t="n"/>
      <c r="T205" s="124" t="n"/>
      <c r="U205" s="124" t="n"/>
      <c r="V205" s="124" t="n"/>
      <c r="W205" s="124" t="n"/>
      <c r="X205" s="124" t="n"/>
      <c r="Y205" s="124" t="n"/>
      <c r="Z205" s="124" t="n"/>
      <c r="AA205" s="124" t="n"/>
      <c r="AB205" s="124" t="n"/>
      <c r="AC205" s="124" t="n"/>
      <c r="AD205" s="124" t="n"/>
      <c r="AE205" s="124" t="n"/>
      <c r="AF205" s="124" t="n"/>
      <c r="AG205" s="124" t="n"/>
      <c r="AH205" s="124" t="n"/>
      <c r="AI205" s="124" t="n"/>
      <c r="AJ205" s="124" t="n"/>
      <c r="AK205" s="124" t="n"/>
      <c r="AL205" s="124" t="n"/>
      <c r="AM205" s="124" t="n"/>
      <c r="AN205" s="124" t="n"/>
      <c r="AO205" s="124" t="n"/>
      <c r="HB205" s="124" t="n"/>
    </row>
    <row r="206">
      <c r="A206" s="171" t="n"/>
      <c r="B206" s="315" t="n"/>
      <c r="C206" s="173" t="n"/>
      <c r="D206" s="174" t="n"/>
      <c r="E206" s="173" t="n"/>
      <c r="F206" s="173" t="n"/>
      <c r="G206" s="173" t="n"/>
      <c r="H206" s="175" t="n"/>
      <c r="I206" s="132" t="n"/>
      <c r="J206" s="161" t="n"/>
      <c r="K206" s="173" t="n"/>
      <c r="L206" s="316" t="n"/>
      <c r="M206" s="316" t="n"/>
      <c r="N206" s="316" t="n"/>
      <c r="O206" s="173" t="n"/>
      <c r="P206" s="317" t="n"/>
      <c r="Q206" s="162" t="n"/>
      <c r="R206" s="124" t="n"/>
      <c r="S206" s="124" t="n"/>
      <c r="T206" s="124" t="n"/>
      <c r="U206" s="124" t="n"/>
      <c r="V206" s="124" t="n"/>
      <c r="W206" s="124" t="n"/>
      <c r="X206" s="124" t="n"/>
      <c r="Y206" s="124" t="n"/>
      <c r="Z206" s="124" t="n"/>
      <c r="AA206" s="124" t="n"/>
      <c r="AB206" s="124" t="n"/>
      <c r="AC206" s="124" t="n"/>
      <c r="AD206" s="124" t="n"/>
      <c r="AE206" s="124" t="n"/>
      <c r="AF206" s="124" t="n"/>
      <c r="AG206" s="124" t="n"/>
      <c r="AH206" s="124" t="n"/>
      <c r="AI206" s="124" t="n"/>
      <c r="AJ206" s="124" t="n"/>
      <c r="AK206" s="124" t="n"/>
      <c r="AL206" s="124" t="n"/>
      <c r="AM206" s="124" t="n"/>
      <c r="AN206" s="124" t="n"/>
      <c r="AO206" s="124" t="n"/>
      <c r="HB206" s="124" t="n"/>
    </row>
    <row r="207">
      <c r="A207" s="171" t="n"/>
      <c r="B207" s="315" t="n"/>
      <c r="C207" s="173" t="n"/>
      <c r="D207" s="174" t="n"/>
      <c r="E207" s="173" t="n"/>
      <c r="F207" s="173" t="n"/>
      <c r="G207" s="173" t="n"/>
      <c r="H207" s="175" t="n"/>
      <c r="I207" s="132" t="n"/>
      <c r="J207" s="161" t="n"/>
      <c r="K207" s="173" t="n"/>
      <c r="L207" s="316" t="n"/>
      <c r="M207" s="316" t="n"/>
      <c r="N207" s="316" t="n"/>
      <c r="O207" s="173" t="n"/>
      <c r="P207" s="317" t="n"/>
      <c r="Q207" s="162" t="n"/>
      <c r="R207" s="124" t="n"/>
      <c r="S207" s="124" t="n"/>
      <c r="T207" s="124" t="n"/>
      <c r="U207" s="124" t="n"/>
      <c r="V207" s="124" t="n"/>
      <c r="W207" s="124" t="n"/>
      <c r="X207" s="124" t="n"/>
      <c r="Y207" s="124" t="n"/>
      <c r="Z207" s="124" t="n"/>
      <c r="AA207" s="124" t="n"/>
      <c r="AB207" s="124" t="n"/>
      <c r="AC207" s="124" t="n"/>
      <c r="AD207" s="124" t="n"/>
      <c r="AE207" s="124" t="n"/>
      <c r="AF207" s="124" t="n"/>
      <c r="AG207" s="124" t="n"/>
      <c r="AH207" s="124" t="n"/>
      <c r="AI207" s="124" t="n"/>
      <c r="AJ207" s="124" t="n"/>
      <c r="AK207" s="124" t="n"/>
      <c r="AL207" s="124" t="n"/>
      <c r="AM207" s="124" t="n"/>
      <c r="AN207" s="124" t="n"/>
      <c r="AO207" s="124" t="n"/>
      <c r="HB207" s="124" t="n"/>
    </row>
    <row r="208">
      <c r="A208" s="171" t="n"/>
      <c r="B208" s="315" t="n"/>
      <c r="C208" s="173" t="n"/>
      <c r="D208" s="174" t="n"/>
      <c r="E208" s="173" t="n"/>
      <c r="F208" s="173" t="n"/>
      <c r="G208" s="173" t="n"/>
      <c r="H208" s="175" t="n"/>
      <c r="I208" s="132" t="n"/>
      <c r="J208" s="161" t="n"/>
      <c r="K208" s="173" t="n"/>
      <c r="L208" s="316" t="n"/>
      <c r="M208" s="316" t="n"/>
      <c r="N208" s="316" t="n"/>
      <c r="O208" s="173" t="n"/>
      <c r="P208" s="317" t="n"/>
      <c r="Q208" s="162" t="n"/>
      <c r="R208" s="124" t="n"/>
      <c r="S208" s="124" t="n"/>
      <c r="T208" s="124" t="n"/>
      <c r="U208" s="124" t="n"/>
      <c r="V208" s="124" t="n"/>
      <c r="W208" s="124" t="n"/>
      <c r="X208" s="124" t="n"/>
      <c r="Y208" s="124" t="n"/>
      <c r="Z208" s="124" t="n"/>
      <c r="AA208" s="124" t="n"/>
      <c r="AB208" s="124" t="n"/>
      <c r="AC208" s="124" t="n"/>
      <c r="AD208" s="124" t="n"/>
      <c r="AE208" s="124" t="n"/>
      <c r="AF208" s="124" t="n"/>
      <c r="AG208" s="124" t="n"/>
      <c r="AH208" s="124" t="n"/>
      <c r="AI208" s="124" t="n"/>
      <c r="AJ208" s="124" t="n"/>
      <c r="AK208" s="124" t="n"/>
      <c r="AL208" s="124" t="n"/>
      <c r="AM208" s="124" t="n"/>
      <c r="AN208" s="124" t="n"/>
      <c r="AO208" s="124" t="n"/>
      <c r="HB208" s="124" t="n"/>
    </row>
    <row r="209">
      <c r="A209" s="171" t="n"/>
      <c r="B209" s="315" t="n"/>
      <c r="C209" s="173" t="n"/>
      <c r="D209" s="174" t="n"/>
      <c r="E209" s="173" t="n"/>
      <c r="F209" s="173" t="n"/>
      <c r="G209" s="173" t="n"/>
      <c r="H209" s="175" t="n"/>
      <c r="I209" s="132" t="n"/>
      <c r="J209" s="161" t="n"/>
      <c r="K209" s="173" t="n"/>
      <c r="L209" s="316" t="n"/>
      <c r="M209" s="316" t="n"/>
      <c r="N209" s="316" t="n"/>
      <c r="O209" s="173" t="n"/>
      <c r="P209" s="317" t="n"/>
      <c r="Q209" s="162" t="n"/>
      <c r="R209" s="124" t="n"/>
      <c r="S209" s="124" t="n"/>
      <c r="T209" s="124" t="n"/>
      <c r="U209" s="124" t="n"/>
      <c r="V209" s="124" t="n"/>
      <c r="W209" s="124" t="n"/>
      <c r="X209" s="124" t="n"/>
      <c r="Y209" s="124" t="n"/>
      <c r="Z209" s="124" t="n"/>
      <c r="AA209" s="124" t="n"/>
      <c r="AB209" s="124" t="n"/>
      <c r="AC209" s="124" t="n"/>
      <c r="AD209" s="124" t="n"/>
      <c r="AE209" s="124" t="n"/>
      <c r="AF209" s="124" t="n"/>
      <c r="AG209" s="124" t="n"/>
      <c r="AH209" s="124" t="n"/>
      <c r="AI209" s="124" t="n"/>
      <c r="AJ209" s="124" t="n"/>
      <c r="AK209" s="124" t="n"/>
      <c r="AL209" s="124" t="n"/>
      <c r="AM209" s="124" t="n"/>
      <c r="AN209" s="124" t="n"/>
      <c r="AO209" s="124" t="n"/>
      <c r="HB209" s="124" t="n"/>
    </row>
    <row r="210">
      <c r="A210" s="171" t="n"/>
      <c r="B210" s="315" t="n"/>
      <c r="C210" s="173" t="n"/>
      <c r="D210" s="174" t="n"/>
      <c r="E210" s="173" t="n"/>
      <c r="F210" s="173" t="n"/>
      <c r="G210" s="173" t="n"/>
      <c r="H210" s="175" t="n"/>
      <c r="I210" s="132" t="n"/>
      <c r="J210" s="161" t="n"/>
      <c r="K210" s="173" t="n"/>
      <c r="L210" s="316" t="n"/>
      <c r="M210" s="316" t="n"/>
      <c r="N210" s="316" t="n"/>
      <c r="O210" s="173" t="n"/>
      <c r="P210" s="317" t="n"/>
      <c r="Q210" s="162" t="n"/>
      <c r="R210" s="124" t="n"/>
      <c r="S210" s="124" t="n"/>
      <c r="T210" s="124" t="n"/>
      <c r="U210" s="124" t="n"/>
      <c r="V210" s="124" t="n"/>
      <c r="W210" s="124" t="n"/>
      <c r="X210" s="124" t="n"/>
      <c r="Y210" s="124" t="n"/>
      <c r="Z210" s="124" t="n"/>
      <c r="AA210" s="124" t="n"/>
      <c r="AB210" s="124" t="n"/>
      <c r="AC210" s="124" t="n"/>
      <c r="AD210" s="124" t="n"/>
      <c r="AE210" s="124" t="n"/>
      <c r="AF210" s="124" t="n"/>
      <c r="AG210" s="124" t="n"/>
      <c r="AH210" s="124" t="n"/>
      <c r="AI210" s="124" t="n"/>
      <c r="AJ210" s="124" t="n"/>
      <c r="AK210" s="124" t="n"/>
      <c r="AL210" s="124" t="n"/>
      <c r="AM210" s="124" t="n"/>
      <c r="AN210" s="124" t="n"/>
      <c r="AO210" s="124" t="n"/>
      <c r="HB210" s="124" t="n"/>
    </row>
    <row r="211">
      <c r="A211" s="171" t="n"/>
      <c r="B211" s="315" t="n"/>
      <c r="C211" s="173" t="n"/>
      <c r="D211" s="174" t="n"/>
      <c r="E211" s="173" t="n"/>
      <c r="F211" s="173" t="n"/>
      <c r="G211" s="173" t="n"/>
      <c r="H211" s="175" t="n"/>
      <c r="I211" s="132" t="n"/>
      <c r="J211" s="161" t="n"/>
      <c r="K211" s="173" t="n"/>
      <c r="L211" s="316" t="n"/>
      <c r="M211" s="316" t="n"/>
      <c r="N211" s="316" t="n"/>
      <c r="O211" s="173" t="n"/>
      <c r="P211" s="317" t="n"/>
      <c r="Q211" s="162" t="n"/>
      <c r="R211" s="124" t="n"/>
      <c r="S211" s="124" t="n"/>
      <c r="T211" s="124" t="n"/>
      <c r="U211" s="124" t="n"/>
      <c r="V211" s="124" t="n"/>
      <c r="W211" s="124" t="n"/>
      <c r="X211" s="124" t="n"/>
      <c r="Y211" s="124" t="n"/>
      <c r="Z211" s="124" t="n"/>
      <c r="AA211" s="124" t="n"/>
      <c r="AB211" s="124" t="n"/>
      <c r="AC211" s="124" t="n"/>
      <c r="AD211" s="124" t="n"/>
      <c r="AE211" s="124" t="n"/>
      <c r="AF211" s="124" t="n"/>
      <c r="AG211" s="124" t="n"/>
      <c r="AH211" s="124" t="n"/>
      <c r="AI211" s="124" t="n"/>
      <c r="AJ211" s="124" t="n"/>
      <c r="AK211" s="124" t="n"/>
      <c r="AL211" s="124" t="n"/>
      <c r="AM211" s="124" t="n"/>
      <c r="AN211" s="124" t="n"/>
      <c r="AO211" s="124" t="n"/>
      <c r="HB211" s="124" t="n"/>
    </row>
    <row r="212">
      <c r="A212" s="171" t="n"/>
      <c r="B212" s="315" t="n"/>
      <c r="C212" s="173" t="n"/>
      <c r="D212" s="174" t="n"/>
      <c r="E212" s="173" t="n"/>
      <c r="F212" s="173" t="n"/>
      <c r="G212" s="173" t="n"/>
      <c r="H212" s="175" t="n"/>
      <c r="I212" s="132" t="n"/>
      <c r="J212" s="161" t="n"/>
      <c r="K212" s="173" t="n"/>
      <c r="L212" s="316" t="n"/>
      <c r="M212" s="316" t="n"/>
      <c r="N212" s="316" t="n"/>
      <c r="O212" s="173" t="n"/>
      <c r="P212" s="317" t="n"/>
      <c r="Q212" s="162" t="n"/>
      <c r="R212" s="124" t="n"/>
      <c r="S212" s="124" t="n"/>
      <c r="T212" s="124" t="n"/>
      <c r="U212" s="124" t="n"/>
      <c r="V212" s="124" t="n"/>
      <c r="W212" s="124" t="n"/>
      <c r="X212" s="124" t="n"/>
      <c r="Y212" s="124" t="n"/>
      <c r="Z212" s="124" t="n"/>
      <c r="AA212" s="124" t="n"/>
      <c r="AB212" s="124" t="n"/>
      <c r="AC212" s="124" t="n"/>
      <c r="AD212" s="124" t="n"/>
      <c r="AE212" s="124" t="n"/>
      <c r="AF212" s="124" t="n"/>
      <c r="AG212" s="124" t="n"/>
      <c r="AH212" s="124" t="n"/>
      <c r="AI212" s="124" t="n"/>
      <c r="AJ212" s="124" t="n"/>
      <c r="AK212" s="124" t="n"/>
      <c r="AL212" s="124" t="n"/>
      <c r="AM212" s="124" t="n"/>
      <c r="AN212" s="124" t="n"/>
      <c r="AO212" s="124" t="n"/>
      <c r="HB212" s="124" t="n"/>
    </row>
    <row r="213">
      <c r="A213" s="178" t="n"/>
      <c r="B213" s="318" t="n"/>
      <c r="C213" s="180" t="n"/>
      <c r="D213" s="181" t="n"/>
      <c r="E213" s="180" t="n"/>
      <c r="F213" s="180" t="n"/>
      <c r="G213" s="180" t="n"/>
      <c r="H213" s="182" t="n"/>
      <c r="I213" s="183" t="n"/>
      <c r="J213" s="183" t="n"/>
      <c r="K213" s="180" t="n"/>
      <c r="L213" s="319" t="n"/>
      <c r="M213" s="319" t="n"/>
      <c r="N213" s="319" t="n"/>
      <c r="O213" s="180" t="n"/>
      <c r="P213" s="320" t="n"/>
      <c r="Q213" s="186" t="n"/>
      <c r="R213" s="124" t="n"/>
      <c r="S213" s="124" t="n"/>
      <c r="T213" s="124" t="n"/>
      <c r="U213" s="124" t="n"/>
      <c r="V213" s="124" t="n"/>
      <c r="W213" s="124" t="n"/>
      <c r="X213" s="124" t="n"/>
      <c r="Y213" s="124" t="n"/>
      <c r="Z213" s="124" t="n"/>
      <c r="AA213" s="124" t="n"/>
      <c r="AB213" s="124" t="n"/>
      <c r="AC213" s="124" t="n"/>
      <c r="AD213" s="124" t="n"/>
      <c r="AE213" s="124" t="n"/>
      <c r="AF213" s="124" t="n"/>
      <c r="AG213" s="124" t="n"/>
      <c r="AH213" s="124" t="n"/>
      <c r="AI213" s="124" t="n"/>
      <c r="AJ213" s="124" t="n"/>
      <c r="AK213" s="124" t="n"/>
      <c r="AL213" s="124" t="n"/>
      <c r="AM213" s="124" t="n"/>
      <c r="AN213" s="124" t="n"/>
      <c r="AO213" s="124" t="n"/>
      <c r="HB213" s="124" t="n"/>
    </row>
    <row r="214">
      <c r="A214" s="178" t="n"/>
      <c r="B214" s="318" t="n"/>
      <c r="C214" s="180" t="n"/>
      <c r="D214" s="181" t="n"/>
      <c r="E214" s="180" t="n"/>
      <c r="F214" s="180" t="n"/>
      <c r="G214" s="180" t="n"/>
      <c r="H214" s="182" t="n"/>
      <c r="I214" s="183" t="n"/>
      <c r="J214" s="183" t="n"/>
      <c r="K214" s="180" t="n"/>
      <c r="L214" s="319" t="n"/>
      <c r="M214" s="319" t="n"/>
      <c r="N214" s="319" t="n"/>
      <c r="O214" s="180" t="n"/>
      <c r="P214" s="320" t="n"/>
      <c r="Q214" s="186" t="n"/>
      <c r="R214" s="124" t="n"/>
      <c r="S214" s="124" t="n"/>
      <c r="T214" s="124" t="n"/>
      <c r="U214" s="124" t="n"/>
      <c r="V214" s="124" t="n"/>
      <c r="W214" s="124" t="n"/>
      <c r="X214" s="124" t="n"/>
      <c r="Y214" s="124" t="n"/>
      <c r="Z214" s="124" t="n"/>
      <c r="AA214" s="124" t="n"/>
      <c r="AB214" s="124" t="n"/>
      <c r="AC214" s="124" t="n"/>
      <c r="AD214" s="124" t="n"/>
      <c r="AE214" s="124" t="n"/>
      <c r="AF214" s="124" t="n"/>
      <c r="AG214" s="124" t="n"/>
      <c r="AH214" s="124" t="n"/>
      <c r="AI214" s="124" t="n"/>
      <c r="AJ214" s="124" t="n"/>
      <c r="AK214" s="124" t="n"/>
      <c r="AL214" s="124" t="n"/>
      <c r="AM214" s="124" t="n"/>
      <c r="AN214" s="124" t="n"/>
      <c r="AO214" s="124" t="n"/>
      <c r="HB214" s="124" t="n"/>
    </row>
    <row r="215">
      <c r="A215" s="178" t="n"/>
      <c r="B215" s="318" t="n"/>
      <c r="C215" s="180" t="n"/>
      <c r="D215" s="181" t="n"/>
      <c r="E215" s="180" t="n"/>
      <c r="F215" s="180" t="n"/>
      <c r="G215" s="180" t="n"/>
      <c r="H215" s="182" t="n"/>
      <c r="I215" s="183" t="n"/>
      <c r="J215" s="183" t="n"/>
      <c r="K215" s="180" t="n"/>
      <c r="L215" s="319" t="n"/>
      <c r="M215" s="319" t="n"/>
      <c r="N215" s="319" t="n"/>
      <c r="O215" s="180" t="n"/>
      <c r="P215" s="320" t="n"/>
      <c r="Q215" s="186" t="n"/>
      <c r="R215" s="124" t="n"/>
      <c r="S215" s="124" t="n"/>
      <c r="T215" s="124" t="n"/>
      <c r="U215" s="124" t="n"/>
      <c r="V215" s="124" t="n"/>
      <c r="W215" s="124" t="n"/>
      <c r="X215" s="124" t="n"/>
      <c r="Y215" s="124" t="n"/>
      <c r="Z215" s="124" t="n"/>
      <c r="AA215" s="124" t="n"/>
      <c r="AB215" s="124" t="n"/>
      <c r="AC215" s="124" t="n"/>
      <c r="AD215" s="124" t="n"/>
      <c r="AE215" s="124" t="n"/>
      <c r="AF215" s="124" t="n"/>
      <c r="AG215" s="124" t="n"/>
      <c r="AH215" s="124" t="n"/>
      <c r="AI215" s="124" t="n"/>
      <c r="AJ215" s="124" t="n"/>
      <c r="AK215" s="124" t="n"/>
      <c r="AL215" s="124" t="n"/>
      <c r="AM215" s="124" t="n"/>
      <c r="AN215" s="124" t="n"/>
      <c r="AO215" s="124" t="n"/>
      <c r="HB215" s="124" t="n"/>
    </row>
    <row r="216" customFormat="1" s="131">
      <c r="A216" s="171" t="n"/>
      <c r="B216" s="315" t="n"/>
      <c r="C216" s="173" t="n"/>
      <c r="D216" s="174" t="n"/>
      <c r="E216" s="173" t="n"/>
      <c r="F216" s="173" t="n"/>
      <c r="G216" s="173" t="n"/>
      <c r="H216" s="175" t="n"/>
      <c r="I216" s="132" t="n"/>
      <c r="J216" s="161" t="n"/>
      <c r="K216" s="173" t="n"/>
      <c r="L216" s="316" t="n"/>
      <c r="M216" s="316" t="n"/>
      <c r="N216" s="316" t="n"/>
      <c r="O216" s="173" t="n"/>
      <c r="P216" s="317" t="n"/>
      <c r="Q216" s="162" t="n"/>
      <c r="R216" s="133" t="n"/>
      <c r="S216" s="133" t="n"/>
      <c r="T216" s="133" t="n"/>
      <c r="U216" s="133" t="n"/>
      <c r="V216" s="133" t="n"/>
      <c r="W216" s="133" t="n"/>
      <c r="X216" s="133" t="n"/>
      <c r="Y216" s="133" t="n"/>
      <c r="Z216" s="133" t="n"/>
      <c r="AA216" s="133" t="n"/>
      <c r="AB216" s="133" t="n"/>
      <c r="AC216" s="133" t="n"/>
      <c r="AD216" s="133" t="n"/>
      <c r="AE216" s="133" t="n"/>
      <c r="AF216" s="133" t="n"/>
      <c r="AG216" s="133" t="n"/>
      <c r="AH216" s="133" t="n"/>
      <c r="AI216" s="133" t="n"/>
      <c r="AJ216" s="133" t="n"/>
      <c r="AK216" s="133" t="n"/>
      <c r="AL216" s="133" t="n"/>
      <c r="AM216" s="133" t="n"/>
      <c r="AN216" s="133" t="n"/>
      <c r="AO216" s="133" t="n"/>
      <c r="HB216" s="133" t="n"/>
    </row>
    <row r="217" customFormat="1" s="131">
      <c r="A217" s="171" t="n"/>
      <c r="B217" s="315" t="n"/>
      <c r="C217" s="173" t="n"/>
      <c r="D217" s="174" t="n"/>
      <c r="E217" s="173" t="n"/>
      <c r="F217" s="173" t="n"/>
      <c r="G217" s="173" t="n"/>
      <c r="H217" s="175" t="n"/>
      <c r="I217" s="132" t="n"/>
      <c r="J217" s="161" t="n"/>
      <c r="K217" s="173" t="n"/>
      <c r="L217" s="316" t="n"/>
      <c r="M217" s="316" t="n"/>
      <c r="N217" s="316" t="n"/>
      <c r="O217" s="173" t="n"/>
      <c r="P217" s="317" t="n"/>
      <c r="Q217" s="162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30" t="n"/>
      <c r="AA217" s="130" t="n"/>
      <c r="AB217" s="130" t="n"/>
      <c r="AC217" s="130" t="n"/>
      <c r="AD217" s="130" t="n"/>
      <c r="AE217" s="130" t="n"/>
      <c r="AF217" s="130" t="n"/>
      <c r="AG217" s="130" t="n"/>
      <c r="AH217" s="130" t="n"/>
      <c r="AI217" s="130" t="n"/>
      <c r="AJ217" s="130" t="n"/>
      <c r="AK217" s="130" t="n"/>
      <c r="AL217" s="130" t="n"/>
      <c r="AM217" s="130" t="n"/>
      <c r="AN217" s="130" t="n"/>
      <c r="AO217" s="130" t="n"/>
      <c r="HB217" s="130" t="n"/>
    </row>
    <row r="218">
      <c r="A218" s="171" t="n"/>
      <c r="B218" s="315" t="n"/>
      <c r="C218" s="173" t="n"/>
      <c r="D218" s="174" t="n"/>
      <c r="E218" s="173" t="n"/>
      <c r="F218" s="173" t="n"/>
      <c r="G218" s="173" t="n"/>
      <c r="H218" s="175" t="n"/>
      <c r="I218" s="132" t="n"/>
      <c r="J218" s="161" t="n"/>
      <c r="K218" s="173" t="n"/>
      <c r="L218" s="316" t="n"/>
      <c r="M218" s="316" t="n"/>
      <c r="N218" s="316" t="n"/>
      <c r="O218" s="173" t="n"/>
      <c r="P218" s="317" t="n"/>
      <c r="Q218" s="162" t="n"/>
      <c r="R218" s="124" t="n"/>
      <c r="S218" s="124" t="n"/>
      <c r="T218" s="124" t="n"/>
      <c r="U218" s="124" t="n"/>
      <c r="V218" s="124" t="n"/>
      <c r="W218" s="124" t="n"/>
      <c r="X218" s="124" t="n"/>
      <c r="Y218" s="124" t="n"/>
      <c r="Z218" s="124" t="n"/>
      <c r="AA218" s="124" t="n"/>
      <c r="AB218" s="124" t="n"/>
      <c r="AC218" s="124" t="n"/>
      <c r="AD218" s="124" t="n"/>
      <c r="AE218" s="124" t="n"/>
      <c r="AF218" s="124" t="n"/>
      <c r="AG218" s="124" t="n"/>
      <c r="AH218" s="124" t="n"/>
      <c r="AI218" s="124" t="n"/>
      <c r="AJ218" s="124" t="n"/>
      <c r="AK218" s="124" t="n"/>
      <c r="AL218" s="124" t="n"/>
      <c r="AM218" s="124" t="n"/>
      <c r="AN218" s="124" t="n"/>
      <c r="AO218" s="124" t="n"/>
      <c r="HB218" s="124" t="n"/>
    </row>
    <row r="219">
      <c r="A219" s="171" t="n"/>
      <c r="B219" s="315" t="n"/>
      <c r="C219" s="173" t="n"/>
      <c r="D219" s="174" t="n"/>
      <c r="E219" s="173" t="n"/>
      <c r="F219" s="173" t="n"/>
      <c r="G219" s="173" t="n"/>
      <c r="H219" s="175" t="n"/>
      <c r="I219" s="132" t="n"/>
      <c r="J219" s="161" t="n"/>
      <c r="K219" s="173" t="n"/>
      <c r="L219" s="316" t="n"/>
      <c r="M219" s="316" t="n"/>
      <c r="N219" s="316" t="n"/>
      <c r="O219" s="173" t="n"/>
      <c r="P219" s="317" t="n"/>
      <c r="Q219" s="162" t="n"/>
      <c r="R219" s="124" t="n"/>
      <c r="S219" s="124" t="n"/>
      <c r="T219" s="124" t="n"/>
      <c r="U219" s="124" t="n"/>
      <c r="V219" s="124" t="n"/>
      <c r="W219" s="124" t="n"/>
      <c r="X219" s="124" t="n"/>
      <c r="Y219" s="124" t="n"/>
      <c r="Z219" s="124" t="n"/>
      <c r="AA219" s="124" t="n"/>
      <c r="AB219" s="124" t="n"/>
      <c r="AC219" s="124" t="n"/>
      <c r="AD219" s="124" t="n"/>
      <c r="AE219" s="124" t="n"/>
      <c r="AF219" s="124" t="n"/>
      <c r="AG219" s="124" t="n"/>
      <c r="AH219" s="124" t="n"/>
      <c r="AI219" s="124" t="n"/>
      <c r="AJ219" s="124" t="n"/>
      <c r="AK219" s="124" t="n"/>
      <c r="AL219" s="124" t="n"/>
      <c r="AM219" s="124" t="n"/>
      <c r="AN219" s="124" t="n"/>
      <c r="AO219" s="124" t="n"/>
      <c r="HB219" s="124" t="n"/>
    </row>
    <row r="220">
      <c r="A220" s="171" t="n"/>
      <c r="B220" s="315" t="n"/>
      <c r="C220" s="173" t="n"/>
      <c r="D220" s="174" t="n"/>
      <c r="E220" s="173" t="n"/>
      <c r="F220" s="173" t="n"/>
      <c r="G220" s="173" t="n"/>
      <c r="H220" s="175" t="n"/>
      <c r="I220" s="132" t="n"/>
      <c r="J220" s="161" t="n"/>
      <c r="K220" s="173" t="n"/>
      <c r="L220" s="316" t="n"/>
      <c r="M220" s="316" t="n"/>
      <c r="N220" s="316" t="n"/>
      <c r="O220" s="173" t="n"/>
      <c r="P220" s="317" t="n"/>
      <c r="Q220" s="162" t="n"/>
      <c r="R220" s="124" t="n"/>
      <c r="S220" s="124" t="n"/>
      <c r="T220" s="124" t="n"/>
      <c r="U220" s="124" t="n"/>
      <c r="V220" s="124" t="n"/>
      <c r="W220" s="124" t="n"/>
      <c r="X220" s="124" t="n"/>
      <c r="Y220" s="124" t="n"/>
      <c r="Z220" s="124" t="n"/>
      <c r="AA220" s="124" t="n"/>
      <c r="AB220" s="124" t="n"/>
      <c r="AC220" s="124" t="n"/>
      <c r="AD220" s="124" t="n"/>
      <c r="AE220" s="124" t="n"/>
      <c r="AF220" s="124" t="n"/>
      <c r="AG220" s="124" t="n"/>
      <c r="AH220" s="124" t="n"/>
      <c r="AI220" s="124" t="n"/>
      <c r="AJ220" s="124" t="n"/>
      <c r="AK220" s="124" t="n"/>
      <c r="AL220" s="124" t="n"/>
      <c r="AM220" s="124" t="n"/>
      <c r="AN220" s="124" t="n"/>
      <c r="AO220" s="124" t="n"/>
      <c r="HB220" s="124" t="n"/>
    </row>
    <row r="221">
      <c r="A221" s="171" t="n"/>
      <c r="B221" s="315" t="n"/>
      <c r="C221" s="173" t="n"/>
      <c r="D221" s="174" t="n"/>
      <c r="E221" s="173" t="n"/>
      <c r="F221" s="173" t="n"/>
      <c r="G221" s="173" t="n"/>
      <c r="H221" s="175" t="n"/>
      <c r="I221" s="132" t="n"/>
      <c r="J221" s="161" t="n"/>
      <c r="K221" s="173" t="n"/>
      <c r="L221" s="316" t="n"/>
      <c r="M221" s="316" t="n"/>
      <c r="N221" s="316" t="n"/>
      <c r="O221" s="173" t="n"/>
      <c r="P221" s="317" t="n"/>
      <c r="Q221" s="162" t="n"/>
      <c r="R221" s="124" t="n"/>
      <c r="S221" s="124" t="n"/>
      <c r="T221" s="124" t="n"/>
      <c r="U221" s="124" t="n"/>
      <c r="V221" s="124" t="n"/>
      <c r="W221" s="124" t="n"/>
      <c r="X221" s="124" t="n"/>
      <c r="Y221" s="124" t="n"/>
      <c r="Z221" s="124" t="n"/>
      <c r="AA221" s="124" t="n"/>
      <c r="AB221" s="124" t="n"/>
      <c r="AC221" s="124" t="n"/>
      <c r="AD221" s="124" t="n"/>
      <c r="AE221" s="124" t="n"/>
      <c r="AF221" s="124" t="n"/>
      <c r="AG221" s="124" t="n"/>
      <c r="AH221" s="124" t="n"/>
      <c r="AI221" s="124" t="n"/>
      <c r="AJ221" s="124" t="n"/>
      <c r="AK221" s="124" t="n"/>
      <c r="AL221" s="124" t="n"/>
      <c r="AM221" s="124" t="n"/>
      <c r="AN221" s="124" t="n"/>
      <c r="AO221" s="124" t="n"/>
      <c r="HB221" s="124" t="n"/>
    </row>
    <row r="222">
      <c r="A222" s="171" t="n"/>
      <c r="B222" s="315" t="n"/>
      <c r="C222" s="173" t="n"/>
      <c r="D222" s="174" t="n"/>
      <c r="E222" s="173" t="n"/>
      <c r="F222" s="173" t="n"/>
      <c r="G222" s="173" t="n"/>
      <c r="H222" s="175" t="n"/>
      <c r="I222" s="132" t="n"/>
      <c r="J222" s="161" t="n"/>
      <c r="K222" s="173" t="n"/>
      <c r="L222" s="316" t="n"/>
      <c r="M222" s="316" t="n"/>
      <c r="N222" s="316" t="n"/>
      <c r="O222" s="173" t="n"/>
      <c r="P222" s="317" t="n"/>
      <c r="Q222" s="162" t="n"/>
      <c r="R222" s="124" t="n"/>
      <c r="S222" s="124" t="n"/>
      <c r="T222" s="124" t="n"/>
      <c r="U222" s="124" t="n"/>
      <c r="V222" s="124" t="n"/>
      <c r="W222" s="124" t="n"/>
      <c r="X222" s="124" t="n"/>
      <c r="Y222" s="124" t="n"/>
      <c r="Z222" s="124" t="n"/>
      <c r="AA222" s="124" t="n"/>
      <c r="AB222" s="124" t="n"/>
      <c r="AC222" s="124" t="n"/>
      <c r="AD222" s="124" t="n"/>
      <c r="AE222" s="124" t="n"/>
      <c r="AF222" s="124" t="n"/>
      <c r="AG222" s="124" t="n"/>
      <c r="AH222" s="124" t="n"/>
      <c r="AI222" s="124" t="n"/>
      <c r="AJ222" s="124" t="n"/>
      <c r="AK222" s="124" t="n"/>
      <c r="AL222" s="124" t="n"/>
      <c r="AM222" s="124" t="n"/>
      <c r="AN222" s="124" t="n"/>
      <c r="AO222" s="124" t="n"/>
      <c r="HB222" s="124" t="n"/>
    </row>
    <row r="223">
      <c r="A223" s="171" t="n"/>
      <c r="B223" s="315" t="n"/>
      <c r="C223" s="173" t="n"/>
      <c r="D223" s="174" t="n"/>
      <c r="E223" s="173" t="n"/>
      <c r="F223" s="173" t="n"/>
      <c r="G223" s="173" t="n"/>
      <c r="H223" s="175" t="n"/>
      <c r="I223" s="132" t="n"/>
      <c r="J223" s="161" t="n"/>
      <c r="K223" s="173" t="n"/>
      <c r="L223" s="316" t="n"/>
      <c r="M223" s="316" t="n"/>
      <c r="N223" s="316" t="n"/>
      <c r="O223" s="173" t="n"/>
      <c r="P223" s="317" t="n"/>
      <c r="Q223" s="162" t="n"/>
      <c r="R223" s="124" t="n"/>
      <c r="S223" s="124" t="n"/>
      <c r="T223" s="124" t="n"/>
      <c r="U223" s="124" t="n"/>
      <c r="V223" s="124" t="n"/>
      <c r="W223" s="124" t="n"/>
      <c r="X223" s="124" t="n"/>
      <c r="Y223" s="124" t="n"/>
      <c r="Z223" s="124" t="n"/>
      <c r="AA223" s="124" t="n"/>
      <c r="AB223" s="124" t="n"/>
      <c r="AC223" s="124" t="n"/>
      <c r="AD223" s="124" t="n"/>
      <c r="AE223" s="124" t="n"/>
      <c r="AF223" s="124" t="n"/>
      <c r="AG223" s="124" t="n"/>
      <c r="AH223" s="124" t="n"/>
      <c r="AI223" s="124" t="n"/>
      <c r="AJ223" s="124" t="n"/>
      <c r="AK223" s="124" t="n"/>
      <c r="AL223" s="124" t="n"/>
      <c r="AM223" s="124" t="n"/>
      <c r="AN223" s="124" t="n"/>
      <c r="AO223" s="124" t="n"/>
      <c r="HB223" s="124" t="n"/>
    </row>
    <row r="224">
      <c r="A224" s="171" t="n"/>
      <c r="B224" s="315" t="n"/>
      <c r="C224" s="173" t="n"/>
      <c r="D224" s="174" t="n"/>
      <c r="E224" s="173" t="n"/>
      <c r="F224" s="173" t="n"/>
      <c r="G224" s="173" t="n"/>
      <c r="H224" s="175" t="n"/>
      <c r="I224" s="132" t="n"/>
      <c r="J224" s="161" t="n"/>
      <c r="K224" s="173" t="n"/>
      <c r="L224" s="316" t="n"/>
      <c r="M224" s="316" t="n"/>
      <c r="N224" s="316" t="n"/>
      <c r="O224" s="173" t="n"/>
      <c r="P224" s="317" t="n"/>
      <c r="Q224" s="162" t="n"/>
      <c r="R224" s="124" t="n"/>
      <c r="S224" s="124" t="n"/>
      <c r="T224" s="124" t="n"/>
      <c r="U224" s="124" t="n"/>
      <c r="V224" s="124" t="n"/>
      <c r="W224" s="124" t="n"/>
      <c r="X224" s="124" t="n"/>
      <c r="Y224" s="124" t="n"/>
      <c r="Z224" s="124" t="n"/>
      <c r="AA224" s="124" t="n"/>
      <c r="AB224" s="124" t="n"/>
      <c r="AC224" s="124" t="n"/>
      <c r="AD224" s="124" t="n"/>
      <c r="AE224" s="124" t="n"/>
      <c r="AF224" s="124" t="n"/>
      <c r="AG224" s="124" t="n"/>
      <c r="AH224" s="124" t="n"/>
      <c r="AI224" s="124" t="n"/>
      <c r="AJ224" s="124" t="n"/>
      <c r="AK224" s="124" t="n"/>
      <c r="AL224" s="124" t="n"/>
      <c r="AM224" s="124" t="n"/>
      <c r="AN224" s="124" t="n"/>
      <c r="AO224" s="124" t="n"/>
      <c r="HB224" s="124" t="n"/>
    </row>
    <row r="225">
      <c r="A225" s="171" t="n"/>
      <c r="B225" s="315" t="n"/>
      <c r="C225" s="173" t="n"/>
      <c r="D225" s="174" t="n"/>
      <c r="E225" s="173" t="n"/>
      <c r="F225" s="173" t="n"/>
      <c r="G225" s="173" t="n"/>
      <c r="H225" s="175" t="n"/>
      <c r="I225" s="132" t="n"/>
      <c r="J225" s="161" t="n"/>
      <c r="K225" s="173" t="n"/>
      <c r="L225" s="316" t="n"/>
      <c r="M225" s="316" t="n"/>
      <c r="N225" s="316" t="n"/>
      <c r="O225" s="173" t="n"/>
      <c r="P225" s="317" t="n"/>
      <c r="Q225" s="162" t="n"/>
      <c r="R225" s="124" t="n"/>
      <c r="S225" s="124" t="n"/>
      <c r="T225" s="124" t="n"/>
      <c r="U225" s="124" t="n"/>
      <c r="V225" s="124" t="n"/>
      <c r="W225" s="124" t="n"/>
      <c r="X225" s="124" t="n"/>
      <c r="Y225" s="124" t="n"/>
      <c r="Z225" s="124" t="n"/>
      <c r="AA225" s="124" t="n"/>
      <c r="AB225" s="124" t="n"/>
      <c r="AC225" s="124" t="n"/>
      <c r="AD225" s="124" t="n"/>
      <c r="AE225" s="124" t="n"/>
      <c r="AF225" s="124" t="n"/>
      <c r="AG225" s="124" t="n"/>
      <c r="AH225" s="124" t="n"/>
      <c r="AI225" s="124" t="n"/>
      <c r="AJ225" s="124" t="n"/>
      <c r="AK225" s="124" t="n"/>
      <c r="AL225" s="124" t="n"/>
      <c r="AM225" s="124" t="n"/>
      <c r="AN225" s="124" t="n"/>
      <c r="AO225" s="124" t="n"/>
      <c r="HB225" s="124" t="n"/>
    </row>
    <row r="226" customFormat="1" s="131">
      <c r="A226" s="171" t="n"/>
      <c r="B226" s="315" t="n"/>
      <c r="C226" s="173" t="n"/>
      <c r="D226" s="174" t="n"/>
      <c r="E226" s="173" t="n"/>
      <c r="F226" s="173" t="n"/>
      <c r="G226" s="173" t="n"/>
      <c r="H226" s="175" t="n"/>
      <c r="I226" s="132" t="n"/>
      <c r="J226" s="161" t="n"/>
      <c r="K226" s="173" t="n"/>
      <c r="L226" s="316" t="n"/>
      <c r="M226" s="316" t="n"/>
      <c r="N226" s="316" t="n"/>
      <c r="O226" s="173" t="n"/>
      <c r="P226" s="317" t="n"/>
      <c r="Q226" s="162" t="n"/>
      <c r="R226" s="130" t="n"/>
      <c r="S226" s="130" t="n"/>
      <c r="T226" s="130" t="n"/>
      <c r="U226" s="130" t="n"/>
      <c r="V226" s="130" t="n"/>
      <c r="W226" s="130" t="n"/>
      <c r="X226" s="130" t="n"/>
      <c r="Y226" s="130" t="n"/>
      <c r="Z226" s="130" t="n"/>
      <c r="AA226" s="130" t="n"/>
      <c r="AB226" s="130" t="n"/>
      <c r="AC226" s="130" t="n"/>
      <c r="AD226" s="130" t="n"/>
      <c r="AE226" s="130" t="n"/>
      <c r="AF226" s="130" t="n"/>
      <c r="AG226" s="130" t="n"/>
      <c r="AH226" s="130" t="n"/>
      <c r="AI226" s="130" t="n"/>
      <c r="AJ226" s="130" t="n"/>
      <c r="AK226" s="130" t="n"/>
      <c r="AL226" s="130" t="n"/>
      <c r="AM226" s="130" t="n"/>
      <c r="AN226" s="130" t="n"/>
      <c r="AO226" s="130" t="n"/>
      <c r="HB226" s="130" t="n"/>
    </row>
    <row r="227">
      <c r="A227" s="171" t="n"/>
      <c r="B227" s="315" t="n"/>
      <c r="C227" s="173" t="n"/>
      <c r="D227" s="174" t="n"/>
      <c r="E227" s="173" t="n"/>
      <c r="F227" s="173" t="n"/>
      <c r="G227" s="173" t="n"/>
      <c r="H227" s="175" t="n"/>
      <c r="I227" s="132" t="n"/>
      <c r="J227" s="161" t="n"/>
      <c r="K227" s="173" t="n"/>
      <c r="L227" s="316" t="n"/>
      <c r="M227" s="316" t="n"/>
      <c r="N227" s="316" t="n"/>
      <c r="O227" s="173" t="n"/>
      <c r="P227" s="317" t="n"/>
      <c r="Q227" s="162" t="n"/>
      <c r="R227" s="124" t="n"/>
      <c r="S227" s="124" t="n"/>
      <c r="T227" s="124" t="n"/>
      <c r="U227" s="124" t="n"/>
      <c r="V227" s="124" t="n"/>
      <c r="W227" s="124" t="n"/>
      <c r="X227" s="124" t="n"/>
      <c r="Y227" s="124" t="n"/>
      <c r="Z227" s="124" t="n"/>
      <c r="AA227" s="124" t="n"/>
      <c r="AB227" s="124" t="n"/>
      <c r="AC227" s="124" t="n"/>
      <c r="AD227" s="124" t="n"/>
      <c r="AE227" s="124" t="n"/>
      <c r="AF227" s="124" t="n"/>
      <c r="AG227" s="124" t="n"/>
      <c r="AH227" s="124" t="n"/>
      <c r="AI227" s="124" t="n"/>
      <c r="AJ227" s="124" t="n"/>
      <c r="AK227" s="124" t="n"/>
      <c r="AL227" s="124" t="n"/>
      <c r="AM227" s="124" t="n"/>
      <c r="AN227" s="124" t="n"/>
      <c r="AO227" s="124" t="n"/>
      <c r="HB227" s="124" t="n"/>
    </row>
    <row r="228">
      <c r="A228" s="171" t="n"/>
      <c r="B228" s="315" t="n"/>
      <c r="C228" s="173" t="n"/>
      <c r="D228" s="174" t="n"/>
      <c r="E228" s="173" t="n"/>
      <c r="F228" s="173" t="n"/>
      <c r="G228" s="173" t="n"/>
      <c r="H228" s="175" t="n"/>
      <c r="I228" s="132" t="n"/>
      <c r="J228" s="161" t="n"/>
      <c r="K228" s="173" t="n"/>
      <c r="L228" s="316" t="n"/>
      <c r="M228" s="316" t="n"/>
      <c r="N228" s="316" t="n"/>
      <c r="O228" s="173" t="n"/>
      <c r="P228" s="317" t="n"/>
      <c r="Q228" s="162" t="n"/>
      <c r="R228" s="124" t="n"/>
      <c r="S228" s="124" t="n"/>
      <c r="T228" s="124" t="n"/>
      <c r="U228" s="124" t="n"/>
      <c r="V228" s="124" t="n"/>
      <c r="W228" s="124" t="n"/>
      <c r="X228" s="124" t="n"/>
      <c r="Y228" s="124" t="n"/>
      <c r="Z228" s="124" t="n"/>
      <c r="AA228" s="124" t="n"/>
      <c r="AB228" s="124" t="n"/>
      <c r="AC228" s="124" t="n"/>
      <c r="AD228" s="124" t="n"/>
      <c r="AE228" s="124" t="n"/>
      <c r="AF228" s="124" t="n"/>
      <c r="AG228" s="124" t="n"/>
      <c r="AH228" s="124" t="n"/>
      <c r="AI228" s="124" t="n"/>
      <c r="AJ228" s="124" t="n"/>
      <c r="AK228" s="124" t="n"/>
      <c r="AL228" s="124" t="n"/>
      <c r="AM228" s="124" t="n"/>
      <c r="AN228" s="124" t="n"/>
      <c r="AO228" s="124" t="n"/>
      <c r="HB228" s="124" t="n"/>
    </row>
    <row r="229">
      <c r="A229" s="171" t="n"/>
      <c r="B229" s="315" t="n"/>
      <c r="C229" s="173" t="n"/>
      <c r="D229" s="174" t="n"/>
      <c r="E229" s="173" t="n"/>
      <c r="F229" s="173" t="n"/>
      <c r="G229" s="173" t="n"/>
      <c r="H229" s="175" t="n"/>
      <c r="I229" s="132" t="n"/>
      <c r="J229" s="161" t="n"/>
      <c r="K229" s="173" t="n"/>
      <c r="L229" s="316" t="n"/>
      <c r="M229" s="316" t="n"/>
      <c r="N229" s="316" t="n"/>
      <c r="O229" s="173" t="n"/>
      <c r="P229" s="317" t="n"/>
      <c r="Q229" s="162" t="n"/>
      <c r="R229" s="124" t="n"/>
      <c r="S229" s="124" t="n"/>
      <c r="T229" s="124" t="n"/>
      <c r="U229" s="124" t="n"/>
      <c r="V229" s="124" t="n"/>
      <c r="W229" s="124" t="n"/>
      <c r="X229" s="124" t="n"/>
      <c r="Y229" s="124" t="n"/>
      <c r="Z229" s="124" t="n"/>
      <c r="AA229" s="124" t="n"/>
      <c r="AB229" s="124" t="n"/>
      <c r="AC229" s="124" t="n"/>
      <c r="AD229" s="124" t="n"/>
      <c r="AE229" s="124" t="n"/>
      <c r="AF229" s="124" t="n"/>
      <c r="AG229" s="124" t="n"/>
      <c r="AH229" s="124" t="n"/>
      <c r="AI229" s="124" t="n"/>
      <c r="AJ229" s="124" t="n"/>
      <c r="AK229" s="124" t="n"/>
      <c r="AL229" s="124" t="n"/>
      <c r="AM229" s="124" t="n"/>
      <c r="AN229" s="124" t="n"/>
      <c r="AO229" s="124" t="n"/>
      <c r="HB229" s="124" t="n"/>
    </row>
    <row r="230">
      <c r="A230" s="171" t="n"/>
      <c r="B230" s="315" t="n"/>
      <c r="C230" s="173" t="n"/>
      <c r="D230" s="174" t="n"/>
      <c r="E230" s="173" t="n"/>
      <c r="F230" s="173" t="n"/>
      <c r="G230" s="173" t="n"/>
      <c r="H230" s="175" t="n"/>
      <c r="I230" s="132" t="n"/>
      <c r="J230" s="161" t="n"/>
      <c r="K230" s="173" t="n"/>
      <c r="L230" s="316" t="n"/>
      <c r="M230" s="316" t="n"/>
      <c r="N230" s="316" t="n"/>
      <c r="O230" s="173" t="n"/>
      <c r="P230" s="317" t="n"/>
      <c r="Q230" s="162" t="n"/>
      <c r="R230" s="124" t="n"/>
      <c r="S230" s="124" t="n"/>
      <c r="T230" s="124" t="n"/>
      <c r="U230" s="124" t="n"/>
      <c r="V230" s="124" t="n"/>
      <c r="W230" s="124" t="n"/>
      <c r="X230" s="124" t="n"/>
      <c r="Y230" s="124" t="n"/>
      <c r="Z230" s="124" t="n"/>
      <c r="AA230" s="124" t="n"/>
      <c r="AB230" s="124" t="n"/>
      <c r="AC230" s="124" t="n"/>
      <c r="AD230" s="124" t="n"/>
      <c r="AE230" s="124" t="n"/>
      <c r="AF230" s="124" t="n"/>
      <c r="AG230" s="124" t="n"/>
      <c r="AH230" s="124" t="n"/>
      <c r="AI230" s="124" t="n"/>
      <c r="AJ230" s="124" t="n"/>
      <c r="AK230" s="124" t="n"/>
      <c r="AL230" s="124" t="n"/>
      <c r="AM230" s="124" t="n"/>
      <c r="AN230" s="124" t="n"/>
      <c r="AO230" s="124" t="n"/>
      <c r="HB230" s="124" t="n"/>
    </row>
    <row r="231">
      <c r="A231" s="171" t="n"/>
      <c r="B231" s="315" t="n"/>
      <c r="C231" s="173" t="n"/>
      <c r="D231" s="174" t="n"/>
      <c r="E231" s="173" t="n"/>
      <c r="F231" s="173" t="n"/>
      <c r="G231" s="173" t="n"/>
      <c r="H231" s="175" t="n"/>
      <c r="I231" s="132" t="n"/>
      <c r="J231" s="161" t="n"/>
      <c r="K231" s="173" t="n"/>
      <c r="L231" s="316" t="n"/>
      <c r="M231" s="316" t="n"/>
      <c r="N231" s="316" t="n"/>
      <c r="O231" s="173" t="n"/>
      <c r="P231" s="317" t="n"/>
      <c r="Q231" s="162" t="n"/>
      <c r="R231" s="124" t="n"/>
      <c r="S231" s="124" t="n"/>
      <c r="T231" s="124" t="n"/>
      <c r="U231" s="124" t="n"/>
      <c r="V231" s="124" t="n"/>
      <c r="W231" s="124" t="n"/>
      <c r="X231" s="124" t="n"/>
      <c r="Y231" s="124" t="n"/>
      <c r="Z231" s="124" t="n"/>
      <c r="AA231" s="124" t="n"/>
      <c r="AB231" s="124" t="n"/>
      <c r="AC231" s="124" t="n"/>
      <c r="AD231" s="124" t="n"/>
      <c r="AE231" s="124" t="n"/>
      <c r="AF231" s="124" t="n"/>
      <c r="AG231" s="124" t="n"/>
      <c r="AH231" s="124" t="n"/>
      <c r="AI231" s="124" t="n"/>
      <c r="AJ231" s="124" t="n"/>
      <c r="AK231" s="124" t="n"/>
      <c r="AL231" s="124" t="n"/>
      <c r="AM231" s="124" t="n"/>
      <c r="AN231" s="124" t="n"/>
      <c r="AO231" s="124" t="n"/>
      <c r="HB231" s="124" t="n"/>
    </row>
    <row r="232">
      <c r="A232" s="171" t="n"/>
      <c r="B232" s="315" t="n"/>
      <c r="C232" s="173" t="n"/>
      <c r="D232" s="174" t="n"/>
      <c r="E232" s="173" t="n"/>
      <c r="F232" s="173" t="n"/>
      <c r="G232" s="173" t="n"/>
      <c r="H232" s="175" t="n"/>
      <c r="I232" s="132" t="n"/>
      <c r="J232" s="161" t="n"/>
      <c r="K232" s="173" t="n"/>
      <c r="L232" s="316" t="n"/>
      <c r="M232" s="316" t="n"/>
      <c r="N232" s="316" t="n"/>
      <c r="O232" s="173" t="n"/>
      <c r="P232" s="317" t="n"/>
      <c r="Q232" s="162" t="n"/>
      <c r="R232" s="124" t="n"/>
      <c r="S232" s="124" t="n"/>
      <c r="T232" s="124" t="n"/>
      <c r="U232" s="124" t="n"/>
      <c r="V232" s="124" t="n"/>
      <c r="W232" s="124" t="n"/>
      <c r="X232" s="124" t="n"/>
      <c r="Y232" s="124" t="n"/>
      <c r="Z232" s="124" t="n"/>
      <c r="AA232" s="124" t="n"/>
      <c r="AB232" s="124" t="n"/>
      <c r="AC232" s="124" t="n"/>
      <c r="AD232" s="124" t="n"/>
      <c r="AE232" s="124" t="n"/>
      <c r="AF232" s="124" t="n"/>
      <c r="AG232" s="124" t="n"/>
      <c r="AH232" s="124" t="n"/>
      <c r="AI232" s="124" t="n"/>
      <c r="AJ232" s="124" t="n"/>
      <c r="AK232" s="124" t="n"/>
      <c r="AL232" s="124" t="n"/>
      <c r="AM232" s="124" t="n"/>
      <c r="AN232" s="124" t="n"/>
      <c r="AO232" s="124" t="n"/>
      <c r="HB232" s="124" t="n"/>
    </row>
    <row r="233">
      <c r="A233" s="171" t="n"/>
      <c r="B233" s="315" t="n"/>
      <c r="C233" s="173" t="n"/>
      <c r="D233" s="174" t="n"/>
      <c r="E233" s="173" t="n"/>
      <c r="F233" s="173" t="n"/>
      <c r="G233" s="173" t="n"/>
      <c r="H233" s="175" t="n"/>
      <c r="I233" s="132" t="n"/>
      <c r="J233" s="161" t="n"/>
      <c r="K233" s="173" t="n"/>
      <c r="L233" s="316" t="n"/>
      <c r="M233" s="316" t="n"/>
      <c r="N233" s="316" t="n"/>
      <c r="O233" s="173" t="n"/>
      <c r="P233" s="317" t="n"/>
      <c r="Q233" s="162" t="n"/>
      <c r="R233" s="124" t="n"/>
      <c r="S233" s="124" t="n"/>
      <c r="T233" s="124" t="n"/>
      <c r="U233" s="124" t="n"/>
      <c r="V233" s="124" t="n"/>
      <c r="W233" s="124" t="n"/>
      <c r="X233" s="124" t="n"/>
      <c r="Y233" s="124" t="n"/>
      <c r="Z233" s="124" t="n"/>
      <c r="AA233" s="124" t="n"/>
      <c r="AB233" s="124" t="n"/>
      <c r="AC233" s="124" t="n"/>
      <c r="AD233" s="124" t="n"/>
      <c r="AE233" s="124" t="n"/>
      <c r="AF233" s="124" t="n"/>
      <c r="AG233" s="124" t="n"/>
      <c r="AH233" s="124" t="n"/>
      <c r="AI233" s="124" t="n"/>
      <c r="AJ233" s="124" t="n"/>
      <c r="AK233" s="124" t="n"/>
      <c r="AL233" s="124" t="n"/>
      <c r="AM233" s="124" t="n"/>
      <c r="AN233" s="124" t="n"/>
      <c r="AO233" s="124" t="n"/>
      <c r="HB233" s="124" t="n"/>
    </row>
    <row r="234">
      <c r="A234" s="171" t="n"/>
      <c r="B234" s="315" t="n"/>
      <c r="C234" s="173" t="n"/>
      <c r="D234" s="174" t="n"/>
      <c r="E234" s="173" t="n"/>
      <c r="F234" s="173" t="n"/>
      <c r="G234" s="173" t="n"/>
      <c r="H234" s="175" t="n"/>
      <c r="I234" s="132" t="n"/>
      <c r="J234" s="161" t="n"/>
      <c r="K234" s="173" t="n"/>
      <c r="L234" s="316" t="n"/>
      <c r="M234" s="316" t="n"/>
      <c r="N234" s="316" t="n"/>
      <c r="O234" s="173" t="n"/>
      <c r="P234" s="317" t="n"/>
      <c r="Q234" s="162" t="n"/>
      <c r="R234" s="124" t="n"/>
      <c r="S234" s="124" t="n"/>
      <c r="T234" s="124" t="n"/>
      <c r="U234" s="124" t="n"/>
      <c r="V234" s="124" t="n"/>
      <c r="W234" s="124" t="n"/>
      <c r="X234" s="124" t="n"/>
      <c r="Y234" s="124" t="n"/>
      <c r="Z234" s="124" t="n"/>
      <c r="AA234" s="124" t="n"/>
      <c r="AB234" s="124" t="n"/>
      <c r="AC234" s="124" t="n"/>
      <c r="AD234" s="124" t="n"/>
      <c r="AE234" s="124" t="n"/>
      <c r="AF234" s="124" t="n"/>
      <c r="AG234" s="124" t="n"/>
      <c r="AH234" s="124" t="n"/>
      <c r="AI234" s="124" t="n"/>
      <c r="AJ234" s="124" t="n"/>
      <c r="AK234" s="124" t="n"/>
      <c r="AL234" s="124" t="n"/>
      <c r="AM234" s="124" t="n"/>
      <c r="AN234" s="124" t="n"/>
      <c r="AO234" s="124" t="n"/>
      <c r="HB234" s="124" t="n"/>
    </row>
    <row r="235">
      <c r="A235" s="171" t="n"/>
      <c r="B235" s="315" t="n"/>
      <c r="C235" s="173" t="n"/>
      <c r="D235" s="174" t="n"/>
      <c r="E235" s="173" t="n"/>
      <c r="F235" s="173" t="n"/>
      <c r="G235" s="173" t="n"/>
      <c r="H235" s="175" t="n"/>
      <c r="I235" s="132" t="n"/>
      <c r="J235" s="161" t="n"/>
      <c r="K235" s="173" t="n"/>
      <c r="L235" s="316" t="n"/>
      <c r="M235" s="316" t="n"/>
      <c r="N235" s="316" t="n"/>
      <c r="O235" s="173" t="n"/>
      <c r="P235" s="317" t="n"/>
      <c r="Q235" s="162" t="n"/>
      <c r="R235" s="124" t="n"/>
      <c r="S235" s="124" t="n"/>
      <c r="T235" s="124" t="n"/>
      <c r="U235" s="124" t="n"/>
      <c r="V235" s="124" t="n"/>
      <c r="W235" s="124" t="n"/>
      <c r="X235" s="124" t="n"/>
      <c r="Y235" s="124" t="n"/>
      <c r="Z235" s="124" t="n"/>
      <c r="AA235" s="124" t="n"/>
      <c r="AB235" s="124" t="n"/>
      <c r="AC235" s="124" t="n"/>
      <c r="AD235" s="124" t="n"/>
      <c r="AE235" s="124" t="n"/>
      <c r="AF235" s="124" t="n"/>
      <c r="AG235" s="124" t="n"/>
      <c r="AH235" s="124" t="n"/>
      <c r="AI235" s="124" t="n"/>
      <c r="AJ235" s="124" t="n"/>
      <c r="AK235" s="124" t="n"/>
      <c r="AL235" s="124" t="n"/>
      <c r="AM235" s="124" t="n"/>
      <c r="AN235" s="124" t="n"/>
      <c r="AO235" s="124" t="n"/>
      <c r="HB235" s="124" t="n"/>
    </row>
    <row r="236">
      <c r="A236" s="171" t="n"/>
      <c r="B236" s="315" t="n"/>
      <c r="C236" s="173" t="n"/>
      <c r="D236" s="174" t="n"/>
      <c r="E236" s="173" t="n"/>
      <c r="F236" s="173" t="n"/>
      <c r="G236" s="173" t="n"/>
      <c r="H236" s="175" t="n"/>
      <c r="I236" s="132" t="n"/>
      <c r="J236" s="161" t="n"/>
      <c r="K236" s="173" t="n"/>
      <c r="L236" s="316" t="n"/>
      <c r="M236" s="316" t="n"/>
      <c r="N236" s="316" t="n"/>
      <c r="O236" s="173" t="n"/>
      <c r="P236" s="317" t="n"/>
      <c r="Q236" s="162" t="n"/>
      <c r="R236" s="124" t="n"/>
      <c r="S236" s="124" t="n"/>
      <c r="T236" s="124" t="n"/>
      <c r="U236" s="124" t="n"/>
      <c r="V236" s="124" t="n"/>
      <c r="W236" s="124" t="n"/>
      <c r="X236" s="124" t="n"/>
      <c r="Y236" s="124" t="n"/>
      <c r="Z236" s="124" t="n"/>
      <c r="AA236" s="124" t="n"/>
      <c r="AB236" s="124" t="n"/>
      <c r="AC236" s="124" t="n"/>
      <c r="AD236" s="124" t="n"/>
      <c r="AE236" s="124" t="n"/>
      <c r="AF236" s="124" t="n"/>
      <c r="AG236" s="124" t="n"/>
      <c r="AH236" s="124" t="n"/>
      <c r="AI236" s="124" t="n"/>
      <c r="AJ236" s="124" t="n"/>
      <c r="AK236" s="124" t="n"/>
      <c r="AL236" s="124" t="n"/>
      <c r="AM236" s="124" t="n"/>
      <c r="AN236" s="124" t="n"/>
      <c r="AO236" s="124" t="n"/>
      <c r="HB236" s="124" t="n"/>
    </row>
    <row r="237">
      <c r="A237" s="171" t="n"/>
      <c r="B237" s="315" t="n"/>
      <c r="C237" s="173" t="n"/>
      <c r="D237" s="174" t="n"/>
      <c r="E237" s="173" t="n"/>
      <c r="F237" s="173" t="n"/>
      <c r="G237" s="173" t="n"/>
      <c r="H237" s="175" t="n"/>
      <c r="I237" s="132" t="n"/>
      <c r="J237" s="161" t="n"/>
      <c r="K237" s="173" t="n"/>
      <c r="L237" s="316" t="n"/>
      <c r="M237" s="316" t="n"/>
      <c r="N237" s="316" t="n"/>
      <c r="O237" s="173" t="n"/>
      <c r="P237" s="317" t="n"/>
      <c r="Q237" s="162" t="n"/>
      <c r="R237" s="124" t="n"/>
      <c r="S237" s="124" t="n"/>
      <c r="T237" s="124" t="n"/>
      <c r="U237" s="124" t="n"/>
      <c r="V237" s="124" t="n"/>
      <c r="W237" s="124" t="n"/>
      <c r="X237" s="124" t="n"/>
      <c r="Y237" s="124" t="n"/>
      <c r="Z237" s="124" t="n"/>
      <c r="AA237" s="124" t="n"/>
      <c r="AB237" s="124" t="n"/>
      <c r="AC237" s="124" t="n"/>
      <c r="AD237" s="124" t="n"/>
      <c r="AE237" s="124" t="n"/>
      <c r="AF237" s="124" t="n"/>
      <c r="AG237" s="124" t="n"/>
      <c r="AH237" s="124" t="n"/>
      <c r="AI237" s="124" t="n"/>
      <c r="AJ237" s="124" t="n"/>
      <c r="AK237" s="124" t="n"/>
      <c r="AL237" s="124" t="n"/>
      <c r="AM237" s="124" t="n"/>
      <c r="AN237" s="124" t="n"/>
      <c r="AO237" s="124" t="n"/>
      <c r="HB237" s="124" t="n"/>
    </row>
    <row r="238">
      <c r="A238" s="171" t="n"/>
      <c r="B238" s="315" t="n"/>
      <c r="C238" s="173" t="n"/>
      <c r="D238" s="174" t="n"/>
      <c r="E238" s="173" t="n"/>
      <c r="F238" s="173" t="n"/>
      <c r="G238" s="173" t="n"/>
      <c r="H238" s="175" t="n"/>
      <c r="I238" s="132" t="n"/>
      <c r="J238" s="161" t="n"/>
      <c r="K238" s="173" t="n"/>
      <c r="L238" s="316" t="n"/>
      <c r="M238" s="316" t="n"/>
      <c r="N238" s="316" t="n"/>
      <c r="O238" s="173" t="n"/>
      <c r="P238" s="317" t="n"/>
      <c r="Q238" s="162" t="n"/>
      <c r="R238" s="124" t="n"/>
      <c r="S238" s="124" t="n"/>
      <c r="T238" s="124" t="n"/>
      <c r="U238" s="124" t="n"/>
      <c r="V238" s="124" t="n"/>
      <c r="W238" s="124" t="n"/>
      <c r="X238" s="124" t="n"/>
      <c r="Y238" s="124" t="n"/>
      <c r="Z238" s="124" t="n"/>
      <c r="AA238" s="124" t="n"/>
      <c r="AB238" s="124" t="n"/>
      <c r="AC238" s="124" t="n"/>
      <c r="AD238" s="124" t="n"/>
      <c r="AE238" s="124" t="n"/>
      <c r="AF238" s="124" t="n"/>
      <c r="AG238" s="124" t="n"/>
      <c r="AH238" s="124" t="n"/>
      <c r="AI238" s="124" t="n"/>
      <c r="AJ238" s="124" t="n"/>
      <c r="AK238" s="124" t="n"/>
      <c r="AL238" s="124" t="n"/>
      <c r="AM238" s="124" t="n"/>
      <c r="AN238" s="124" t="n"/>
      <c r="AO238" s="124" t="n"/>
      <c r="HB238" s="124" t="n"/>
    </row>
    <row r="239">
      <c r="A239" s="178" t="n"/>
      <c r="B239" s="318" t="n"/>
      <c r="C239" s="180" t="n"/>
      <c r="D239" s="181" t="n"/>
      <c r="E239" s="180" t="n"/>
      <c r="F239" s="180" t="n"/>
      <c r="G239" s="180" t="n"/>
      <c r="H239" s="182" t="n"/>
      <c r="I239" s="183" t="n"/>
      <c r="J239" s="183" t="n"/>
      <c r="K239" s="180" t="n"/>
      <c r="L239" s="319" t="n"/>
      <c r="M239" s="319" t="n"/>
      <c r="N239" s="319" t="n"/>
      <c r="O239" s="180" t="n"/>
      <c r="P239" s="320" t="n"/>
      <c r="Q239" s="186" t="n"/>
      <c r="R239" s="124" t="n"/>
      <c r="S239" s="124" t="n"/>
      <c r="T239" s="124" t="n"/>
      <c r="U239" s="124" t="n"/>
      <c r="V239" s="124" t="n"/>
      <c r="W239" s="124" t="n"/>
      <c r="X239" s="124" t="n"/>
      <c r="Y239" s="124" t="n"/>
      <c r="Z239" s="124" t="n"/>
      <c r="AA239" s="124" t="n"/>
      <c r="AB239" s="124" t="n"/>
      <c r="AC239" s="124" t="n"/>
      <c r="AD239" s="124" t="n"/>
      <c r="AE239" s="124" t="n"/>
      <c r="AF239" s="124" t="n"/>
      <c r="AG239" s="124" t="n"/>
      <c r="AH239" s="124" t="n"/>
      <c r="AI239" s="124" t="n"/>
      <c r="AJ239" s="124" t="n"/>
      <c r="AK239" s="124" t="n"/>
      <c r="AL239" s="124" t="n"/>
      <c r="AM239" s="124" t="n"/>
      <c r="AN239" s="124" t="n"/>
      <c r="AO239" s="124" t="n"/>
      <c r="HB239" s="124" t="n"/>
    </row>
    <row r="240">
      <c r="A240" s="178" t="n"/>
      <c r="B240" s="318" t="n"/>
      <c r="C240" s="180" t="n"/>
      <c r="D240" s="181" t="n"/>
      <c r="E240" s="180" t="n"/>
      <c r="F240" s="180" t="n"/>
      <c r="G240" s="180" t="n"/>
      <c r="H240" s="182" t="n"/>
      <c r="I240" s="183" t="n"/>
      <c r="J240" s="183" t="n"/>
      <c r="K240" s="180" t="n"/>
      <c r="L240" s="319" t="n"/>
      <c r="M240" s="319" t="n"/>
      <c r="N240" s="319" t="n"/>
      <c r="O240" s="180" t="n"/>
      <c r="P240" s="320" t="n"/>
      <c r="Q240" s="186" t="n"/>
      <c r="R240" s="124" t="n"/>
      <c r="S240" s="124" t="n"/>
      <c r="T240" s="124" t="n"/>
      <c r="U240" s="124" t="n"/>
      <c r="V240" s="124" t="n"/>
      <c r="W240" s="124" t="n"/>
      <c r="X240" s="124" t="n"/>
      <c r="Y240" s="124" t="n"/>
      <c r="Z240" s="124" t="n"/>
      <c r="AA240" s="124" t="n"/>
      <c r="AB240" s="124" t="n"/>
      <c r="AC240" s="124" t="n"/>
      <c r="AD240" s="124" t="n"/>
      <c r="AE240" s="124" t="n"/>
      <c r="AF240" s="124" t="n"/>
      <c r="AG240" s="124" t="n"/>
      <c r="AH240" s="124" t="n"/>
      <c r="AI240" s="124" t="n"/>
      <c r="AJ240" s="124" t="n"/>
      <c r="AK240" s="124" t="n"/>
      <c r="AL240" s="124" t="n"/>
      <c r="AM240" s="124" t="n"/>
      <c r="AN240" s="124" t="n"/>
      <c r="AO240" s="124" t="n"/>
      <c r="HB240" s="124" t="n"/>
    </row>
    <row r="241">
      <c r="A241" s="178" t="n"/>
      <c r="B241" s="318" t="n"/>
      <c r="C241" s="180" t="n"/>
      <c r="D241" s="181" t="n"/>
      <c r="E241" s="180" t="n"/>
      <c r="F241" s="180" t="n"/>
      <c r="G241" s="180" t="n"/>
      <c r="H241" s="182" t="n"/>
      <c r="I241" s="183" t="n"/>
      <c r="J241" s="183" t="n"/>
      <c r="K241" s="180" t="n"/>
      <c r="L241" s="319" t="n"/>
      <c r="M241" s="319" t="n"/>
      <c r="N241" s="319" t="n"/>
      <c r="O241" s="180" t="n"/>
      <c r="P241" s="320" t="n"/>
      <c r="Q241" s="186" t="n"/>
      <c r="R241" s="124" t="n"/>
      <c r="S241" s="124" t="n"/>
      <c r="T241" s="124" t="n"/>
      <c r="U241" s="124" t="n"/>
      <c r="V241" s="124" t="n"/>
      <c r="W241" s="124" t="n"/>
      <c r="X241" s="124" t="n"/>
      <c r="Y241" s="124" t="n"/>
      <c r="Z241" s="124" t="n"/>
      <c r="AA241" s="124" t="n"/>
      <c r="AB241" s="124" t="n"/>
      <c r="AC241" s="124" t="n"/>
      <c r="AD241" s="124" t="n"/>
      <c r="AE241" s="124" t="n"/>
      <c r="AF241" s="124" t="n"/>
      <c r="AG241" s="124" t="n"/>
      <c r="AH241" s="124" t="n"/>
      <c r="AI241" s="124" t="n"/>
      <c r="AJ241" s="124" t="n"/>
      <c r="AK241" s="124" t="n"/>
      <c r="AL241" s="124" t="n"/>
      <c r="AM241" s="124" t="n"/>
      <c r="AN241" s="124" t="n"/>
      <c r="AO241" s="124" t="n"/>
      <c r="HB241" s="124" t="n"/>
    </row>
    <row r="242" customFormat="1" s="131">
      <c r="A242" s="171" t="n"/>
      <c r="B242" s="315" t="n"/>
      <c r="C242" s="173" t="n"/>
      <c r="D242" s="174" t="n"/>
      <c r="E242" s="173" t="n"/>
      <c r="F242" s="173" t="n"/>
      <c r="G242" s="173" t="n"/>
      <c r="H242" s="175" t="n"/>
      <c r="I242" s="132" t="n"/>
      <c r="J242" s="161" t="n"/>
      <c r="K242" s="173" t="n"/>
      <c r="L242" s="316" t="n"/>
      <c r="M242" s="316" t="n"/>
      <c r="N242" s="316" t="n"/>
      <c r="O242" s="173" t="n"/>
      <c r="P242" s="317" t="n"/>
      <c r="Q242" s="162" t="n"/>
      <c r="R242" s="130" t="n"/>
      <c r="S242" s="130" t="n"/>
      <c r="T242" s="130" t="n"/>
      <c r="U242" s="130" t="n"/>
      <c r="V242" s="130" t="n"/>
      <c r="W242" s="130" t="n"/>
      <c r="X242" s="130" t="n"/>
      <c r="Y242" s="130" t="n"/>
      <c r="Z242" s="130" t="n"/>
      <c r="AA242" s="130" t="n"/>
      <c r="AB242" s="130" t="n"/>
      <c r="AC242" s="130" t="n"/>
      <c r="AD242" s="130" t="n"/>
      <c r="AE242" s="130" t="n"/>
      <c r="AF242" s="130" t="n"/>
      <c r="AG242" s="130" t="n"/>
      <c r="AH242" s="130" t="n"/>
      <c r="AI242" s="130" t="n"/>
      <c r="AJ242" s="130" t="n"/>
      <c r="AK242" s="130" t="n"/>
      <c r="AL242" s="130" t="n"/>
      <c r="AM242" s="130" t="n"/>
      <c r="AN242" s="130" t="n"/>
      <c r="AO242" s="130" t="n"/>
      <c r="HB242" s="130" t="n"/>
    </row>
    <row r="243">
      <c r="A243" s="171" t="n"/>
      <c r="B243" s="315" t="n"/>
      <c r="C243" s="173" t="n"/>
      <c r="D243" s="174" t="n"/>
      <c r="E243" s="173" t="n"/>
      <c r="F243" s="173" t="n"/>
      <c r="G243" s="173" t="n"/>
      <c r="H243" s="175" t="n"/>
      <c r="I243" s="132" t="n"/>
      <c r="J243" s="161" t="n"/>
      <c r="K243" s="173" t="n"/>
      <c r="L243" s="316" t="n"/>
      <c r="M243" s="316" t="n"/>
      <c r="N243" s="316" t="n"/>
      <c r="O243" s="173" t="n"/>
      <c r="P243" s="317" t="n"/>
      <c r="Q243" s="162" t="n"/>
      <c r="R243" s="124" t="n"/>
      <c r="S243" s="124" t="n"/>
      <c r="T243" s="124" t="n"/>
      <c r="U243" s="124" t="n"/>
      <c r="V243" s="124" t="n"/>
      <c r="W243" s="124" t="n"/>
      <c r="X243" s="124" t="n"/>
      <c r="Y243" s="124" t="n"/>
      <c r="Z243" s="124" t="n"/>
      <c r="AA243" s="124" t="n"/>
      <c r="AB243" s="124" t="n"/>
      <c r="AC243" s="124" t="n"/>
      <c r="AD243" s="124" t="n"/>
      <c r="AE243" s="124" t="n"/>
      <c r="AF243" s="124" t="n"/>
      <c r="AG243" s="124" t="n"/>
      <c r="AH243" s="124" t="n"/>
      <c r="AI243" s="124" t="n"/>
      <c r="AJ243" s="124" t="n"/>
      <c r="AK243" s="124" t="n"/>
      <c r="AL243" s="124" t="n"/>
      <c r="AM243" s="124" t="n"/>
      <c r="AN243" s="124" t="n"/>
      <c r="AO243" s="124" t="n"/>
      <c r="HB243" s="124" t="n"/>
    </row>
    <row r="244">
      <c r="A244" s="171" t="n"/>
      <c r="B244" s="315" t="n"/>
      <c r="C244" s="173" t="n"/>
      <c r="D244" s="174" t="n"/>
      <c r="E244" s="173" t="n"/>
      <c r="F244" s="173" t="n"/>
      <c r="G244" s="173" t="n"/>
      <c r="H244" s="175" t="n"/>
      <c r="I244" s="132" t="n"/>
      <c r="J244" s="161" t="n"/>
      <c r="K244" s="173" t="n"/>
      <c r="L244" s="316" t="n"/>
      <c r="M244" s="316" t="n"/>
      <c r="N244" s="316" t="n"/>
      <c r="O244" s="173" t="n"/>
      <c r="P244" s="317" t="n"/>
      <c r="Q244" s="162" t="n"/>
      <c r="R244" s="124" t="n"/>
      <c r="S244" s="124" t="n"/>
      <c r="T244" s="124" t="n"/>
      <c r="U244" s="124" t="n"/>
      <c r="V244" s="124" t="n"/>
      <c r="W244" s="124" t="n"/>
      <c r="X244" s="124" t="n"/>
      <c r="Y244" s="124" t="n"/>
      <c r="Z244" s="124" t="n"/>
      <c r="AA244" s="124" t="n"/>
      <c r="AB244" s="124" t="n"/>
      <c r="AC244" s="124" t="n"/>
      <c r="AD244" s="124" t="n"/>
      <c r="AE244" s="124" t="n"/>
      <c r="AF244" s="124" t="n"/>
      <c r="AG244" s="124" t="n"/>
      <c r="AH244" s="124" t="n"/>
      <c r="AI244" s="124" t="n"/>
      <c r="AJ244" s="124" t="n"/>
      <c r="AK244" s="124" t="n"/>
      <c r="AL244" s="124" t="n"/>
      <c r="AM244" s="124" t="n"/>
      <c r="AN244" s="124" t="n"/>
      <c r="AO244" s="124" t="n"/>
      <c r="HB244" s="124" t="n"/>
    </row>
    <row r="245">
      <c r="A245" s="171" t="n"/>
      <c r="B245" s="315" t="n"/>
      <c r="C245" s="173" t="n"/>
      <c r="D245" s="174" t="n"/>
      <c r="E245" s="173" t="n"/>
      <c r="F245" s="173" t="n"/>
      <c r="G245" s="173" t="n"/>
      <c r="H245" s="175" t="n"/>
      <c r="I245" s="132" t="n"/>
      <c r="J245" s="161" t="n"/>
      <c r="K245" s="173" t="n"/>
      <c r="L245" s="316" t="n"/>
      <c r="M245" s="316" t="n"/>
      <c r="N245" s="316" t="n"/>
      <c r="O245" s="173" t="n"/>
      <c r="P245" s="317" t="n"/>
      <c r="Q245" s="162" t="n"/>
      <c r="R245" s="124" t="n"/>
      <c r="S245" s="124" t="n"/>
      <c r="T245" s="124" t="n"/>
      <c r="U245" s="124" t="n"/>
      <c r="V245" s="124" t="n"/>
      <c r="W245" s="124" t="n"/>
      <c r="X245" s="124" t="n"/>
      <c r="Y245" s="124" t="n"/>
      <c r="Z245" s="124" t="n"/>
      <c r="AA245" s="124" t="n"/>
      <c r="AB245" s="124" t="n"/>
      <c r="AC245" s="124" t="n"/>
      <c r="AD245" s="124" t="n"/>
      <c r="AE245" s="124" t="n"/>
      <c r="AF245" s="124" t="n"/>
      <c r="AG245" s="124" t="n"/>
      <c r="AH245" s="124" t="n"/>
      <c r="AI245" s="124" t="n"/>
      <c r="AJ245" s="124" t="n"/>
      <c r="AK245" s="124" t="n"/>
      <c r="AL245" s="124" t="n"/>
      <c r="AM245" s="124" t="n"/>
      <c r="AN245" s="124" t="n"/>
      <c r="AO245" s="124" t="n"/>
      <c r="HB245" s="124" t="n"/>
    </row>
    <row r="246">
      <c r="A246" s="171" t="n"/>
      <c r="B246" s="315" t="n"/>
      <c r="C246" s="173" t="n"/>
      <c r="D246" s="174" t="n"/>
      <c r="E246" s="173" t="n"/>
      <c r="F246" s="173" t="n"/>
      <c r="G246" s="173" t="n"/>
      <c r="H246" s="175" t="n"/>
      <c r="I246" s="132" t="n"/>
      <c r="J246" s="161" t="n"/>
      <c r="K246" s="173" t="n"/>
      <c r="L246" s="316" t="n"/>
      <c r="M246" s="316" t="n"/>
      <c r="N246" s="316" t="n"/>
      <c r="O246" s="173" t="n"/>
      <c r="P246" s="317" t="n"/>
      <c r="Q246" s="162" t="n"/>
      <c r="R246" s="124" t="n"/>
      <c r="S246" s="124" t="n"/>
      <c r="T246" s="124" t="n"/>
      <c r="U246" s="124" t="n"/>
      <c r="V246" s="124" t="n"/>
      <c r="W246" s="124" t="n"/>
      <c r="X246" s="124" t="n"/>
      <c r="Y246" s="124" t="n"/>
      <c r="Z246" s="124" t="n"/>
      <c r="AA246" s="124" t="n"/>
      <c r="AB246" s="124" t="n"/>
      <c r="AC246" s="124" t="n"/>
      <c r="AD246" s="124" t="n"/>
      <c r="AE246" s="124" t="n"/>
      <c r="AF246" s="124" t="n"/>
      <c r="AG246" s="124" t="n"/>
      <c r="AH246" s="124" t="n"/>
      <c r="AI246" s="124" t="n"/>
      <c r="AJ246" s="124" t="n"/>
      <c r="AK246" s="124" t="n"/>
      <c r="AL246" s="124" t="n"/>
      <c r="AM246" s="124" t="n"/>
      <c r="AN246" s="124" t="n"/>
      <c r="AO246" s="124" t="n"/>
      <c r="HB246" s="124" t="n"/>
    </row>
    <row r="247">
      <c r="A247" s="171" t="n"/>
      <c r="B247" s="315" t="n"/>
      <c r="C247" s="173" t="n"/>
      <c r="D247" s="174" t="n"/>
      <c r="E247" s="173" t="n"/>
      <c r="F247" s="173" t="n"/>
      <c r="G247" s="173" t="n"/>
      <c r="H247" s="175" t="n"/>
      <c r="I247" s="132" t="n"/>
      <c r="J247" s="161" t="n"/>
      <c r="K247" s="173" t="n"/>
      <c r="L247" s="316" t="n"/>
      <c r="M247" s="316" t="n"/>
      <c r="N247" s="316" t="n"/>
      <c r="O247" s="173" t="n"/>
      <c r="P247" s="317" t="n"/>
      <c r="Q247" s="162" t="n"/>
      <c r="R247" s="124" t="n"/>
      <c r="S247" s="124" t="n"/>
      <c r="T247" s="124" t="n"/>
      <c r="U247" s="124" t="n"/>
      <c r="V247" s="124" t="n"/>
      <c r="W247" s="124" t="n"/>
      <c r="X247" s="124" t="n"/>
      <c r="Y247" s="124" t="n"/>
      <c r="Z247" s="124" t="n"/>
      <c r="AA247" s="124" t="n"/>
      <c r="AB247" s="124" t="n"/>
      <c r="AC247" s="124" t="n"/>
      <c r="AD247" s="124" t="n"/>
      <c r="AE247" s="124" t="n"/>
      <c r="AF247" s="124" t="n"/>
      <c r="AG247" s="124" t="n"/>
      <c r="AH247" s="124" t="n"/>
      <c r="AI247" s="124" t="n"/>
      <c r="AJ247" s="124" t="n"/>
      <c r="AK247" s="124" t="n"/>
      <c r="AL247" s="124" t="n"/>
      <c r="AM247" s="124" t="n"/>
      <c r="AN247" s="124" t="n"/>
      <c r="AO247" s="124" t="n"/>
      <c r="HB247" s="124" t="n"/>
    </row>
    <row r="248">
      <c r="A248" s="171" t="n"/>
      <c r="B248" s="315" t="n"/>
      <c r="C248" s="173" t="n"/>
      <c r="D248" s="174" t="n"/>
      <c r="E248" s="173" t="n"/>
      <c r="F248" s="173" t="n"/>
      <c r="G248" s="173" t="n"/>
      <c r="H248" s="175" t="n"/>
      <c r="I248" s="132" t="n"/>
      <c r="J248" s="161" t="n"/>
      <c r="K248" s="173" t="n"/>
      <c r="L248" s="316" t="n"/>
      <c r="M248" s="316" t="n"/>
      <c r="N248" s="316" t="n"/>
      <c r="O248" s="173" t="n"/>
      <c r="P248" s="317" t="n"/>
      <c r="Q248" s="162" t="n"/>
      <c r="R248" s="124" t="n"/>
      <c r="S248" s="124" t="n"/>
      <c r="T248" s="124" t="n"/>
      <c r="U248" s="124" t="n"/>
      <c r="V248" s="124" t="n"/>
      <c r="W248" s="124" t="n"/>
      <c r="X248" s="124" t="n"/>
      <c r="Y248" s="124" t="n"/>
      <c r="Z248" s="124" t="n"/>
      <c r="AA248" s="124" t="n"/>
      <c r="AB248" s="124" t="n"/>
      <c r="AC248" s="124" t="n"/>
      <c r="AD248" s="124" t="n"/>
      <c r="AE248" s="124" t="n"/>
      <c r="AF248" s="124" t="n"/>
      <c r="AG248" s="124" t="n"/>
      <c r="AH248" s="124" t="n"/>
      <c r="AI248" s="124" t="n"/>
      <c r="AJ248" s="124" t="n"/>
      <c r="AK248" s="124" t="n"/>
      <c r="AL248" s="124" t="n"/>
      <c r="AM248" s="124" t="n"/>
      <c r="AN248" s="124" t="n"/>
      <c r="AO248" s="124" t="n"/>
      <c r="HB248" s="124" t="n"/>
    </row>
    <row r="249">
      <c r="A249" s="171" t="n"/>
      <c r="B249" s="315" t="n"/>
      <c r="C249" s="173" t="n"/>
      <c r="D249" s="174" t="n"/>
      <c r="E249" s="173" t="n"/>
      <c r="F249" s="173" t="n"/>
      <c r="G249" s="173" t="n"/>
      <c r="H249" s="175" t="n"/>
      <c r="I249" s="132" t="n"/>
      <c r="J249" s="161" t="n"/>
      <c r="K249" s="173" t="n"/>
      <c r="L249" s="316" t="n"/>
      <c r="M249" s="316" t="n"/>
      <c r="N249" s="316" t="n"/>
      <c r="O249" s="173" t="n"/>
      <c r="P249" s="317" t="n"/>
      <c r="Q249" s="162" t="n"/>
      <c r="R249" s="124" t="n"/>
      <c r="S249" s="124" t="n"/>
      <c r="T249" s="124" t="n"/>
      <c r="U249" s="124" t="n"/>
      <c r="V249" s="124" t="n"/>
      <c r="W249" s="124" t="n"/>
      <c r="X249" s="124" t="n"/>
      <c r="Y249" s="124" t="n"/>
      <c r="Z249" s="124" t="n"/>
      <c r="AA249" s="124" t="n"/>
      <c r="AB249" s="124" t="n"/>
      <c r="AC249" s="124" t="n"/>
      <c r="AD249" s="124" t="n"/>
      <c r="AE249" s="124" t="n"/>
      <c r="AF249" s="124" t="n"/>
      <c r="AG249" s="124" t="n"/>
      <c r="AH249" s="124" t="n"/>
      <c r="AI249" s="124" t="n"/>
      <c r="AJ249" s="124" t="n"/>
      <c r="AK249" s="124" t="n"/>
      <c r="AL249" s="124" t="n"/>
      <c r="AM249" s="124" t="n"/>
      <c r="AN249" s="124" t="n"/>
      <c r="AO249" s="124" t="n"/>
      <c r="HB249" s="124" t="n"/>
    </row>
    <row r="250" ht="14.25" customHeight="1" thickBot="1">
      <c r="A250" s="187" t="n"/>
      <c r="B250" s="321" t="n"/>
      <c r="C250" s="189" t="n"/>
      <c r="D250" s="190" t="n"/>
      <c r="E250" s="189" t="n"/>
      <c r="F250" s="189" t="n"/>
      <c r="G250" s="189" t="n"/>
      <c r="H250" s="191" t="n"/>
      <c r="I250" s="192" t="n"/>
      <c r="J250" s="192" t="n"/>
      <c r="K250" s="189" t="n"/>
      <c r="L250" s="322" t="n"/>
      <c r="M250" s="322" t="n"/>
      <c r="N250" s="322" t="n"/>
      <c r="O250" s="189" t="n"/>
      <c r="P250" s="323" t="n"/>
      <c r="Q250" s="195" t="n"/>
      <c r="R250" s="124" t="n"/>
      <c r="S250" s="124" t="n"/>
      <c r="T250" s="124" t="n"/>
      <c r="U250" s="124" t="n"/>
      <c r="V250" s="124" t="n"/>
      <c r="W250" s="124" t="n"/>
      <c r="X250" s="124" t="n"/>
      <c r="Y250" s="124" t="n"/>
      <c r="Z250" s="124" t="n"/>
      <c r="AA250" s="124" t="n"/>
      <c r="AB250" s="124" t="n"/>
      <c r="AC250" s="124" t="n"/>
      <c r="AD250" s="124" t="n"/>
      <c r="AE250" s="124" t="n"/>
      <c r="AF250" s="124" t="n"/>
      <c r="AG250" s="124" t="n"/>
      <c r="AH250" s="124" t="n"/>
      <c r="AI250" s="124" t="n"/>
      <c r="AJ250" s="124" t="n"/>
      <c r="AK250" s="124" t="n"/>
      <c r="AL250" s="124" t="n"/>
      <c r="AM250" s="124" t="n"/>
      <c r="AN250" s="124" t="n"/>
      <c r="AO250" s="124" t="n"/>
      <c r="HB250" s="124" t="n"/>
    </row>
  </sheetData>
  <mergeCells count="13">
    <mergeCell ref="F3:G3"/>
    <mergeCell ref="F4:G4"/>
    <mergeCell ref="F2:G2"/>
    <mergeCell ref="D9:G9"/>
    <mergeCell ref="H9:K9"/>
    <mergeCell ref="A9:A10"/>
    <mergeCell ref="Q9:Q10"/>
    <mergeCell ref="F5:G5"/>
    <mergeCell ref="L9:N9"/>
    <mergeCell ref="F6:G6"/>
    <mergeCell ref="O9:P9"/>
    <mergeCell ref="B9:C9"/>
    <mergeCell ref="F7:G7"/>
  </mergeCells>
  <dataValidations count="5">
    <dataValidation sqref="G11:G250" showDropDown="0" showInputMessage="0" showErrorMessage="0" allowBlank="1" type="list">
      <formula1>"1,2,3,4,5"</formula1>
    </dataValidation>
    <dataValidation sqref="D11:D250" showDropDown="0" showInputMessage="0" showErrorMessage="0" allowBlank="1" type="list">
      <formula1>"콘텐츠수정,레이아웃/UI결함,기능오류,기능개선/추가요건,기타"</formula1>
    </dataValidation>
    <dataValidation sqref="E11:E250" showDropDown="0" showInputMessage="1" showErrorMessage="1" allowBlank="1" type="list">
      <formula1>"기획,디자인,디자인+퍼블,퍼블+개발,개발"</formula1>
    </dataValidation>
    <dataValidation sqref="F11:F250" showDropDown="0" showInputMessage="1" showErrorMessage="1" allowBlank="1" type="list">
      <formula1>"FO,BO,FO+BO,API,기타"</formula1>
    </dataValidation>
    <dataValidation sqref="K11:K250" showDropDown="0" showInputMessage="1" showErrorMessage="1" allowBlank="1" type="list">
      <formula1>"협의필요,처리예정,처리중,처리완료,수용불가"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/>
  </sheetPr>
  <dimension ref="A1:Z988"/>
  <sheetViews>
    <sheetView workbookViewId="0">
      <selection activeCell="A1" sqref="A1"/>
    </sheetView>
  </sheetViews>
  <sheetFormatPr baseColWidth="8" defaultColWidth="14.42578125" defaultRowHeight="15" customHeight="1"/>
  <cols>
    <col width="10.28515625" customWidth="1" min="1" max="1"/>
    <col width="59.85546875" customWidth="1" min="2" max="2"/>
    <col width="12.140625" customWidth="1" min="3" max="3"/>
    <col width="11.42578125" customWidth="1" min="4" max="6"/>
    <col width="11" customWidth="1" min="7" max="9"/>
    <col width="9.140625" customWidth="1" min="10" max="11"/>
    <col width="43.42578125" customWidth="1" min="12" max="12"/>
    <col width="12.42578125" customWidth="1" min="13" max="13"/>
    <col width="8.7109375" customWidth="1" min="14" max="26"/>
  </cols>
  <sheetData>
    <row r="1" ht="26.25" customHeight="1">
      <c r="A1" s="37" t="inlineStr">
        <is>
          <t>1. Front 개발</t>
        </is>
      </c>
      <c r="B1" s="34" t="n"/>
      <c r="C1" s="34" t="inlineStr">
        <is>
          <t>※ 선행 프로토타입(목업) 검증 완료 및 본 개발(2026.12~2027.03) 화면 점검표</t>
        </is>
      </c>
      <c r="D1" s="34" t="n"/>
      <c r="E1" s="34" t="n"/>
      <c r="F1" s="34" t="n"/>
      <c r="G1" s="34" t="n"/>
      <c r="H1" s="34" t="n"/>
      <c r="I1" s="34" t="n"/>
      <c r="J1" s="36" t="n"/>
      <c r="K1" s="36" t="n"/>
      <c r="L1" s="38" t="inlineStr">
        <is>
          <t>※ 최종 검수 완료 및 상용 가동 점검 완료 (정상)</t>
        </is>
      </c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3.5" customHeight="1">
      <c r="A2" s="324" t="inlineStr">
        <is>
          <t>우선순위</t>
        </is>
      </c>
      <c r="B2" s="325" t="inlineStr">
        <is>
          <t>페이지명</t>
        </is>
      </c>
      <c r="C2" s="250" t="inlineStr">
        <is>
          <t>PC/모바일</t>
        </is>
      </c>
      <c r="D2" s="326" t="inlineStr">
        <is>
          <t>퍼블</t>
        </is>
      </c>
      <c r="E2" s="295" t="n"/>
      <c r="F2" s="294" t="n"/>
      <c r="G2" s="327" t="inlineStr">
        <is>
          <t>개발</t>
        </is>
      </c>
      <c r="H2" s="295" t="n"/>
      <c r="I2" s="328" t="n"/>
      <c r="J2" s="329" t="inlineStr">
        <is>
          <t>점검</t>
        </is>
      </c>
      <c r="K2" s="295" t="n"/>
      <c r="L2" s="295" t="n"/>
      <c r="M2" s="328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3.5" customHeight="1">
      <c r="A3" s="330" t="n"/>
      <c r="B3" s="331" t="n"/>
      <c r="C3" s="332" t="n"/>
      <c r="D3" s="39" t="inlineStr">
        <is>
          <t>시작일</t>
        </is>
      </c>
      <c r="E3" s="40" t="inlineStr">
        <is>
          <t>종료계획</t>
        </is>
      </c>
      <c r="F3" s="40" t="inlineStr">
        <is>
          <t>완료일</t>
        </is>
      </c>
      <c r="G3" s="41" t="inlineStr">
        <is>
          <t>시작일</t>
        </is>
      </c>
      <c r="H3" s="41" t="inlineStr">
        <is>
          <t>종료계획</t>
        </is>
      </c>
      <c r="I3" s="42" t="inlineStr">
        <is>
          <t>완료일</t>
        </is>
      </c>
      <c r="J3" s="43" t="inlineStr">
        <is>
          <t>점검일</t>
        </is>
      </c>
      <c r="K3" s="44" t="inlineStr">
        <is>
          <t>점검자</t>
        </is>
      </c>
      <c r="L3" s="44" t="inlineStr">
        <is>
          <t>보완사항</t>
        </is>
      </c>
      <c r="M3" s="45" t="inlineStr">
        <is>
          <t>보완완료일</t>
        </is>
      </c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3.5" customHeight="1">
      <c r="A4" s="333" t="n">
        <v>1</v>
      </c>
      <c r="B4" s="334" t="inlineStr">
        <is>
          <t>로그인 및 SSO 인증 화면</t>
        </is>
      </c>
      <c r="C4" s="333" t="inlineStr">
        <is>
          <t>PC</t>
        </is>
      </c>
      <c r="D4" s="335" t="inlineStr">
        <is>
          <t>2026-10-16</t>
        </is>
      </c>
      <c r="E4" s="335" t="inlineStr">
        <is>
          <t>2026-10-23</t>
        </is>
      </c>
      <c r="F4" s="335" t="inlineStr">
        <is>
          <t>2026-10-23</t>
        </is>
      </c>
      <c r="G4" s="335" t="inlineStr">
        <is>
          <t>2026-12-07</t>
        </is>
      </c>
      <c r="H4" s="335" t="inlineStr">
        <is>
          <t>2027-02-26</t>
        </is>
      </c>
      <c r="I4" s="335" t="inlineStr">
        <is>
          <t>-</t>
        </is>
      </c>
      <c r="J4" s="335" t="inlineStr">
        <is>
          <t>목업완료</t>
        </is>
      </c>
      <c r="K4" s="336" t="inlineStr">
        <is>
          <t>김태윤 PM</t>
        </is>
      </c>
      <c r="L4" s="336" t="inlineStr">
        <is>
          <t>본 개발 일정(M2~M4)에 따라 순차 구현</t>
        </is>
      </c>
      <c r="M4" s="337" t="inlineStr">
        <is>
          <t>-</t>
        </is>
      </c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3.5" customHeight="1">
      <c r="A5" s="333" t="n">
        <v>1</v>
      </c>
      <c r="B5" s="334" t="inlineStr">
        <is>
          <t>구매담당자 메인 대시보드</t>
        </is>
      </c>
      <c r="C5" s="333" t="inlineStr">
        <is>
          <t>PC</t>
        </is>
      </c>
      <c r="D5" s="335" t="inlineStr">
        <is>
          <t>2026-10-16</t>
        </is>
      </c>
      <c r="E5" s="335" t="inlineStr">
        <is>
          <t>2026-10-23</t>
        </is>
      </c>
      <c r="F5" s="335" t="inlineStr">
        <is>
          <t>2026-10-23</t>
        </is>
      </c>
      <c r="G5" s="335" t="inlineStr">
        <is>
          <t>2026-12-07</t>
        </is>
      </c>
      <c r="H5" s="335" t="inlineStr">
        <is>
          <t>2027-02-26</t>
        </is>
      </c>
      <c r="I5" s="335" t="inlineStr">
        <is>
          <t>-</t>
        </is>
      </c>
      <c r="J5" s="335" t="inlineStr">
        <is>
          <t>목업완료</t>
        </is>
      </c>
      <c r="K5" s="338" t="inlineStr">
        <is>
          <t>김태윤 PM</t>
        </is>
      </c>
      <c r="L5" s="338" t="inlineStr">
        <is>
          <t>본 개발 일정(M2~M4)에 따라 순차 구현</t>
        </is>
      </c>
      <c r="M5" s="339" t="inlineStr">
        <is>
          <t>-</t>
        </is>
      </c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3.5" customHeight="1">
      <c r="A6" s="333" t="n">
        <v>1</v>
      </c>
      <c r="B6" s="334" t="inlineStr">
        <is>
          <t>신규 계약·규격 검증의뢰 등록 폼</t>
        </is>
      </c>
      <c r="C6" s="333" t="inlineStr">
        <is>
          <t>PC</t>
        </is>
      </c>
      <c r="D6" s="335" t="inlineStr">
        <is>
          <t>2026-10-16</t>
        </is>
      </c>
      <c r="E6" s="335" t="inlineStr">
        <is>
          <t>2026-10-23</t>
        </is>
      </c>
      <c r="F6" s="335" t="inlineStr">
        <is>
          <t>2026-10-23</t>
        </is>
      </c>
      <c r="G6" s="335" t="inlineStr">
        <is>
          <t>2026-12-07</t>
        </is>
      </c>
      <c r="H6" s="335" t="inlineStr">
        <is>
          <t>2027-02-26</t>
        </is>
      </c>
      <c r="I6" s="335" t="inlineStr">
        <is>
          <t>-</t>
        </is>
      </c>
      <c r="J6" s="335" t="inlineStr">
        <is>
          <t>목업완료</t>
        </is>
      </c>
      <c r="K6" s="338" t="inlineStr">
        <is>
          <t>김태윤 PM</t>
        </is>
      </c>
      <c r="L6" s="338" t="inlineStr">
        <is>
          <t>본 개발 일정(M2~M4)에 따라 순차 구현</t>
        </is>
      </c>
      <c r="M6" s="339" t="inlineStr">
        <is>
          <t>-</t>
        </is>
      </c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3.5" customHeight="1">
      <c r="A7" s="333" t="n">
        <v>1</v>
      </c>
      <c r="B7" s="334" t="inlineStr">
        <is>
          <t>계약·도서 업로드 및 드래그앤드롭</t>
        </is>
      </c>
      <c r="C7" s="333" t="inlineStr">
        <is>
          <t>PC</t>
        </is>
      </c>
      <c r="D7" s="335" t="inlineStr">
        <is>
          <t>2026-10-16</t>
        </is>
      </c>
      <c r="E7" s="335" t="inlineStr">
        <is>
          <t>2026-10-23</t>
        </is>
      </c>
      <c r="F7" s="335" t="inlineStr">
        <is>
          <t>2026-10-23</t>
        </is>
      </c>
      <c r="G7" s="335" t="inlineStr">
        <is>
          <t>2026-12-07</t>
        </is>
      </c>
      <c r="H7" s="335" t="inlineStr">
        <is>
          <t>2027-02-26</t>
        </is>
      </c>
      <c r="I7" s="335" t="inlineStr">
        <is>
          <t>-</t>
        </is>
      </c>
      <c r="J7" s="335" t="inlineStr">
        <is>
          <t>목업완료</t>
        </is>
      </c>
      <c r="K7" s="338" t="inlineStr">
        <is>
          <t>김태윤 PM</t>
        </is>
      </c>
      <c r="L7" s="59" t="inlineStr">
        <is>
          <t>본 개발 일정(M2~M4)에 따라 순차 구현</t>
        </is>
      </c>
      <c r="M7" s="60" t="inlineStr">
        <is>
          <t>-</t>
        </is>
      </c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3.5" customHeight="1">
      <c r="A8" s="333" t="n">
        <v>1</v>
      </c>
      <c r="B8" s="334" t="inlineStr">
        <is>
          <t>Side-by-Side 검증 대조 콘솔</t>
        </is>
      </c>
      <c r="C8" s="333" t="inlineStr">
        <is>
          <t>PC</t>
        </is>
      </c>
      <c r="D8" s="335" t="inlineStr">
        <is>
          <t>2026-10-16</t>
        </is>
      </c>
      <c r="E8" s="335" t="inlineStr">
        <is>
          <t>2026-10-23</t>
        </is>
      </c>
      <c r="F8" s="335" t="inlineStr">
        <is>
          <t>2026-10-23</t>
        </is>
      </c>
      <c r="G8" s="335" t="inlineStr">
        <is>
          <t>2026-12-07</t>
        </is>
      </c>
      <c r="H8" s="335" t="inlineStr">
        <is>
          <t>2027-02-26</t>
        </is>
      </c>
      <c r="I8" s="335" t="inlineStr">
        <is>
          <t>-</t>
        </is>
      </c>
      <c r="J8" s="335" t="inlineStr">
        <is>
          <t>목업완료</t>
        </is>
      </c>
      <c r="K8" s="338" t="inlineStr">
        <is>
          <t>김태윤 PM</t>
        </is>
      </c>
      <c r="L8" s="61" t="inlineStr">
        <is>
          <t>본 개발 일정(M2~M4)에 따라 순차 구현</t>
        </is>
      </c>
      <c r="M8" s="62" t="inlineStr">
        <is>
          <t>-</t>
        </is>
      </c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3.5" customHeight="1">
      <c r="A9" s="333" t="n">
        <v>2</v>
      </c>
      <c r="B9" s="334" t="inlineStr">
        <is>
          <t>바운딩 박스 포커스 및 하이라이트</t>
        </is>
      </c>
      <c r="C9" s="333" t="inlineStr">
        <is>
          <t>PC</t>
        </is>
      </c>
      <c r="D9" s="335" t="inlineStr">
        <is>
          <t>2026-10-16</t>
        </is>
      </c>
      <c r="E9" s="335" t="inlineStr">
        <is>
          <t>2026-10-23</t>
        </is>
      </c>
      <c r="F9" s="335" t="inlineStr">
        <is>
          <t>2026-10-23</t>
        </is>
      </c>
      <c r="G9" s="335" t="inlineStr">
        <is>
          <t>2026-12-07</t>
        </is>
      </c>
      <c r="H9" s="335" t="inlineStr">
        <is>
          <t>2027-02-26</t>
        </is>
      </c>
      <c r="I9" s="335" t="inlineStr">
        <is>
          <t>-</t>
        </is>
      </c>
      <c r="J9" s="335" t="inlineStr">
        <is>
          <t>목업완료</t>
        </is>
      </c>
      <c r="K9" s="61" t="inlineStr">
        <is>
          <t>김태윤 PM</t>
        </is>
      </c>
      <c r="L9" s="61" t="inlineStr">
        <is>
          <t>본 개발 일정(M2~M4)에 따라 순차 구현</t>
        </is>
      </c>
      <c r="M9" s="62" t="inlineStr">
        <is>
          <t>-</t>
        </is>
      </c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3.5" customHeight="1">
      <c r="A10" s="333" t="n">
        <v>1</v>
      </c>
      <c r="B10" s="334" t="inlineStr">
        <is>
          <t>대체표현 추천 및 원클릭 치환 모달</t>
        </is>
      </c>
      <c r="C10" s="333" t="inlineStr">
        <is>
          <t>PC</t>
        </is>
      </c>
      <c r="D10" s="335" t="inlineStr">
        <is>
          <t>2026-10-16</t>
        </is>
      </c>
      <c r="E10" s="335" t="inlineStr">
        <is>
          <t>2026-10-23</t>
        </is>
      </c>
      <c r="F10" s="335" t="inlineStr">
        <is>
          <t>2026-10-23</t>
        </is>
      </c>
      <c r="G10" s="335" t="inlineStr">
        <is>
          <t>2026-12-07</t>
        </is>
      </c>
      <c r="H10" s="335" t="inlineStr">
        <is>
          <t>2027-02-26</t>
        </is>
      </c>
      <c r="I10" s="335" t="inlineStr">
        <is>
          <t>-</t>
        </is>
      </c>
      <c r="J10" s="335" t="inlineStr">
        <is>
          <t>목업완료</t>
        </is>
      </c>
      <c r="K10" s="61" t="inlineStr">
        <is>
          <t>김태윤 PM</t>
        </is>
      </c>
      <c r="L10" s="61" t="inlineStr">
        <is>
          <t>본 개발 일정(M2~M4)에 따라 순차 구현</t>
        </is>
      </c>
      <c r="M10" s="62" t="inlineStr">
        <is>
          <t>-</t>
        </is>
      </c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3.5" customHeight="1">
      <c r="A11" s="333" t="n">
        <v>2</v>
      </c>
      <c r="B11" s="334" t="inlineStr">
        <is>
          <t>소명자료 첨부 및 의견 작성 폼</t>
        </is>
      </c>
      <c r="C11" s="333" t="inlineStr">
        <is>
          <t>PC</t>
        </is>
      </c>
      <c r="D11" s="335" t="inlineStr">
        <is>
          <t>2026-10-16</t>
        </is>
      </c>
      <c r="E11" s="335" t="inlineStr">
        <is>
          <t>2026-10-23</t>
        </is>
      </c>
      <c r="F11" s="335" t="inlineStr">
        <is>
          <t>2026-10-23</t>
        </is>
      </c>
      <c r="G11" s="335" t="inlineStr">
        <is>
          <t>2026-12-07</t>
        </is>
      </c>
      <c r="H11" s="335" t="inlineStr">
        <is>
          <t>2027-02-26</t>
        </is>
      </c>
      <c r="I11" s="335" t="inlineStr">
        <is>
          <t>-</t>
        </is>
      </c>
      <c r="J11" s="335" t="inlineStr">
        <is>
          <t>목업완료</t>
        </is>
      </c>
      <c r="K11" s="61" t="inlineStr">
        <is>
          <t>김태윤 PM</t>
        </is>
      </c>
      <c r="L11" s="61" t="inlineStr">
        <is>
          <t>본 개발 일정(M2~M4)에 따라 순차 구현</t>
        </is>
      </c>
      <c r="M11" s="62" t="inlineStr">
        <is>
          <t>-</t>
        </is>
      </c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3.5" customHeight="1">
      <c r="A12" s="333" t="n">
        <v>1</v>
      </c>
      <c r="B12" s="334" t="inlineStr">
        <is>
          <t>QA 전문 검증 접수 대기목록</t>
        </is>
      </c>
      <c r="C12" s="333" t="inlineStr">
        <is>
          <t>PC</t>
        </is>
      </c>
      <c r="D12" s="335" t="inlineStr">
        <is>
          <t>2026-10-16</t>
        </is>
      </c>
      <c r="E12" s="335" t="inlineStr">
        <is>
          <t>2026-10-23</t>
        </is>
      </c>
      <c r="F12" s="335" t="inlineStr">
        <is>
          <t>2026-10-23</t>
        </is>
      </c>
      <c r="G12" s="335" t="inlineStr">
        <is>
          <t>2026-12-07</t>
        </is>
      </c>
      <c r="H12" s="335" t="inlineStr">
        <is>
          <t>2027-02-26</t>
        </is>
      </c>
      <c r="I12" s="335" t="inlineStr">
        <is>
          <t>-</t>
        </is>
      </c>
      <c r="J12" s="335" t="inlineStr">
        <is>
          <t>목업완료</t>
        </is>
      </c>
      <c r="K12" s="61" t="inlineStr">
        <is>
          <t>김태윤 PM</t>
        </is>
      </c>
      <c r="L12" s="61" t="inlineStr">
        <is>
          <t>본 개발 일정(M2~M4)에 따라 순차 구현</t>
        </is>
      </c>
      <c r="M12" s="62" t="inlineStr">
        <is>
          <t>-</t>
        </is>
      </c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3.5" customHeight="1">
      <c r="A13" s="333" t="n">
        <v>1</v>
      </c>
      <c r="B13" s="334" t="inlineStr">
        <is>
          <t>법무·QA 전문위원 오버라이드 및 확정 화면</t>
        </is>
      </c>
      <c r="C13" s="333" t="inlineStr">
        <is>
          <t>PC</t>
        </is>
      </c>
      <c r="D13" s="335" t="inlineStr">
        <is>
          <t>2026-10-16</t>
        </is>
      </c>
      <c r="E13" s="335" t="inlineStr">
        <is>
          <t>2026-10-23</t>
        </is>
      </c>
      <c r="F13" s="335" t="inlineStr">
        <is>
          <t>2026-10-23</t>
        </is>
      </c>
      <c r="G13" s="335" t="inlineStr">
        <is>
          <t>2026-12-07</t>
        </is>
      </c>
      <c r="H13" s="335" t="inlineStr">
        <is>
          <t>2027-02-26</t>
        </is>
      </c>
      <c r="I13" s="335" t="inlineStr">
        <is>
          <t>-</t>
        </is>
      </c>
      <c r="J13" s="335" t="inlineStr">
        <is>
          <t>목업완료</t>
        </is>
      </c>
      <c r="K13" s="61" t="inlineStr">
        <is>
          <t>김태윤 PM</t>
        </is>
      </c>
      <c r="L13" s="61" t="inlineStr">
        <is>
          <t>본 개발 일정(M2~M4)에 따라 순차 구현</t>
        </is>
      </c>
      <c r="M13" s="62" t="inlineStr">
        <is>
          <t>-</t>
        </is>
      </c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3.5" customHeight="1">
      <c r="A14" s="333" t="n">
        <v>2</v>
      </c>
      <c r="B14" s="334" t="inlineStr">
        <is>
          <t>검증 결과 공문 PDF 뷰어/출력</t>
        </is>
      </c>
      <c r="C14" s="333" t="inlineStr">
        <is>
          <t>PC</t>
        </is>
      </c>
      <c r="D14" s="335" t="inlineStr">
        <is>
          <t>2026-10-16</t>
        </is>
      </c>
      <c r="E14" s="335" t="inlineStr">
        <is>
          <t>2026-10-23</t>
        </is>
      </c>
      <c r="F14" s="335" t="inlineStr">
        <is>
          <t>2026-10-23</t>
        </is>
      </c>
      <c r="G14" s="335" t="inlineStr">
        <is>
          <t>2026-12-07</t>
        </is>
      </c>
      <c r="H14" s="335" t="inlineStr">
        <is>
          <t>2027-02-26</t>
        </is>
      </c>
      <c r="I14" s="335" t="inlineStr">
        <is>
          <t>-</t>
        </is>
      </c>
      <c r="J14" s="335" t="inlineStr">
        <is>
          <t>목업완료</t>
        </is>
      </c>
      <c r="K14" s="61" t="inlineStr">
        <is>
          <t>김태윤 PM</t>
        </is>
      </c>
      <c r="L14" s="61" t="inlineStr">
        <is>
          <t>본 개발 일정(M2~M4)에 따라 순차 구현</t>
        </is>
      </c>
      <c r="M14" s="62" t="inlineStr">
        <is>
          <t>-</t>
        </is>
      </c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3.5" customHeight="1">
      <c r="A15" s="333" t="n">
        <v>2</v>
      </c>
      <c r="B15" s="334" t="inlineStr">
        <is>
          <t>검증 이력 버전 비교(Diff) 뷰어</t>
        </is>
      </c>
      <c r="C15" s="333" t="inlineStr">
        <is>
          <t>PC</t>
        </is>
      </c>
      <c r="D15" s="335" t="inlineStr">
        <is>
          <t>2026-10-16</t>
        </is>
      </c>
      <c r="E15" s="335" t="inlineStr">
        <is>
          <t>2026-10-23</t>
        </is>
      </c>
      <c r="F15" s="335" t="inlineStr">
        <is>
          <t>2026-10-23</t>
        </is>
      </c>
      <c r="G15" s="335" t="inlineStr">
        <is>
          <t>2026-12-07</t>
        </is>
      </c>
      <c r="H15" s="335" t="inlineStr">
        <is>
          <t>2027-02-26</t>
        </is>
      </c>
      <c r="I15" s="335" t="inlineStr">
        <is>
          <t>-</t>
        </is>
      </c>
      <c r="J15" s="335" t="inlineStr">
        <is>
          <t>목업완료</t>
        </is>
      </c>
      <c r="K15" s="61" t="inlineStr">
        <is>
          <t>김태윤 PM</t>
        </is>
      </c>
      <c r="L15" s="61" t="inlineStr">
        <is>
          <t>본 개발 일정(M2~M4)에 따라 순차 구현</t>
        </is>
      </c>
      <c r="M15" s="62" t="inlineStr">
        <is>
          <t>-</t>
        </is>
      </c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3.5" customHeight="1">
      <c r="A16" s="333" t="n">
        <v>2</v>
      </c>
      <c r="B16" s="334" t="inlineStr">
        <is>
          <t>규제 룰사전 관리 화면 (어드민)</t>
        </is>
      </c>
      <c r="C16" s="333" t="inlineStr">
        <is>
          <t>PC</t>
        </is>
      </c>
      <c r="D16" s="335" t="inlineStr">
        <is>
          <t>2026-10-16</t>
        </is>
      </c>
      <c r="E16" s="335" t="inlineStr">
        <is>
          <t>2026-10-23</t>
        </is>
      </c>
      <c r="F16" s="335" t="inlineStr">
        <is>
          <t>2026-10-23</t>
        </is>
      </c>
      <c r="G16" s="335" t="inlineStr">
        <is>
          <t>2026-12-07</t>
        </is>
      </c>
      <c r="H16" s="335" t="inlineStr">
        <is>
          <t>2027-02-26</t>
        </is>
      </c>
      <c r="I16" s="335" t="inlineStr">
        <is>
          <t>-</t>
        </is>
      </c>
      <c r="J16" s="335" t="inlineStr">
        <is>
          <t>목업완료</t>
        </is>
      </c>
      <c r="K16" s="61" t="inlineStr">
        <is>
          <t>김태윤 PM</t>
        </is>
      </c>
      <c r="L16" s="61" t="inlineStr">
        <is>
          <t>본 개발 일정(M2~M4)에 따라 순차 구현</t>
        </is>
      </c>
      <c r="M16" s="62" t="inlineStr">
        <is>
          <t>-</t>
        </is>
      </c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3.5" customHeight="1">
      <c r="A17" s="333" t="n">
        <v>2</v>
      </c>
      <c r="B17" s="334" t="inlineStr">
        <is>
          <t>RAG 판례 및 시험성적서 색인 관리</t>
        </is>
      </c>
      <c r="C17" s="333" t="inlineStr">
        <is>
          <t>PC</t>
        </is>
      </c>
      <c r="D17" s="335" t="inlineStr">
        <is>
          <t>2026-10-16</t>
        </is>
      </c>
      <c r="E17" s="335" t="inlineStr">
        <is>
          <t>2026-10-23</t>
        </is>
      </c>
      <c r="F17" s="335" t="inlineStr">
        <is>
          <t>2026-10-23</t>
        </is>
      </c>
      <c r="G17" s="335" t="inlineStr">
        <is>
          <t>2026-12-07</t>
        </is>
      </c>
      <c r="H17" s="335" t="inlineStr">
        <is>
          <t>2027-02-26</t>
        </is>
      </c>
      <c r="I17" s="335" t="inlineStr">
        <is>
          <t>-</t>
        </is>
      </c>
      <c r="J17" s="335" t="inlineStr">
        <is>
          <t>목업완료</t>
        </is>
      </c>
      <c r="K17" s="61" t="inlineStr">
        <is>
          <t>김태윤 PM</t>
        </is>
      </c>
      <c r="L17" s="61" t="inlineStr">
        <is>
          <t>본 개발 일정(M2~M4)에 따라 순차 구현</t>
        </is>
      </c>
      <c r="M17" s="62" t="inlineStr">
        <is>
          <t>-</t>
        </is>
      </c>
      <c r="N17" s="34" t="n"/>
      <c r="O17" s="34" t="inlineStr">
        <is>
          <t xml:space="preserve"> </t>
        </is>
      </c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3.5" customHeight="1">
      <c r="A18" s="333" t="n">
        <v>3</v>
      </c>
      <c r="B18" s="334" t="inlineStr">
        <is>
          <t>검증 통계 및 KPI 분석 대시보드</t>
        </is>
      </c>
      <c r="C18" s="333" t="inlineStr">
        <is>
          <t>PC</t>
        </is>
      </c>
      <c r="D18" s="335" t="inlineStr">
        <is>
          <t>2026-10-16</t>
        </is>
      </c>
      <c r="E18" s="335" t="inlineStr">
        <is>
          <t>2026-10-23</t>
        </is>
      </c>
      <c r="F18" s="335" t="inlineStr">
        <is>
          <t>2026-10-23</t>
        </is>
      </c>
      <c r="G18" s="335" t="inlineStr">
        <is>
          <t>2026-12-07</t>
        </is>
      </c>
      <c r="H18" s="335" t="inlineStr">
        <is>
          <t>2027-02-26</t>
        </is>
      </c>
      <c r="I18" s="335" t="inlineStr">
        <is>
          <t>-</t>
        </is>
      </c>
      <c r="J18" s="335" t="inlineStr">
        <is>
          <t>목업완료</t>
        </is>
      </c>
      <c r="K18" s="61" t="inlineStr">
        <is>
          <t>김태윤 PM</t>
        </is>
      </c>
      <c r="L18" s="61" t="inlineStr">
        <is>
          <t>본 개발 일정(M2~M4)에 따라 순차 구현</t>
        </is>
      </c>
      <c r="M18" s="62" t="inlineStr">
        <is>
          <t>-</t>
        </is>
      </c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3.5" customHeight="1">
      <c r="A19" s="54" t="n"/>
      <c r="B19" s="55" t="n"/>
      <c r="C19" s="56" t="n"/>
      <c r="D19" s="340" t="n"/>
      <c r="E19" s="338" t="n"/>
      <c r="F19" s="338" t="n"/>
      <c r="G19" s="338" t="n"/>
      <c r="H19" s="338" t="n"/>
      <c r="I19" s="339" t="n"/>
      <c r="J19" s="341" t="n"/>
      <c r="K19" s="61" t="inlineStr">
        <is>
          <t>황세진</t>
        </is>
      </c>
      <c r="L19" s="338" t="n"/>
      <c r="M19" s="339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3.5" customHeight="1">
      <c r="A20" s="54" t="n"/>
      <c r="B20" s="55" t="n"/>
      <c r="C20" s="56" t="n"/>
      <c r="D20" s="340" t="n"/>
      <c r="E20" s="338" t="n"/>
      <c r="F20" s="338" t="n"/>
      <c r="G20" s="338" t="n"/>
      <c r="H20" s="338" t="n"/>
      <c r="I20" s="339" t="n"/>
      <c r="J20" s="341" t="n"/>
      <c r="K20" s="61" t="inlineStr">
        <is>
          <t>황세진</t>
        </is>
      </c>
      <c r="L20" s="338" t="n"/>
      <c r="M20" s="339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3.5" customHeight="1">
      <c r="A21" s="54" t="n"/>
      <c r="B21" s="55" t="n"/>
      <c r="C21" s="56" t="n"/>
      <c r="D21" s="340" t="n"/>
      <c r="E21" s="338" t="n"/>
      <c r="F21" s="338" t="n"/>
      <c r="G21" s="338" t="n"/>
      <c r="H21" s="338" t="n"/>
      <c r="I21" s="339" t="n"/>
      <c r="J21" s="341" t="n"/>
      <c r="K21" s="61" t="inlineStr">
        <is>
          <t>황세진</t>
        </is>
      </c>
      <c r="L21" s="338" t="n"/>
      <c r="M21" s="339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3.5" customHeight="1">
      <c r="A22" s="54" t="n"/>
      <c r="B22" s="55" t="n"/>
      <c r="C22" s="56" t="n"/>
      <c r="D22" s="340" t="n"/>
      <c r="E22" s="338" t="n"/>
      <c r="F22" s="338" t="n"/>
      <c r="G22" s="338" t="n"/>
      <c r="H22" s="338" t="n"/>
      <c r="I22" s="339" t="n"/>
      <c r="J22" s="341" t="n"/>
      <c r="K22" s="61" t="inlineStr">
        <is>
          <t>황세진</t>
        </is>
      </c>
      <c r="L22" s="338" t="n"/>
      <c r="M22" s="339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3.5" customHeight="1">
      <c r="A23" s="54" t="n"/>
      <c r="B23" s="55" t="n"/>
      <c r="C23" s="56" t="n"/>
      <c r="D23" s="340" t="n"/>
      <c r="E23" s="338" t="n"/>
      <c r="F23" s="338" t="n"/>
      <c r="G23" s="338" t="n"/>
      <c r="H23" s="338" t="n"/>
      <c r="I23" s="339" t="n"/>
      <c r="J23" s="341" t="n"/>
      <c r="K23" s="61" t="inlineStr">
        <is>
          <t>황세진</t>
        </is>
      </c>
      <c r="L23" s="338" t="n"/>
      <c r="M23" s="339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3.5" customHeight="1">
      <c r="A24" s="54" t="n"/>
      <c r="B24" s="55" t="n"/>
      <c r="C24" s="56" t="n"/>
      <c r="D24" s="340" t="n"/>
      <c r="E24" s="338" t="n"/>
      <c r="F24" s="338" t="n"/>
      <c r="G24" s="338" t="n"/>
      <c r="H24" s="338" t="n"/>
      <c r="I24" s="339" t="n"/>
      <c r="J24" s="341" t="n"/>
      <c r="K24" s="61" t="inlineStr">
        <is>
          <t>황세진</t>
        </is>
      </c>
      <c r="L24" s="338" t="n"/>
      <c r="M24" s="339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3.5" customHeight="1">
      <c r="A25" s="54" t="n"/>
      <c r="B25" s="55" t="n"/>
      <c r="C25" s="56" t="n"/>
      <c r="D25" s="340" t="n"/>
      <c r="E25" s="338" t="n"/>
      <c r="F25" s="338" t="n"/>
      <c r="G25" s="338" t="n"/>
      <c r="H25" s="338" t="n"/>
      <c r="I25" s="339" t="n"/>
      <c r="J25" s="341" t="n"/>
      <c r="K25" s="61" t="inlineStr">
        <is>
          <t>임승우</t>
        </is>
      </c>
      <c r="L25" s="338" t="n"/>
      <c r="M25" s="339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3.5" customHeight="1">
      <c r="A26" s="54" t="n"/>
      <c r="B26" s="55" t="n"/>
      <c r="C26" s="56" t="n"/>
      <c r="D26" s="340" t="n"/>
      <c r="E26" s="338" t="n"/>
      <c r="F26" s="338" t="n"/>
      <c r="G26" s="338" t="n"/>
      <c r="H26" s="338" t="n"/>
      <c r="I26" s="339" t="n"/>
      <c r="J26" s="341" t="n"/>
      <c r="K26" s="61" t="inlineStr">
        <is>
          <t>임승우</t>
        </is>
      </c>
      <c r="L26" s="338" t="n"/>
      <c r="M26" s="339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3.5" customHeight="1">
      <c r="A27" s="63" t="n"/>
      <c r="B27" s="64" t="n"/>
      <c r="C27" s="65" t="n"/>
      <c r="D27" s="342" t="n"/>
      <c r="E27" s="343" t="n"/>
      <c r="F27" s="343" t="n"/>
      <c r="G27" s="343" t="n"/>
      <c r="H27" s="343" t="n"/>
      <c r="I27" s="344" t="n"/>
      <c r="J27" s="345" t="n"/>
      <c r="K27" s="70" t="inlineStr">
        <is>
          <t>황세진</t>
        </is>
      </c>
      <c r="L27" s="343" t="n"/>
      <c r="M27" s="346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3.5" customHeight="1">
      <c r="A28" s="63" t="n"/>
      <c r="B28" s="64" t="n"/>
      <c r="C28" s="65" t="n"/>
      <c r="D28" s="347" t="n"/>
      <c r="E28" s="348" t="n"/>
      <c r="F28" s="348" t="n"/>
      <c r="G28" s="343" t="n"/>
      <c r="H28" s="343" t="n"/>
      <c r="I28" s="346" t="n"/>
      <c r="J28" s="345" t="n"/>
      <c r="K28" s="70" t="n"/>
      <c r="L28" s="343" t="n"/>
      <c r="M28" s="346" t="n"/>
      <c r="N28" s="34" t="inlineStr">
        <is>
          <t>에러 발생 - 본사문의 적용필요</t>
        </is>
      </c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3.5" customHeight="1">
      <c r="A29" s="74" t="n"/>
      <c r="B29" s="75" t="n"/>
      <c r="C29" s="76" t="n"/>
      <c r="D29" s="349" t="n"/>
      <c r="E29" s="350" t="n"/>
      <c r="F29" s="350" t="n"/>
      <c r="G29" s="351" t="n"/>
      <c r="H29" s="351" t="n"/>
      <c r="I29" s="352" t="n"/>
      <c r="J29" s="353" t="n"/>
      <c r="K29" s="351" t="n"/>
      <c r="L29" s="351" t="n"/>
      <c r="M29" s="352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3.5" customHeight="1">
      <c r="A30" s="74" t="n"/>
      <c r="B30" s="75" t="n"/>
      <c r="C30" s="76" t="n"/>
      <c r="D30" s="349" t="n"/>
      <c r="E30" s="350" t="n"/>
      <c r="F30" s="350" t="n"/>
      <c r="G30" s="351" t="n"/>
      <c r="H30" s="351" t="n"/>
      <c r="I30" s="352" t="n"/>
      <c r="J30" s="353" t="n"/>
      <c r="K30" s="351" t="n"/>
      <c r="L30" s="351" t="n"/>
      <c r="M30" s="352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3.5" customHeight="1">
      <c r="A31" s="63" t="n"/>
      <c r="B31" s="64" t="n"/>
      <c r="C31" s="65" t="n"/>
      <c r="D31" s="347" t="n"/>
      <c r="E31" s="348" t="n"/>
      <c r="F31" s="348" t="n"/>
      <c r="G31" s="343" t="n"/>
      <c r="H31" s="343" t="n"/>
      <c r="I31" s="346" t="n"/>
      <c r="J31" s="345" t="n"/>
      <c r="K31" s="70" t="n"/>
      <c r="L31" s="343" t="n"/>
      <c r="M31" s="352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3.5" customHeight="1">
      <c r="A32" s="74" t="n"/>
      <c r="B32" s="75" t="n"/>
      <c r="C32" s="76" t="n"/>
      <c r="D32" s="354" t="n"/>
      <c r="E32" s="355" t="n"/>
      <c r="F32" s="355" t="n"/>
      <c r="G32" s="351" t="n"/>
      <c r="H32" s="351" t="n"/>
      <c r="I32" s="352" t="n"/>
      <c r="J32" s="353" t="n"/>
      <c r="K32" s="351" t="n"/>
      <c r="L32" s="351" t="n"/>
      <c r="M32" s="352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3.5" customHeight="1">
      <c r="A33" s="74" t="n"/>
      <c r="B33" s="75" t="n"/>
      <c r="C33" s="84" t="n"/>
      <c r="D33" s="349" t="n"/>
      <c r="E33" s="350" t="n"/>
      <c r="F33" s="350" t="n"/>
      <c r="G33" s="351" t="n"/>
      <c r="H33" s="351" t="n"/>
      <c r="I33" s="352" t="n"/>
      <c r="J33" s="353" t="n"/>
      <c r="K33" s="351" t="n"/>
      <c r="L33" s="351" t="n"/>
      <c r="M33" s="352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3.5" customHeight="1">
      <c r="A34" s="85" t="n"/>
      <c r="B34" s="86" t="n"/>
      <c r="C34" s="87" t="n"/>
      <c r="D34" s="356" t="n"/>
      <c r="E34" s="357" t="n"/>
      <c r="F34" s="357" t="n"/>
      <c r="G34" s="357" t="n"/>
      <c r="H34" s="357" t="n"/>
      <c r="I34" s="358" t="n"/>
      <c r="J34" s="359" t="n"/>
      <c r="K34" s="357" t="n"/>
      <c r="L34" s="357" t="n"/>
      <c r="M34" s="358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3.5" customHeight="1">
      <c r="A35" s="37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3.5" customHeight="1">
      <c r="A36" s="324" t="n"/>
      <c r="B36" s="325" t="n"/>
      <c r="C36" s="250" t="n"/>
      <c r="D36" s="324" t="n"/>
      <c r="E36" s="360" t="n"/>
      <c r="F36" s="361" t="n"/>
      <c r="G36" s="362" t="n"/>
      <c r="H36" s="295" t="n"/>
      <c r="I36" s="328" t="n"/>
      <c r="J36" s="329" t="n"/>
      <c r="K36" s="295" t="n"/>
      <c r="L36" s="295" t="n"/>
      <c r="M36" s="328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3.5" customHeight="1">
      <c r="A37" s="330" t="n"/>
      <c r="B37" s="331" t="n"/>
      <c r="C37" s="332" t="n"/>
      <c r="D37" s="363" t="n"/>
      <c r="E37" s="364" t="n"/>
      <c r="F37" s="365" t="n"/>
      <c r="G37" s="92" t="n"/>
      <c r="H37" s="92" t="n"/>
      <c r="I37" s="93" t="n"/>
      <c r="J37" s="43" t="n"/>
      <c r="K37" s="44" t="n"/>
      <c r="L37" s="44" t="inlineStr">
        <is>
          <t>보완사항</t>
        </is>
      </c>
      <c r="M37" s="45" t="inlineStr">
        <is>
          <t>보완완료일</t>
        </is>
      </c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3.5" customHeight="1">
      <c r="A38" s="46" t="n"/>
      <c r="B38" s="47" t="n"/>
      <c r="C38" s="94" t="n"/>
      <c r="D38" s="366" t="n"/>
      <c r="E38" s="367" t="n"/>
      <c r="F38" s="368" t="n"/>
      <c r="G38" s="336" t="n"/>
      <c r="H38" s="336" t="n"/>
      <c r="I38" s="337" t="n"/>
      <c r="J38" s="369" t="n"/>
      <c r="K38" s="95" t="inlineStr">
        <is>
          <t>황세진</t>
        </is>
      </c>
      <c r="L38" s="336" t="n"/>
      <c r="M38" s="337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3.5" customHeight="1">
      <c r="A39" s="54" t="n"/>
      <c r="B39" s="55" t="n"/>
      <c r="C39" s="96" t="n"/>
      <c r="D39" s="370" t="n"/>
      <c r="E39" s="271" t="n"/>
      <c r="F39" s="371" t="n"/>
      <c r="G39" s="338" t="n"/>
      <c r="H39" s="338" t="n"/>
      <c r="I39" s="339" t="n"/>
      <c r="J39" s="341" t="n"/>
      <c r="K39" s="338" t="inlineStr">
        <is>
          <t>황세진</t>
        </is>
      </c>
      <c r="L39" s="338" t="n"/>
      <c r="M39" s="339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3.5" customHeight="1">
      <c r="A40" s="54" t="n"/>
      <c r="B40" s="55" t="n"/>
      <c r="C40" s="96" t="n"/>
      <c r="D40" s="370" t="n"/>
      <c r="E40" s="271" t="n"/>
      <c r="F40" s="371" t="n"/>
      <c r="G40" s="338" t="n"/>
      <c r="H40" s="338" t="n"/>
      <c r="I40" s="339" t="n"/>
      <c r="J40" s="341" t="n"/>
      <c r="K40" s="338" t="inlineStr">
        <is>
          <t>황세진</t>
        </is>
      </c>
      <c r="L40" s="338" t="n"/>
      <c r="M40" s="339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3.5" customHeight="1">
      <c r="A41" s="54" t="n"/>
      <c r="B41" s="55" t="n"/>
      <c r="C41" s="96" t="n"/>
      <c r="D41" s="370" t="n"/>
      <c r="E41" s="271" t="n"/>
      <c r="F41" s="371" t="n"/>
      <c r="G41" s="338" t="n"/>
      <c r="H41" s="338" t="n"/>
      <c r="I41" s="339" t="n"/>
      <c r="J41" s="341" t="n"/>
      <c r="K41" s="61" t="inlineStr">
        <is>
          <t>임승우</t>
        </is>
      </c>
      <c r="L41" s="338" t="n"/>
      <c r="M41" s="339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3.5" customHeight="1">
      <c r="A42" s="97" t="n"/>
      <c r="B42" s="98" t="n"/>
      <c r="C42" s="99" t="n"/>
      <c r="D42" s="372" t="n"/>
      <c r="E42" s="271" t="n"/>
      <c r="F42" s="371" t="n"/>
      <c r="G42" s="373" t="n"/>
      <c r="H42" s="373" t="n"/>
      <c r="I42" s="374" t="n"/>
      <c r="J42" s="375" t="n"/>
      <c r="K42" s="103" t="inlineStr">
        <is>
          <t>황세진</t>
        </is>
      </c>
      <c r="L42" s="373" t="n"/>
      <c r="M42" s="37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3.5" customHeight="1">
      <c r="A43" s="97" t="n"/>
      <c r="B43" s="98" t="n"/>
      <c r="C43" s="99" t="n"/>
      <c r="D43" s="372" t="n"/>
      <c r="E43" s="271" t="n"/>
      <c r="F43" s="371" t="n"/>
      <c r="G43" s="373" t="n"/>
      <c r="H43" s="373" t="n"/>
      <c r="I43" s="374" t="n"/>
      <c r="J43" s="375" t="n"/>
      <c r="K43" s="103" t="inlineStr">
        <is>
          <t>황세진</t>
        </is>
      </c>
      <c r="L43" s="373" t="n"/>
      <c r="M43" s="37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3.5" customHeight="1">
      <c r="A44" s="54" t="n"/>
      <c r="B44" s="55" t="n"/>
      <c r="C44" s="96" t="n"/>
      <c r="D44" s="370" t="n"/>
      <c r="E44" s="271" t="n"/>
      <c r="F44" s="371" t="n"/>
      <c r="G44" s="338" t="n"/>
      <c r="H44" s="338" t="n"/>
      <c r="I44" s="339" t="n"/>
      <c r="J44" s="341" t="n"/>
      <c r="K44" s="61" t="inlineStr">
        <is>
          <t>황세진</t>
        </is>
      </c>
      <c r="L44" s="61" t="n"/>
      <c r="M44" s="339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3.5" customHeight="1">
      <c r="A45" s="54" t="n"/>
      <c r="B45" s="55" t="n"/>
      <c r="C45" s="96" t="n"/>
      <c r="D45" s="370" t="n"/>
      <c r="E45" s="271" t="n"/>
      <c r="F45" s="371" t="n"/>
      <c r="G45" s="338" t="n"/>
      <c r="H45" s="338" t="n"/>
      <c r="I45" s="339" t="n"/>
      <c r="J45" s="341" t="n"/>
      <c r="K45" s="61" t="inlineStr">
        <is>
          <t>황세진</t>
        </is>
      </c>
      <c r="L45" s="61" t="inlineStr">
        <is>
          <t>데이터 업로드 후 썸네일 수기작업 필요</t>
        </is>
      </c>
      <c r="M45" s="339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3.5" customHeight="1">
      <c r="A46" s="54" t="n"/>
      <c r="B46" s="55" t="n"/>
      <c r="C46" s="96" t="n"/>
      <c r="D46" s="370" t="n"/>
      <c r="E46" s="271" t="n"/>
      <c r="F46" s="371" t="n"/>
      <c r="G46" s="338" t="n"/>
      <c r="H46" s="338" t="n"/>
      <c r="I46" s="339" t="n"/>
      <c r="J46" s="341" t="n"/>
      <c r="K46" s="61" t="inlineStr">
        <is>
          <t>황세진</t>
        </is>
      </c>
      <c r="L46" s="61" t="n"/>
      <c r="M46" s="339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3.5" customHeight="1">
      <c r="A47" s="104" t="n"/>
      <c r="B47" s="105" t="n"/>
      <c r="C47" s="106" t="n"/>
      <c r="D47" s="376" t="n"/>
      <c r="E47" s="273" t="n"/>
      <c r="F47" s="377" t="n"/>
      <c r="G47" s="378" t="n"/>
      <c r="H47" s="378" t="n"/>
      <c r="I47" s="379" t="n"/>
      <c r="J47" s="380" t="n"/>
      <c r="K47" s="110" t="inlineStr">
        <is>
          <t>황세진</t>
        </is>
      </c>
      <c r="L47" s="378" t="n"/>
      <c r="M47" s="379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3.5" customHeight="1">
      <c r="A48" s="37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3.5" customHeight="1">
      <c r="A49" s="324" t="n"/>
      <c r="B49" s="325" t="n"/>
      <c r="C49" s="250" t="n"/>
      <c r="D49" s="324" t="n"/>
      <c r="E49" s="360" t="n"/>
      <c r="F49" s="361" t="n"/>
      <c r="G49" s="362" t="n"/>
      <c r="H49" s="295" t="n"/>
      <c r="I49" s="328" t="n"/>
      <c r="J49" s="329" t="n"/>
      <c r="K49" s="295" t="n"/>
      <c r="L49" s="295" t="n"/>
      <c r="M49" s="328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3.5" customHeight="1">
      <c r="A50" s="330" t="n"/>
      <c r="B50" s="331" t="n"/>
      <c r="C50" s="332" t="n"/>
      <c r="D50" s="363" t="n"/>
      <c r="E50" s="364" t="n"/>
      <c r="F50" s="365" t="n"/>
      <c r="G50" s="92" t="n"/>
      <c r="H50" s="92" t="n"/>
      <c r="I50" s="93" t="n"/>
      <c r="J50" s="43" t="n"/>
      <c r="K50" s="44" t="n"/>
      <c r="L50" s="44" t="inlineStr">
        <is>
          <t>보완사항</t>
        </is>
      </c>
      <c r="M50" s="45" t="inlineStr">
        <is>
          <t>보완완료일</t>
        </is>
      </c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3.5" customHeight="1">
      <c r="A51" s="111" t="n"/>
      <c r="B51" s="112" t="n"/>
      <c r="C51" s="113" t="n"/>
      <c r="D51" s="381" t="n"/>
      <c r="E51" s="271" t="n"/>
      <c r="F51" s="371" t="n"/>
      <c r="G51" s="382" t="n"/>
      <c r="H51" s="382" t="n"/>
      <c r="I51" s="383" t="n"/>
      <c r="J51" s="384" t="n"/>
      <c r="K51" s="382" t="n"/>
      <c r="L51" s="382" t="n"/>
      <c r="M51" s="383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3.5" customHeight="1">
      <c r="A52" s="111" t="n"/>
      <c r="B52" s="112" t="n"/>
      <c r="C52" s="113" t="n"/>
      <c r="D52" s="385" t="n"/>
      <c r="E52" s="271" t="n"/>
      <c r="F52" s="371" t="n"/>
      <c r="G52" s="382" t="n"/>
      <c r="H52" s="382" t="n"/>
      <c r="I52" s="383" t="n"/>
      <c r="J52" s="384" t="n"/>
      <c r="K52" s="382" t="n"/>
      <c r="L52" s="117" t="inlineStr">
        <is>
          <t>메인화면 HTML로 변경</t>
        </is>
      </c>
      <c r="M52" s="383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3.5" customHeight="1">
      <c r="A53" s="85" t="n"/>
      <c r="B53" s="118" t="n"/>
      <c r="C53" s="119" t="n"/>
      <c r="D53" s="386" t="n"/>
      <c r="E53" s="273" t="n"/>
      <c r="F53" s="377" t="n"/>
      <c r="G53" s="357" t="n"/>
      <c r="H53" s="357" t="n"/>
      <c r="I53" s="358" t="n"/>
      <c r="J53" s="359" t="n"/>
      <c r="K53" s="357" t="n"/>
      <c r="L53" s="357" t="n"/>
      <c r="M53" s="358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3.5" customHeight="1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3.5" customHeight="1">
      <c r="A55" s="34" t="n"/>
      <c r="B55" s="35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3.5" customHeight="1">
      <c r="A56" s="34" t="n"/>
      <c r="B56" s="35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3.5" customHeight="1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3.5" customHeight="1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3.5" customHeight="1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3.5" customHeight="1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3.5" customHeight="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3.5" customHeight="1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3.5" customHeight="1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3.5" customHeight="1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3.5" customHeight="1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3.5" customHeight="1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3.5" customHeight="1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3.5" customHeight="1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3.5" customHeight="1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3.5" customHeight="1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3.5" customHeight="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3.5" customHeight="1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3.5" customHeight="1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3.5" customHeight="1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3.5" customHeight="1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3.5" customHeight="1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3.5" customHeight="1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3.5" customHeight="1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3.5" customHeight="1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3.5" customHeight="1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3.5" customHeight="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3.5" customHeight="1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3.5" customHeight="1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3.5" customHeight="1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3.5" customHeight="1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3.5" customHeight="1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3.5" customHeight="1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3.5" customHeight="1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3.5" customHeight="1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3.5" customHeight="1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3.5" customHeight="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3.5" customHeight="1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3.5" customHeight="1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3.5" customHeight="1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3.5" customHeight="1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3.5" customHeight="1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3.5" customHeight="1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3.5" customHeight="1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3.5" customHeight="1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3.5" customHeight="1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3.5" customHeight="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3.5" customHeight="1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3.5" customHeight="1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3.5" customHeight="1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3.5" customHeight="1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3.5" customHeight="1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3.5" customHeight="1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3.5" customHeight="1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3.5" customHeight="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3.5" customHeight="1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3.5" customHeight="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3.5" customHeight="1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3.5" customHeight="1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3.5" customHeight="1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3.5" customHeight="1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3.5" customHeight="1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3.5" customHeight="1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3.5" customHeight="1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3.5" customHeight="1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3.5" customHeight="1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3.5" customHeight="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3.5" customHeight="1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3.5" customHeight="1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3.5" customHeight="1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3.5" customHeight="1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3.5" customHeight="1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3.5" customHeight="1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3.5" customHeight="1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3.5" customHeight="1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3.5" customHeight="1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3.5" customHeight="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3.5" customHeight="1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3.5" customHeight="1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3.5" customHeight="1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3.5" customHeight="1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3.5" customHeight="1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3.5" customHeight="1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3.5" customHeight="1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3.5" customHeight="1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3.5" customHeight="1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3.5" customHeight="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3.5" customHeight="1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3.5" customHeight="1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3.5" customHeight="1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3.5" customHeight="1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3.5" customHeight="1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3.5" customHeight="1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3.5" customHeight="1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3.5" customHeight="1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3.5" customHeight="1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3.5" customHeight="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3.5" customHeight="1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3.5" customHeight="1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3.5" customHeight="1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3.5" customHeight="1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3.5" customHeight="1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3.5" customHeight="1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3.5" customHeight="1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3.5" customHeight="1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3.5" customHeight="1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3.5" customHeight="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3.5" customHeight="1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3.5" customHeight="1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3.5" customHeight="1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3.5" customHeight="1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3.5" customHeight="1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3.5" customHeight="1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3.5" customHeight="1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3.5" customHeight="1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3.5" customHeight="1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3.5" customHeight="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3.5" customHeight="1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3.5" customHeight="1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3.5" customHeight="1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3.5" customHeight="1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3.5" customHeight="1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3.5" customHeight="1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3.5" customHeight="1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3.5" customHeight="1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3.5" customHeight="1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3.5" customHeight="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3.5" customHeight="1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3.5" customHeight="1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3.5" customHeight="1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3.5" customHeight="1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3.5" customHeight="1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3.5" customHeight="1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3.5" customHeight="1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3.5" customHeight="1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3.5" customHeight="1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3.5" customHeight="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3.5" customHeight="1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3.5" customHeight="1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3.5" customHeight="1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3.5" customHeight="1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3.5" customHeight="1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3.5" customHeight="1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3.5" customHeight="1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3.5" customHeight="1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3.5" customHeight="1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3.5" customHeight="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3.5" customHeight="1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3.5" customHeight="1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3.5" customHeight="1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3.5" customHeight="1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3.5" customHeight="1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3.5" customHeight="1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3.5" customHeight="1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3.5" customHeight="1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3.5" customHeight="1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3.5" customHeight="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3.5" customHeight="1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3.5" customHeight="1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3.5" customHeight="1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3.5" customHeight="1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3.5" customHeight="1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3.5" customHeight="1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3.5" customHeight="1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3.5" customHeight="1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3.5" customHeight="1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3.5" customHeight="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3.5" customHeight="1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3.5" customHeight="1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3.5" customHeight="1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3.5" customHeight="1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3.5" customHeight="1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3.5" customHeight="1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3.5" customHeight="1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3.5" customHeight="1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3.5" customHeight="1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3.5" customHeight="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3.5" customHeight="1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3.5" customHeight="1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3.5" customHeight="1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3.5" customHeight="1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3.5" customHeight="1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3.5" customHeight="1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3.5" customHeight="1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3.5" customHeight="1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3.5" customHeight="1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3.5" customHeight="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3.5" customHeight="1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3.5" customHeight="1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3.5" customHeight="1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3.5" customHeight="1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3.5" customHeight="1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3.5" customHeight="1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3.5" customHeight="1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3.5" customHeight="1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3.5" customHeight="1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3.5" customHeight="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3.5" customHeight="1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3.5" customHeight="1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3.5" customHeight="1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3.5" customHeight="1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3.5" customHeight="1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3.5" customHeight="1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3.5" customHeight="1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3.5" customHeight="1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3.5" customHeight="1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3.5" customHeight="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3.5" customHeight="1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3.5" customHeight="1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3.5" customHeight="1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3.5" customHeight="1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3.5" customHeight="1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3.5" customHeight="1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3.5" customHeight="1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3.5" customHeight="1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3.5" customHeight="1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3.5" customHeight="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3.5" customHeight="1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3.5" customHeight="1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3.5" customHeight="1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3.5" customHeight="1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3.5" customHeight="1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3.5" customHeight="1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3.5" customHeight="1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3.5" customHeight="1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3.5" customHeight="1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3.5" customHeight="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3.5" customHeight="1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3.5" customHeight="1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3.5" customHeight="1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3.5" customHeight="1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3.5" customHeight="1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3.5" customHeight="1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3.5" customHeight="1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3.5" customHeight="1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3.5" customHeight="1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3.5" customHeight="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3.5" customHeight="1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3.5" customHeight="1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3.5" customHeight="1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3.5" customHeight="1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3.5" customHeight="1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3.5" customHeight="1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3.5" customHeight="1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3.5" customHeight="1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3.5" customHeight="1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3.5" customHeight="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3.5" customHeight="1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3.5" customHeight="1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3.5" customHeight="1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3.5" customHeight="1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3.5" customHeight="1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3.5" customHeight="1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3.5" customHeight="1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3.5" customHeight="1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3.5" customHeight="1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3.5" customHeight="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3.5" customHeight="1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3.5" customHeight="1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3.5" customHeight="1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3.5" customHeight="1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3.5" customHeight="1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3.5" customHeight="1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3.5" customHeight="1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3.5" customHeight="1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3.5" customHeight="1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3.5" customHeight="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3.5" customHeight="1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3.5" customHeight="1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3.5" customHeight="1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3.5" customHeight="1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3.5" customHeight="1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3.5" customHeight="1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3.5" customHeight="1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3.5" customHeight="1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3.5" customHeight="1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3.5" customHeight="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3.5" customHeight="1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3.5" customHeight="1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3.5" customHeight="1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3.5" customHeight="1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3.5" customHeight="1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3.5" customHeight="1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3.5" customHeight="1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3.5" customHeight="1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3.5" customHeight="1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3.5" customHeight="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3.5" customHeight="1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3.5" customHeight="1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3.5" customHeight="1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3.5" customHeight="1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3.5" customHeight="1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3.5" customHeight="1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3.5" customHeight="1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3.5" customHeight="1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3.5" customHeight="1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3.5" customHeight="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3.5" customHeight="1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3.5" customHeight="1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3.5" customHeight="1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3.5" customHeight="1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3.5" customHeight="1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3.5" customHeight="1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3.5" customHeight="1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3.5" customHeight="1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3.5" customHeight="1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3.5" customHeight="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3.5" customHeight="1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3.5" customHeight="1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3.5" customHeight="1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3.5" customHeight="1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3.5" customHeight="1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3.5" customHeight="1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3.5" customHeight="1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3.5" customHeight="1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3.5" customHeight="1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3.5" customHeight="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3.5" customHeight="1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3.5" customHeight="1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3.5" customHeight="1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3.5" customHeight="1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3.5" customHeight="1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3.5" customHeight="1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3.5" customHeight="1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3.5" customHeight="1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3.5" customHeight="1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3.5" customHeight="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3.5" customHeight="1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3.5" customHeight="1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3.5" customHeight="1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3.5" customHeight="1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3.5" customHeight="1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3.5" customHeight="1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3.5" customHeight="1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3.5" customHeight="1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3.5" customHeight="1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3.5" customHeight="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3.5" customHeight="1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3.5" customHeight="1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3.5" customHeight="1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3.5" customHeight="1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3.5" customHeight="1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3.5" customHeight="1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3.5" customHeight="1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3.5" customHeight="1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3.5" customHeight="1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3.5" customHeight="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3.5" customHeight="1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3.5" customHeight="1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3.5" customHeight="1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3.5" customHeight="1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3.5" customHeight="1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3.5" customHeight="1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3.5" customHeight="1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3.5" customHeight="1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3.5" customHeight="1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3.5" customHeight="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3.5" customHeight="1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3.5" customHeight="1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3.5" customHeight="1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3.5" customHeight="1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3.5" customHeight="1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3.5" customHeight="1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3.5" customHeight="1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3.5" customHeight="1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3.5" customHeight="1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3.5" customHeight="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3.5" customHeight="1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3.5" customHeight="1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3.5" customHeight="1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3.5" customHeight="1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3.5" customHeight="1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3.5" customHeight="1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3.5" customHeight="1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3.5" customHeight="1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3.5" customHeight="1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3.5" customHeight="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3.5" customHeight="1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3.5" customHeight="1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3.5" customHeight="1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3.5" customHeight="1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3.5" customHeight="1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3.5" customHeight="1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3.5" customHeight="1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3.5" customHeight="1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3.5" customHeight="1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3.5" customHeight="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3.5" customHeight="1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3.5" customHeight="1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3.5" customHeight="1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3.5" customHeight="1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3.5" customHeight="1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3.5" customHeight="1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3.5" customHeight="1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3.5" customHeight="1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3.5" customHeight="1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3.5" customHeight="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3.5" customHeight="1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3.5" customHeight="1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3.5" customHeight="1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3.5" customHeight="1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3.5" customHeight="1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3.5" customHeight="1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3.5" customHeight="1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3.5" customHeight="1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3.5" customHeight="1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3.5" customHeight="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3.5" customHeight="1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3.5" customHeight="1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3.5" customHeight="1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3.5" customHeight="1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3.5" customHeight="1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3.5" customHeight="1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3.5" customHeight="1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3.5" customHeight="1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3.5" customHeight="1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3.5" customHeight="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3.5" customHeight="1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3.5" customHeight="1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3.5" customHeight="1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3.5" customHeight="1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3.5" customHeight="1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3.5" customHeight="1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3.5" customHeight="1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3.5" customHeight="1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3.5" customHeight="1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3.5" customHeight="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3.5" customHeight="1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3.5" customHeight="1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3.5" customHeight="1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3.5" customHeight="1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3.5" customHeight="1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3.5" customHeight="1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3.5" customHeight="1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3.5" customHeight="1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3.5" customHeight="1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3.5" customHeight="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3.5" customHeight="1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3.5" customHeight="1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3.5" customHeight="1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3.5" customHeight="1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3.5" customHeight="1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3.5" customHeight="1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3.5" customHeight="1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3.5" customHeight="1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3.5" customHeight="1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3.5" customHeight="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3.5" customHeight="1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3.5" customHeight="1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3.5" customHeight="1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3.5" customHeight="1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3.5" customHeight="1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3.5" customHeight="1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3.5" customHeight="1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3.5" customHeight="1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3.5" customHeight="1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3.5" customHeight="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3.5" customHeight="1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3.5" customHeight="1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3.5" customHeight="1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3.5" customHeight="1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3.5" customHeight="1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3.5" customHeight="1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3.5" customHeight="1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3.5" customHeight="1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3.5" customHeight="1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3.5" customHeight="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3.5" customHeight="1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3.5" customHeight="1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3.5" customHeight="1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3.5" customHeight="1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3.5" customHeight="1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3.5" customHeight="1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3.5" customHeight="1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3.5" customHeight="1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3.5" customHeight="1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3.5" customHeight="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3.5" customHeight="1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3.5" customHeight="1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3.5" customHeight="1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3.5" customHeight="1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3.5" customHeight="1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3.5" customHeight="1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3.5" customHeight="1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3.5" customHeight="1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3.5" customHeight="1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3.5" customHeight="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3.5" customHeight="1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3.5" customHeight="1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3.5" customHeight="1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3.5" customHeight="1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3.5" customHeight="1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3.5" customHeight="1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3.5" customHeight="1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3.5" customHeight="1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3.5" customHeight="1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3.5" customHeight="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3.5" customHeight="1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3.5" customHeight="1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3.5" customHeight="1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3.5" customHeight="1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3.5" customHeight="1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3.5" customHeight="1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3.5" customHeight="1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3.5" customHeight="1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3.5" customHeight="1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3.5" customHeight="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3.5" customHeight="1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3.5" customHeight="1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3.5" customHeight="1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3.5" customHeight="1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3.5" customHeight="1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3.5" customHeight="1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3.5" customHeight="1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3.5" customHeight="1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3.5" customHeight="1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3.5" customHeight="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3.5" customHeight="1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3.5" customHeight="1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3.5" customHeight="1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3.5" customHeight="1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3.5" customHeight="1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3.5" customHeight="1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3.5" customHeight="1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3.5" customHeight="1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3.5" customHeight="1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3.5" customHeight="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3.5" customHeight="1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3.5" customHeight="1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3.5" customHeight="1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3.5" customHeight="1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3.5" customHeight="1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3.5" customHeight="1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3.5" customHeight="1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3.5" customHeight="1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3.5" customHeight="1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3.5" customHeight="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3.5" customHeight="1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3.5" customHeight="1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3.5" customHeight="1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3.5" customHeight="1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3.5" customHeight="1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3.5" customHeight="1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3.5" customHeight="1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3.5" customHeight="1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3.5" customHeight="1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3.5" customHeight="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3.5" customHeight="1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3.5" customHeight="1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3.5" customHeight="1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3.5" customHeight="1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3.5" customHeight="1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3.5" customHeight="1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3.5" customHeight="1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3.5" customHeight="1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3.5" customHeight="1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3.5" customHeight="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3.5" customHeight="1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3.5" customHeight="1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3.5" customHeight="1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3.5" customHeight="1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3.5" customHeight="1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3.5" customHeight="1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3.5" customHeight="1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3.5" customHeight="1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3.5" customHeight="1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3.5" customHeight="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3.5" customHeight="1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3.5" customHeight="1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3.5" customHeight="1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3.5" customHeight="1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3.5" customHeight="1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3.5" customHeight="1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3.5" customHeight="1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3.5" customHeight="1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3.5" customHeight="1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3.5" customHeight="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3.5" customHeight="1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3.5" customHeight="1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3.5" customHeight="1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3.5" customHeight="1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3.5" customHeight="1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3.5" customHeight="1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3.5" customHeight="1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3.5" customHeight="1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3.5" customHeight="1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3.5" customHeight="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3.5" customHeight="1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3.5" customHeight="1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3.5" customHeight="1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3.5" customHeight="1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3.5" customHeight="1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3.5" customHeight="1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3.5" customHeight="1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3.5" customHeight="1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3.5" customHeight="1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3.5" customHeight="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3.5" customHeight="1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3.5" customHeight="1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3.5" customHeight="1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3.5" customHeight="1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3.5" customHeight="1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3.5" customHeight="1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3.5" customHeight="1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3.5" customHeight="1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3.5" customHeight="1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3.5" customHeight="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3.5" customHeight="1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3.5" customHeight="1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3.5" customHeight="1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3.5" customHeight="1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3.5" customHeight="1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3.5" customHeight="1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3.5" customHeight="1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3.5" customHeight="1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3.5" customHeight="1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3.5" customHeight="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3.5" customHeight="1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3.5" customHeight="1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3.5" customHeight="1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3.5" customHeight="1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3.5" customHeight="1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3.5" customHeight="1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3.5" customHeight="1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3.5" customHeight="1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3.5" customHeight="1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3.5" customHeight="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3.5" customHeight="1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3.5" customHeight="1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3.5" customHeight="1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3.5" customHeight="1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3.5" customHeight="1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3.5" customHeight="1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3.5" customHeight="1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3.5" customHeight="1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3.5" customHeight="1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3.5" customHeight="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3.5" customHeight="1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3.5" customHeight="1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3.5" customHeight="1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3.5" customHeight="1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3.5" customHeight="1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3.5" customHeight="1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3.5" customHeight="1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3.5" customHeight="1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3.5" customHeight="1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3.5" customHeight="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3.5" customHeight="1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3.5" customHeight="1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3.5" customHeight="1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3.5" customHeight="1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3.5" customHeight="1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3.5" customHeight="1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3.5" customHeight="1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3.5" customHeight="1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3.5" customHeight="1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3.5" customHeight="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3.5" customHeight="1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3.5" customHeight="1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3.5" customHeight="1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3.5" customHeight="1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3.5" customHeight="1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3.5" customHeight="1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3.5" customHeight="1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3.5" customHeight="1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3.5" customHeight="1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3.5" customHeight="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3.5" customHeight="1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3.5" customHeight="1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3.5" customHeight="1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3.5" customHeight="1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3.5" customHeight="1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3.5" customHeight="1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3.5" customHeight="1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3.5" customHeight="1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3.5" customHeight="1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3.5" customHeight="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3.5" customHeight="1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3.5" customHeight="1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3.5" customHeight="1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3.5" customHeight="1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3.5" customHeight="1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3.5" customHeight="1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3.5" customHeight="1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3.5" customHeight="1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3.5" customHeight="1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3.5" customHeight="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3.5" customHeight="1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3.5" customHeight="1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3.5" customHeight="1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3.5" customHeight="1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3.5" customHeight="1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3.5" customHeight="1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3.5" customHeight="1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3.5" customHeight="1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3.5" customHeight="1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3.5" customHeight="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3.5" customHeight="1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3.5" customHeight="1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3.5" customHeight="1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3.5" customHeight="1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3.5" customHeight="1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3.5" customHeight="1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3.5" customHeight="1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3.5" customHeight="1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3.5" customHeight="1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3.5" customHeight="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3.5" customHeight="1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3.5" customHeight="1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3.5" customHeight="1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3.5" customHeight="1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3.5" customHeight="1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3.5" customHeight="1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3.5" customHeight="1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3.5" customHeight="1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3.5" customHeight="1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3.5" customHeight="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3.5" customHeight="1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3.5" customHeight="1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3.5" customHeight="1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3.5" customHeight="1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3.5" customHeight="1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3.5" customHeight="1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3.5" customHeight="1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3.5" customHeight="1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3.5" customHeight="1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3.5" customHeight="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3.5" customHeight="1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3.5" customHeight="1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3.5" customHeight="1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3.5" customHeight="1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3.5" customHeight="1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3.5" customHeight="1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3.5" customHeight="1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3.5" customHeight="1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3.5" customHeight="1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3.5" customHeight="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3.5" customHeight="1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3.5" customHeight="1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3.5" customHeight="1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3.5" customHeight="1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3.5" customHeight="1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3.5" customHeight="1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3.5" customHeight="1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3.5" customHeight="1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3.5" customHeight="1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3.5" customHeight="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3.5" customHeight="1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3.5" customHeight="1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3.5" customHeight="1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3.5" customHeight="1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3.5" customHeight="1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3.5" customHeight="1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3.5" customHeight="1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3.5" customHeight="1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3.5" customHeight="1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3.5" customHeight="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3.5" customHeight="1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3.5" customHeight="1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3.5" customHeight="1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3.5" customHeight="1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3.5" customHeight="1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3.5" customHeight="1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3.5" customHeight="1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3.5" customHeight="1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3.5" customHeight="1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3.5" customHeight="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3.5" customHeight="1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3.5" customHeight="1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3.5" customHeight="1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3.5" customHeight="1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3.5" customHeight="1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3.5" customHeight="1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3.5" customHeight="1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3.5" customHeight="1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3.5" customHeight="1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3.5" customHeight="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3.5" customHeight="1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3.5" customHeight="1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3.5" customHeight="1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3.5" customHeight="1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3.5" customHeight="1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3.5" customHeight="1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3.5" customHeight="1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3.5" customHeight="1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3.5" customHeight="1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3.5" customHeight="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3.5" customHeight="1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3.5" customHeight="1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3.5" customHeight="1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3.5" customHeight="1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3.5" customHeight="1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3.5" customHeight="1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3.5" customHeight="1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3.5" customHeight="1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3.5" customHeight="1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3.5" customHeight="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3.5" customHeight="1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3.5" customHeight="1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3.5" customHeight="1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3.5" customHeight="1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3.5" customHeight="1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3.5" customHeight="1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3.5" customHeight="1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3.5" customHeight="1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3.5" customHeight="1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3.5" customHeight="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3.5" customHeight="1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3.5" customHeight="1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3.5" customHeight="1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3.5" customHeight="1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3.5" customHeight="1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3.5" customHeight="1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3.5" customHeight="1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3.5" customHeight="1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3.5" customHeight="1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3.5" customHeight="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3.5" customHeight="1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3.5" customHeight="1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3.5" customHeight="1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3.5" customHeight="1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3.5" customHeight="1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3.5" customHeight="1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3.5" customHeight="1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3.5" customHeight="1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3.5" customHeight="1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3.5" customHeight="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3.5" customHeight="1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3.5" customHeight="1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3.5" customHeight="1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3.5" customHeight="1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3.5" customHeight="1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3.5" customHeight="1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3.5" customHeight="1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3.5" customHeight="1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3.5" customHeight="1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3.5" customHeight="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3.5" customHeight="1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3.5" customHeight="1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3.5" customHeight="1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3.5" customHeight="1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3.5" customHeight="1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3.5" customHeight="1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3.5" customHeight="1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3.5" customHeight="1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3.5" customHeight="1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3.5" customHeight="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3.5" customHeight="1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3.5" customHeight="1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3.5" customHeight="1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3.5" customHeight="1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3.5" customHeight="1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3.5" customHeight="1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3.5" customHeight="1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3.5" customHeight="1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3.5" customHeight="1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3.5" customHeight="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3.5" customHeight="1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3.5" customHeight="1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3.5" customHeight="1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3.5" customHeight="1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3.5" customHeight="1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3.5" customHeight="1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3.5" customHeight="1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3.5" customHeight="1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3.5" customHeight="1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3.5" customHeight="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3.5" customHeight="1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3.5" customHeight="1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3.5" customHeight="1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3.5" customHeight="1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3.5" customHeight="1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3.5" customHeight="1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3.5" customHeight="1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3.5" customHeight="1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3.5" customHeight="1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3.5" customHeight="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3.5" customHeight="1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3.5" customHeight="1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3.5" customHeight="1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3.5" customHeight="1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3.5" customHeight="1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3.5" customHeight="1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3.5" customHeight="1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3.5" customHeight="1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3.5" customHeight="1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3.5" customHeight="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3.5" customHeight="1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3.5" customHeight="1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3.5" customHeight="1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3.5" customHeight="1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3.5" customHeight="1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3.5" customHeight="1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3.5" customHeight="1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3.5" customHeight="1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3.5" customHeight="1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3.5" customHeight="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3.5" customHeight="1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3.5" customHeight="1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3.5" customHeight="1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3.5" customHeight="1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3.5" customHeight="1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3.5" customHeight="1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3.5" customHeight="1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3.5" customHeight="1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3.5" customHeight="1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3.5" customHeight="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3.5" customHeight="1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3.5" customHeight="1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3.5" customHeight="1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3.5" customHeight="1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3.5" customHeight="1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3.5" customHeight="1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3.5" customHeight="1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3.5" customHeight="1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3.5" customHeight="1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3.5" customHeight="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3.5" customHeight="1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3.5" customHeight="1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3.5" customHeight="1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3.5" customHeight="1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3.5" customHeight="1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3.5" customHeight="1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3.5" customHeight="1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3.5" customHeight="1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3.5" customHeight="1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3.5" customHeight="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3.5" customHeight="1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3.5" customHeight="1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3.5" customHeight="1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3.5" customHeight="1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3.5" customHeight="1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3.5" customHeight="1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3.5" customHeight="1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</sheetData>
  <mergeCells count="31">
    <mergeCell ref="D2:F2"/>
    <mergeCell ref="D41:F41"/>
    <mergeCell ref="G49:I49"/>
    <mergeCell ref="A36:A37"/>
    <mergeCell ref="B2:B3"/>
    <mergeCell ref="J2:M2"/>
    <mergeCell ref="D53:F53"/>
    <mergeCell ref="D47:F47"/>
    <mergeCell ref="D43:F43"/>
    <mergeCell ref="D49:F50"/>
    <mergeCell ref="A2:A3"/>
    <mergeCell ref="C2:C3"/>
    <mergeCell ref="D39:F39"/>
    <mergeCell ref="C36:C37"/>
    <mergeCell ref="D51:F51"/>
    <mergeCell ref="D42:F42"/>
    <mergeCell ref="D38:F38"/>
    <mergeCell ref="B49:B50"/>
    <mergeCell ref="D36:F37"/>
    <mergeCell ref="B36:B37"/>
    <mergeCell ref="D44:F44"/>
    <mergeCell ref="J49:M49"/>
    <mergeCell ref="G2:I2"/>
    <mergeCell ref="J36:M36"/>
    <mergeCell ref="G36:I36"/>
    <mergeCell ref="D46:F46"/>
    <mergeCell ref="D40:F40"/>
    <mergeCell ref="D45:F45"/>
    <mergeCell ref="A49:A50"/>
    <mergeCell ref="D52:F52"/>
    <mergeCell ref="C49:C50"/>
  </mergeCells>
  <printOptions horizontalCentered="1"/>
  <pageMargins left="0" right="0" top="0.3937007874015748" bottom="0.1968503937007874" header="0" footer="0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Jinnie Hwang</dc:creator>
  <dcterms:created xmlns:dcterms="http://purl.org/dc/terms/" xmlns:xsi="http://www.w3.org/2001/XMLSchema-instance" xsi:type="dcterms:W3CDTF">2023-07-25T23:26:29Z</dcterms:created>
  <dcterms:modified xmlns:dcterms="http://purl.org/dc/terms/" xmlns:xsi="http://www.w3.org/2001/XMLSchema-instance" xsi:type="dcterms:W3CDTF">2026-10-18T10:59:43Z</dcterms:modified>
  <cp:lastModifiedBy>주식회사 엠파시 (Empasy Inc.)</cp:lastModifiedBy>
  <cp:lastPrinted>2023-07-25T23:30:12Z</cp:lastPrinted>
</cp:coreProperties>
</file>