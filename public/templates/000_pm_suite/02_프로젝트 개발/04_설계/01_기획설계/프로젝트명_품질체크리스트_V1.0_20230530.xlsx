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개정이력" sheetId="2" r:id="rId5"/>
    <sheet state="visible" name="프로세스체크리스트" sheetId="3" r:id="rId6"/>
    <sheet state="visible" name="산출물체크리스트" sheetId="4" r:id="rId7"/>
    <sheet state="visible" name="작성지침" sheetId="5" r:id="rId8"/>
  </sheets>
  <definedNames/>
  <calcPr/>
</workbook>
</file>

<file path=xl/sharedStrings.xml><?xml version="1.0" encoding="utf-8"?>
<sst xmlns="http://schemas.openxmlformats.org/spreadsheetml/2006/main" count="1022" uniqueCount="632">
  <si>
    <t>프로젝트명</t>
  </si>
  <si>
    <t>품질체크리스트</t>
  </si>
  <si>
    <t>Phase : 설계단계</t>
  </si>
  <si>
    <t>Author  : 홍길동</t>
  </si>
  <si>
    <t>Date : 2022.3.29</t>
  </si>
  <si>
    <t>Version : 1.0</t>
  </si>
  <si>
    <t>구분</t>
  </si>
  <si>
    <t>소속</t>
  </si>
  <si>
    <t>역할</t>
  </si>
  <si>
    <t>담당자</t>
  </si>
  <si>
    <t>확인일</t>
  </si>
  <si>
    <t>확인</t>
  </si>
  <si>
    <t>작성</t>
  </si>
  <si>
    <t>동료검토</t>
  </si>
  <si>
    <t>검토</t>
  </si>
  <si>
    <t xml:space="preserve"> </t>
  </si>
  <si>
    <t>인수/승인</t>
  </si>
  <si>
    <t>개정 이력</t>
  </si>
  <si>
    <t>Project</t>
  </si>
  <si>
    <t>Phase</t>
  </si>
  <si>
    <t>설계</t>
  </si>
  <si>
    <t>Author</t>
  </si>
  <si>
    <t>홍길동</t>
  </si>
  <si>
    <t>Date</t>
  </si>
  <si>
    <t>Version</t>
  </si>
  <si>
    <t>버전</t>
  </si>
  <si>
    <t>날짜</t>
  </si>
  <si>
    <t>변경사유</t>
  </si>
  <si>
    <t>변경내용</t>
  </si>
  <si>
    <t>작성자</t>
  </si>
  <si>
    <t>승인</t>
  </si>
  <si>
    <t>최초 작성</t>
  </si>
  <si>
    <t>프로세스</t>
  </si>
  <si>
    <t>활동</t>
  </si>
  <si>
    <t>순번</t>
  </si>
  <si>
    <t>점검항목</t>
  </si>
  <si>
    <t>점검대상</t>
  </si>
  <si>
    <t>중요도</t>
  </si>
  <si>
    <t>가중치</t>
  </si>
  <si>
    <t>평가</t>
  </si>
  <si>
    <t>평가점수</t>
  </si>
  <si>
    <t>검토의견</t>
  </si>
  <si>
    <t>프로젝트계획</t>
  </si>
  <si>
    <t>프로젝트착수</t>
  </si>
  <si>
    <t>프로젝트 관리자로 선정된 직후, 프로젝트 관리자는 품질경영 부서장에게 프로젝트 품질보증 활동에 대한 지원을 요청하였습니까?</t>
  </si>
  <si>
    <t>전자문서</t>
  </si>
  <si>
    <t>C</t>
  </si>
  <si>
    <t>영업 대표와 프로젝트 관리자간의 영업정보 및 해당 프로젝트 관련 사항들에 대한 인수인계가 실시되고 있습니까?- RFP와 제안서, 계약서의 차이점 정리</t>
  </si>
  <si>
    <t>프로젝트 인수인계서
RFP, 제안서, 계약서</t>
  </si>
  <si>
    <t>해당 프로젝트에 적용할 적합한 생명주기와 방법론이 선정되어 있습니까?- 해당 프로젝트 특성 및 유형 고려- 고객의 요구사항 고려</t>
  </si>
  <si>
    <t>생명주기 모델선정체크리스트
프로젝트수행계획서</t>
  </si>
  <si>
    <t>프로젝트 표준 프로세스 재정의 결과를 바탕으로, 조직의 표준프로세스(IPS)와의 편차가 식별되어 있습니까?- 프로세스 및 방법론 테일러링 근거- 작성예정 산출물의 적정성 및 충분성- 담당 QAM의 Tailoring 타당성 검토 및 품질경영부서장 승인</t>
  </si>
  <si>
    <t>프로세스 Tailoring 대비표</t>
  </si>
  <si>
    <t>A</t>
  </si>
  <si>
    <t>프로젝트 범위정의</t>
  </si>
  <si>
    <t>조직의 Tailoring 기준(Tailoring 지침서)에 의한 프로젝트 표준 프로세스는 적절하게 수립되었습니까?</t>
  </si>
  <si>
    <t>프로젝트 관리 표준</t>
  </si>
  <si>
    <t>프로젝트 범위는 제안서와 계약내역을 반영하여 설정되고 구체화되었으며, 고객에게 제공할 업무 범위 및 배제할 업무 범위가 명확하게 정의되어 있습니까?- 구성도 (하드웨어, 소프트웨어, 네트워크, 응용시스템)- 응용시스템 업무기능 대중소 분류 및 업무 범위 상세 정의- 하드웨어, 소프트웨어, 네트워크 설치 계획- 데이터 전환 계획- 외부 인터페이스 계획</t>
  </si>
  <si>
    <t>프로젝트 수행계획서</t>
  </si>
  <si>
    <t>WBS는 산출물과 단계가 분명하게 반영되어 있으며, 관리가능한 범위내에서 합리적으로작성되어 있습니까?- 추적될 수 있는 프로젝트의 모든 Task 포함 (분석, 설계, 개발, 테스트, 프로젝트 관리활동, 품질보증 활동, 형상관리, 검증 및 확인 활동, 교육, 프로젝트 종료 등)- 정의된 활동들이 관리가능하도록 충분히 분할- 고객 인도 대상 산출물 식별- 프로젝트 수행과정의 외부 이정표 식별- 프로젝트 수행과정의 내부 이정표 식별- 주요활동간의 의존관계 파악, 주요활동에 대한 완료기준 설정</t>
  </si>
  <si>
    <t>WBS</t>
  </si>
  <si>
    <t>선정된 방법론에 근거하여 프로젝트 산출물이 단계별로 명확하게 식별되고 정의되어 있습니까?- 공식인도물, 비공식인도물 구분- 산출물 종류, 제출시기, 전달매체, 수량 정의- 고객 요구사항 반영</t>
  </si>
  <si>
    <t>해당 프로젝트 특성 및 유형에 적합한 산정그룹은 구성되어 있습니까?- 계획수립시 산정그룹 구성- 실제 활동여부 확인</t>
  </si>
  <si>
    <t>산정그룹</t>
  </si>
  <si>
    <t>프로젝트 산정은 적절하게 수행되고 있으며, 결과에 대한 관련자의 검토 및 승인을 득하였습니까?- 단위 업무정의서 작성- 규모, 투입공수 산정- 비용 및 일정산정- 주요컴퓨터자원 산정</t>
  </si>
  <si>
    <t>프로젝트 산정은 계획된 산정시기에 따라 수행되고 있습니까?- 제안단계 (제안 산정)- 계획수립 단계 / 설계단계 (실행 산정)- 변경 발생시 (변경 산정)- 완료 단계 (성과 산정)</t>
  </si>
  <si>
    <t>프로젝트 수행계획수립</t>
  </si>
  <si>
    <t>프로젝트의 성공적인 수행을 위해 관리하여야 할 관리 지표 및 정량적으로 측정할 품질 지표 등에 대한 목표가 수립되어 있습니까?</t>
  </si>
  <si>
    <t>프로젝트 수행계획서
지표관리계획서</t>
  </si>
  <si>
    <t>B</t>
  </si>
  <si>
    <t>프로젝트 수행에 필요한 물품자원을 정의하고 도입 설치 계획이 수립되어 있습니까?
- 개발서버, PC
- 분석/설계/테스트 도구</t>
  </si>
  <si>
    <t>해당 프로젝트에 필요한 소요 지식이 파악되어 기술대비표에 작성되어 있습니까?
- 기술, 사업분야지식, 업무지식, 프로젝트 관리 관련지식 등</t>
  </si>
  <si>
    <t>기술대비표</t>
  </si>
  <si>
    <t>참여인력에 대한 교육훈련 계획이 수립되고 실적이 작성되어 있습니까?
- 기술대비표 근거로 계획수립
- 기술교육, 업무처리 절차, 표준, 방법론 교육 등</t>
  </si>
  <si>
    <t>교육훈련계획서</t>
  </si>
  <si>
    <t>프로젝트 수행 및 관리에 필요한 적합한 직무 책임자가 선정되어 있습니까?
- 프로젝트 수행에 필요한 기술력, 경험 파악을 통해 적정 인력 투입 확인
- PMO, 요구사항관리 담당자, 위험관리 담당자, 형상관리 담당자 프로젝트 품질 담당자 (검증 및 확인 담당자), 시험 담당자, 개발 리더, 기술 리더 전환 담당자 등</t>
  </si>
  <si>
    <t>프로젝트 팀원, 기술지원 조직 및 고객 등을 중심으로한 프로젝트 수행 조직이 구성되어있습니까?
- 프로젝트 팀원(당사, 협력사, 고객)에 대한 역할 및 책임이 명확하게 정의
- 프로젝트 팀 조직 / 기술지원 조직 / 고객 조직</t>
  </si>
  <si>
    <t>프로젝트 조직도
프로젝트 수행계획서</t>
  </si>
  <si>
    <t>프로젝트 문서관리 표준과 프로젝트 관리 표준이 작성되었습니까?
- 문서관리 표준 (문서 작성 기준, 문서 Repository 구성, 문서 번호 체계, 프로젝트 디렉토리 구성 등)
- 프로젝트 관리 표준 (프로젝트 보고, 변경 및 의사결정 요청, 요구사항관리, 위험관리,형상관리, 품질보증, 보안관리, 백업, 바이러스 예방 등)
- 이해관계자 보고 및 검토 참여계획</t>
  </si>
  <si>
    <t>프로젝트 일정수립 고려사항을 참조하여 일정계획이 수립되어 있습니까?
- 활동에 소요되는 기간, 활용가능한 자원고려
- 프로젝트 초기 시작일, 초기 완료일 명시</t>
  </si>
  <si>
    <t>프로젝트 일정표
WBS</t>
  </si>
  <si>
    <t>프로젝트 진척도 측정기준 지침서를 참조하여 해당 프로젝트 진척도 측정기준이 수립되고이를 근거로 진척관리가 수행되고 있습니까?</t>
  </si>
  <si>
    <t>프로젝트 진척도</t>
  </si>
  <si>
    <t>프로젝트 인원투입 계획이 수립되고 유지, 관리되고 있습니까?
- 투입공수와 일정계획 참조</t>
  </si>
  <si>
    <t>계획수립 단계에서 프로젝트 위험은 최소한 10개 이상 식별되어 있습니까?</t>
  </si>
  <si>
    <t>프로젝트 수행계획서
위험관리대장</t>
  </si>
  <si>
    <t>프로젝트 실행예산을 수립하고, 관련자의 검토 및 승인을 얻었습니까?
- 실행계획 등록
- 실행계획 품의</t>
  </si>
  <si>
    <t>실행계획 품의서</t>
  </si>
  <si>
    <t>프로젝트 계획수립 활동들을 통해 생성한 정보를 토대로, 프로젝트 수행계획서가 작성, 유지, 관리되고 있습니까?
- 프로젝트 수행계획서 템플릿 적용여부
- 우선협상 대상자 선정이후 14일 이내 완료</t>
  </si>
  <si>
    <t>프로젝트 수행계획 검토 및 승인</t>
  </si>
  <si>
    <t>프로젝트 수행계획서에 대한 동료검토 또는 내부승인을 득하였습니까?
- 수행계획의 타당성 검토
- 품질보증관리자 합의
- 프로젝트 주관부서장 승인, 경영진 승인</t>
  </si>
  <si>
    <t>승인된 프로젝트 수행계획서</t>
  </si>
  <si>
    <t>프로젝트 수행계획서에 대한 고객의 승인을 득하였습니까?</t>
  </si>
  <si>
    <t>프로젝트 오리엔테이션</t>
  </si>
  <si>
    <t>프로젝트 계획 수립 후 프로젝트 팀원 또는 고객을 대상으로 필요한 교육이 실시되고 있습니까?
- 프로젝트 표준 교육 (프로젝트 관리 표준, PMS, 분석 표준, 설계 표준, 개발 표준)
- 품질보증 오리엔테이션 (방법론, 표준프로세스, 품질보증 관련 교육)
- 사용자, 운영자 교육 (기술 및 개발 프로세스 관련 교육)</t>
  </si>
  <si>
    <t>교육훈련계획 및 훈련대장</t>
  </si>
  <si>
    <t>프로젝트 수행계획변경</t>
  </si>
  <si>
    <t>프로젝트 수행계획의 중대 변경이 발생한 경우, 계획을 재 수립하고 관련자의 검토 또는승인(내부승인, 고객승인)을 득하였습니까? - 계약사항(계약금액, 일정 및 범위 등)이 변경된 경우 - 요구사항 변경에 따른 범위 변경이 프로젝트 수행에 심각한 영향을 미치는 경우 - 프로젝트 예산과 실적의 차이가 현저한 차이가 발생하여 실행예산을 변경한 경우 - 프로젝트 관리자가 변경되는 경우 - 기타 중대 변경이 발생한 경우</t>
  </si>
  <si>
    <t>변경/승인된 프로젝트 수행계획서</t>
  </si>
  <si>
    <t>측정 및 분석</t>
  </si>
  <si>
    <t>프로젝트 계획수립 활동에 대한 상태를 결정하기 위해 측정 지표들이 활용되고 있습니까?</t>
  </si>
  <si>
    <t>지표측정분석</t>
  </si>
  <si>
    <t>프로젝트통제</t>
  </si>
  <si>
    <t>프로젝트 모니터링</t>
  </si>
  <si>
    <t>프로젝트 현황에 대해서 정기보고 및 비정기 보고가 적절하게 수행되고 있습니까?
- 착수보고, 중간보고, 완료보고, 주간보고, 월간보고
- 수시보고</t>
  </si>
  <si>
    <t>보고서 및 회의록</t>
  </si>
  <si>
    <t>계획된 일정에 따라 프로젝트가 진행되는지 모니터링을 수행하고 있습니까?
- 계획대비 실적 비교 및 차이점 식별</t>
  </si>
  <si>
    <t>WBS, 진척율, 주간/월간보고</t>
  </si>
  <si>
    <t>프로젝트 진척은 현 시점에서 지연없이 정확히 추진되고 있습니까?</t>
  </si>
  <si>
    <t>WBS, 진척율</t>
  </si>
  <si>
    <t>계획된 규모, 비용 및 투입공수에 따라 프로젝트가 진행되는지 모니터링을 수행하고 있습니까?
- 계획대비 실적 비교 및 차이점 식별</t>
  </si>
  <si>
    <t>프로젝트 계획수립활동에 투입된 공수에 대해 모니터링을 수행하고 있습니까?
- 계획대비 실적 비교 및 차이점 식별</t>
  </si>
  <si>
    <t>프로젝트 감독 및 통제 활동에 투입된 투입공수에 대해 적정하게 모니터링을 수행하고 있습니까?</t>
  </si>
  <si>
    <t>프로젝트통제 측정</t>
  </si>
  <si>
    <t>요구사항관리 활동에 대해 모니터링을 수행하고 있습니까?</t>
  </si>
  <si>
    <t>요구사항정의서
요구사항추적표
요구사항측정분석</t>
  </si>
  <si>
    <t>형상관리 활동에 대해 모니터링을 수행하고 있습니까?</t>
  </si>
  <si>
    <t>형상관리 측정분석
형상변경관리대장</t>
  </si>
  <si>
    <t>협력사의 활동에 대해 모니터링을 수행하고 있습니까?</t>
  </si>
  <si>
    <t>검증 및 확인 활동에 대해 모니터링을 수행하고 있습니까?
- 결함(Defect), 오류(Error) 및 문제(Problem) 식별</t>
  </si>
  <si>
    <t>동료검토결과서
결함관리대장
이슈관리대장</t>
  </si>
  <si>
    <t>프로젝트 목표 및 수행 전략, 계약 이행 합의 사항 등의 공약 사항에 대해 적정하게 모니터링을 수행하고 있습니까?</t>
  </si>
  <si>
    <t>보고서, 회의록</t>
  </si>
  <si>
    <t>식별된 위험에 대해 모니터링을 수행하고 있습니까?
- 프로젝트의 최근 상황에 대해 위험관련 문서를 정기적으로 재검토
- 관련 이해관계자와 위험의 현황에 대한 의사소통</t>
  </si>
  <si>
    <t>위험관리대장, 회의록</t>
  </si>
  <si>
    <t>이슈 및 조치사항에 대해 문서화하고 모니터링을 수행하고 있습니까?
- 이해 당사자들이 제기한 문제사항이나 Action Item 문서화</t>
  </si>
  <si>
    <t>이슈관리대장
ActionItem</t>
  </si>
  <si>
    <t>식별된 이슈에 대한 파급효과를 파악하여 등급을 판정하고, 해당 이슈가 종료될 때 까지추적하고 있습니까?
- 발생한 이슈가 B등급 이상일 경우, 이슈 파악 후 문제보고서 작성
- 프로젝트 내에서 해결되지 않는 이슈 및 문제점은 프로젝트 주관 부서장 또는 경영진에보고
- 등록한 이슈에 대해 필수 및 선택 통보자에게 통보하고, 이슈 등급별 이슈해결 주관자에게 보고</t>
  </si>
  <si>
    <t>이슈관리대장
문제점보고서</t>
  </si>
  <si>
    <t>고객 및 협력사 등으로 이루어진 이해관계자들의 참여 범위와 정도, 적절한 상호협력이 이루어지는지에 대해 모니터링을 수행하고 있습니까?- 이해관계자가 참여하지 않아 발생할 수 있는 문제점 식별- 이해관계자 참여효과 분석</t>
  </si>
  <si>
    <t>회의록
의사소통관련 자료</t>
  </si>
  <si>
    <t>이해관계자 간의 의사소통이 원활하지 않으며 의사결정이 지연되는 경우, 대응방안 및 후속조치를 수립하고 관리하고 있습니까?</t>
  </si>
  <si>
    <t>프로젝트업무연락
대외공문</t>
  </si>
  <si>
    <t>지정된 마일스톤 마다 고객 및 협력사 등의 관련자 참석하에 성과 및 결과를 검토하였습니까?
- 단계별 동료검토회의, 중간보고, 완료보고 등
- 단계별 완료산출물 고객의 공식승인 (공문 등)</t>
  </si>
  <si>
    <t>검토결과서, 보고서</t>
  </si>
  <si>
    <t>프로젝트 모니터링을 통해 계획 대비 실적이 현저히 차이가 나는 경우, 해당 사항을 반드시 문서화하고 문제사항을 식별하고 있습니까?</t>
  </si>
  <si>
    <t>계획대비 실적 관련 자료</t>
  </si>
  <si>
    <t>프로젝트 통제 및 시정조치</t>
  </si>
  <si>
    <t>프로젝트 수행시 발생되는 정보 및 데이터를 수집하여 분석하고 식별된 이슈 또는 문제점에 대해 시정조치 활동을 수행하고 있습니까?</t>
  </si>
  <si>
    <t>프로젝트완료</t>
  </si>
  <si>
    <t>프로젝트검수</t>
  </si>
  <si>
    <t>고객의 요구사항을 만족시킬 수 있도록 제품 또는 제품 구성요소에 대한 획득형태를 결정하고, 고객과 관련자의 승인을 득하였습니까?
- 검수완료예정일 14일 전 수행여부 확인
- 검수완료예정일이 계약기간 범위내에 포함되어 있는지 확인
- 검수요청시 첨부자료 포함여부 확인(검수확인서, 시스템 인수인계서, 인수시험계획서(결과서) 등
- 프로젝트 추진위, 재무부서를 포함한 사내 이해관계자에게 검수요청 현황 통보여부 확인
- 고객대상 완료보고 수행여부(Optional)</t>
  </si>
  <si>
    <t>검수요청서
계약서
검수확인서
시스템인수인계서
전자문서(이해관계자 통보메일)</t>
  </si>
  <si>
    <t>프로젝트 관리자는 고객사로 부터 검수완료 통보를 접수하고 완료승인을 획득하였습니까?
- 검수확인서 승인획득 및 회수여부 확인
- 시스템 인수인계서 작성여부(Optional)
- 검수완료사실의 통보여부(추진위, 재무부서 등 이해관계자)
- 검수완료 후, 비용정산 및 비용처리 마감여부</t>
  </si>
  <si>
    <t>검수확인서
시스템인수인계서
전자문서</t>
  </si>
  <si>
    <t>프로젝트 관리자는 고객승인 후, 세금계산서 발행의뢰서를 작성하여 재무부서에 세금계산서 발행의뢰를 하였습니까?</t>
  </si>
  <si>
    <t>세금계산서 발행의뢰서양식</t>
  </si>
  <si>
    <t>프로젝트철수</t>
  </si>
  <si>
    <t>프로젝트 관리자는 고객승인 후, 프로젝트 결과물에 대한 성과산정을 수행하였습니까?
- 프로젝트 규모, 투입공수, 비용 등의 성과산정 여부</t>
  </si>
  <si>
    <t>프로젝트 산정보고서</t>
  </si>
  <si>
    <t>프로젝트 관리자는 협력사 및 협력사 인력에 대한 평가를 수행하였습니까?
- 협력사 및 협력사 인력에 대한 기술력, 경력, 적응력, 업무성과 등의 평가여부
- 당사인력의 프로젝트 수행내역 등록여부(Expert Map)</t>
  </si>
  <si>
    <t>협력사 평가서_인력
협력사 평가서_업체</t>
  </si>
  <si>
    <t>프로젝트 관리자는 프로젝트 자원의 해제 및 철수와 관련하여 인력철수 계획을 수립하였습니까?
- 장비/비품 철수계획, 인력철수 계획, 잔여인력 운영계획 등 수립여부</t>
  </si>
  <si>
    <t>프로젝트완료보고서
주간보고/월간보고</t>
  </si>
  <si>
    <t>프로젝트 관리자는 검수승인을 획득한 시스템의 하자보수와 관련하여 A/S개시요청을 수행하였습니까?
- 하자보수 담당자 지정여부
- A/S개시요청서 제출여부(Optional)</t>
  </si>
  <si>
    <t>A/S개시 요청서</t>
  </si>
  <si>
    <t>프로젝트완료보고</t>
  </si>
  <si>
    <t>프로젝트 관리자는 프로젝트 완료보고서를 작성하여 이를 품질경영부서에 제출하고 완료보고회(추진위)를 주관하였습니까?
- 완료보고서의 작성충실도 확인</t>
  </si>
  <si>
    <t>프로젝트완료보고서</t>
  </si>
  <si>
    <t>프로제트 관리자는 프로젝트에서 수행한 산출물을 CD에 저장하여 품질경영부서에 제출하였습니까?
-프로젝트 정보 부착여부확인
-산출물CD 내용물 확인</t>
  </si>
  <si>
    <t>산출물CD</t>
  </si>
  <si>
    <t>프로젝트마감</t>
  </si>
  <si>
    <t>프로젝트 관리자는 발행된 세금계산서에 대한 매출채권회입여부를 확인하고 완료품의를수행하였습니까?</t>
  </si>
  <si>
    <t>프로젝트완료품의서</t>
  </si>
  <si>
    <t>측정및분석</t>
  </si>
  <si>
    <t>측정 목표 및 항목정의</t>
  </si>
  <si>
    <t>측정 및 분석활동을 위한 계획이 수립되고 유지관리되고 있습니까?
- 측정목적 및 측정항목 정의
- 측정지표 정의
- 측정지표에 대한 수집방법, 수집주기, 데이터 제공자 및 작성자, 측정데이터 저장 방법정의
- 측정지표에 대한 분석방법 및 툴, 분석 및 보고 시점 정의</t>
  </si>
  <si>
    <t>지표관리계획서</t>
  </si>
  <si>
    <t>측정 및 분석활동에 대한 책임 및 권한을 가진 담당자가 존재하고 활동을 수행하고 있습니까?
- 계획수립시 담당자 선정
- 실제 활동여부 확인</t>
  </si>
  <si>
    <t>지표관리계획서
측정 및 분석 담당자</t>
  </si>
  <si>
    <t>측정데이터 수집 및 분석</t>
  </si>
  <si>
    <t>측정 및 분석 계획서에 수립된 일정 및 방법에 의해 측정데이터를 수집하고, 분석 및 검토활동을 수행하였습니까?
- 수집된 데이터의 데이터 입력/저장
- 파생지표 생성
- 수집된 데이터의 무결성 점검
- 분석된 결과가 예상치와 다를 경우, 추가적인 측정 및 분석 수행</t>
  </si>
  <si>
    <t>프로젝트 측정분석서</t>
  </si>
  <si>
    <t>데이터 및 결과 저장</t>
  </si>
  <si>
    <t>측정 및 분석 결과와 측정데이터를 지정된 보관위치에 저장하였습니까?
- 이해관계자에게 열람할 수 있는 권한 부여</t>
  </si>
  <si>
    <t>결과에 대한 의사소통</t>
  </si>
  <si>
    <t>측정 및 분석 결과는 관련 이해관계자에게 통보되거나 보고되었습니까?</t>
  </si>
  <si>
    <t>프로젝트 측정분석서
주간/월간보고서</t>
  </si>
  <si>
    <t>요구사항관리</t>
  </si>
  <si>
    <t>요구사항관리 계획 수립</t>
  </si>
  <si>
    <t>요구사항 관리를 위한 계획이 수립되고 유지관리되고 있습니까?
- 변경관리/추적관리
- 요구사항을 접수하기 위한 적절한 채널이나 공식적인 제공처 지정
- 요구사항에 영향을 받는 관련 그룹 및 개인을 식별하고, 책임 및 역할 명시
- 요구사항의 승인을 위한 기준 식별
- 요구사항의 변경과 추적 관리를 위해서 요구사항 관리도구 선정
- 연관되는 요구사항간에 존재하는 링크를 가시적으로 표현
- 요구사항 변경 및 추적관리에 관한 교육 실시</t>
  </si>
  <si>
    <t>프로젝트 수행계획서
요구변경요청서
요구사항추적표</t>
  </si>
  <si>
    <t>요구사항 관리에 대한 책임 및 권한을 가진 담당자가 존재하고 활동을 수행하고 있습니까?
- 계획수립시 담당자 선정
- 실제 활동여부 확인</t>
  </si>
  <si>
    <t>요구사항관리 담당자</t>
  </si>
  <si>
    <t>요구사항수립</t>
  </si>
  <si>
    <t>요구사항 기술서는 충분하고도 상세히 기술되어 있습니까?
- 기본기능 뿐만 아니라 개선, 추가, 삭제 기능 등 모두 기술
- 업무기능 요구사항 뿐만 아니라 비기능 요구사항에 대한 정의</t>
  </si>
  <si>
    <t>요구사항정의서</t>
  </si>
  <si>
    <t>요구사항 검증 및 승인</t>
  </si>
  <si>
    <t>요구사항 및 추적표에 대한 동료검토 또는 내부승인을 득하였습니까?</t>
  </si>
  <si>
    <t>검토/승인된 요구사항정의서</t>
  </si>
  <si>
    <t>요구사항에 대한 고객의 승인을 득하였습니까?</t>
  </si>
  <si>
    <t>승인된 요구사항정의서</t>
  </si>
  <si>
    <t>요구사항 변경관리</t>
  </si>
  <si>
    <t>요구사항에 대해 베이스라인이 설정되고 변경을 관리하고 있습니까?</t>
  </si>
  <si>
    <t>요구사항정의서
요구사항추적표</t>
  </si>
  <si>
    <t>요구사항추적관리</t>
  </si>
  <si>
    <t>요구 사항이 단계별 산출물에 반영되고 있는지 추적관리 되고 있습니까?
- 계획단계 : (RFP/제안서/계약서/프로젝트 수행계획서)
- 분석단계 : 요구사항정의서/유스케이스정의서
- 설계단계 : 컨퍼넌트목록
- 구현단계 : 단위테스트계획서/결과서</t>
  </si>
  <si>
    <t>요구사항추적표</t>
  </si>
  <si>
    <t>요구사항 추적표는 양뱡항으로 검증하는데 가능하도록 작성되었습니까?</t>
  </si>
  <si>
    <t>요구사항 관리 활동에 대한 상태를 결정하기 위해 측정 지표들이 활용되고 있습니까?</t>
  </si>
  <si>
    <t>측정기록</t>
  </si>
  <si>
    <t>형상관리</t>
  </si>
  <si>
    <t>형상식별</t>
  </si>
  <si>
    <t>형상관리 활동을 위한 계획이 수립되고 유지관리되고 있습니까?
- 형상항목 및 베이스라인
- 형상식별 체계 및 버전부여 규칙
- 형상관리 시스템 구축환경 및 접근권한
- 형상통제 (변경요청, 변경심의, 변경실시, 변경확인, 베이스라인 변경, 변경통보 등)
- 형상상태 기록 및 보고
- 형상감사 등</t>
  </si>
  <si>
    <t>형상관리계획서</t>
  </si>
  <si>
    <t>형상관리 활동에 대한 책임 및 권한을 가진 담당자가 존재하고 활동을 수행하고 있습니까?
- 계획수립시 담당자 선정
- 실제 활동여부 확인</t>
  </si>
  <si>
    <t>형상관리 담당자</t>
  </si>
  <si>
    <t>형상통제위원회는 구성되어 있으며 활동을 수행하고 있습니까?
- 계획수립시 위원회 구성
- 실제 활동여부 확인</t>
  </si>
  <si>
    <t>프로젝트에 적합하고 효과적인 형상관리를 위한 형상항목을 식별하고, 유일한 식별자를부여하여 관리하고 있습니까?
- 프로젝트 계획관련 문서, 작업 표준문서, 요구사항관련 문서
- 분석 및 설계 문서
- 프로그램 명세서, 테스트 관련 문서, 사용자/운영자 지침서 등
- 소스코드, 실행파일, 공통모듈, 공통컴포넌트 등
- 개발 및 지원용 도구 등</t>
  </si>
  <si>
    <t>형상관리계획서
형상변경관리대장</t>
  </si>
  <si>
    <t>형상항목의 추적성을 확보하기 위한 형상 베이스라인 설정시점을 정의하고, 해당 기준 및시점에 의해 베이스라인이 승인되고 있습니까?
- 형상항목별 책임자 식별, 형상베이스라인 정의</t>
  </si>
  <si>
    <t>형상항목을 저장 및 관리하기 위한 형상관리 시스템(형상 라이브러리)을 구축하여 활용하고 있습니까?
- 형상항목별로 접근권한을 부여
- 허가되지 않은 접근 통제</t>
  </si>
  <si>
    <t>형상관리계획서, 시스템</t>
  </si>
  <si>
    <t>형상통제</t>
  </si>
  <si>
    <t>베이스라인 설정 후 변경사항 발생시 형상 변경 요청서가 작성, 유지, 관리되고 있습니까?
- 변경내용의 업무적, 기술적 타당성 검토
- 반드시 변경이 필요한지 여부
- 프로젝트 비용, 일정, 자원, 타 형상항목에 미치는 영향
- 변경에 소요될 공수 및 기간 등의 사항을 고려하여 변경사항에 대한 영향도 평가</t>
  </si>
  <si>
    <t>형상변경요청서</t>
  </si>
  <si>
    <t>형상통제위원회의 변경 요청에 대한 영향 분석(비용분석) 및 평가결과가 적절하게 작성되고 있습니까?</t>
  </si>
  <si>
    <t>형상변경요청서
형상통제외위원회 회의록</t>
  </si>
  <si>
    <t>승인된 변경요청 사항이 해당 형상 항목에 적절히 반영되고 있으며 변경 이력이 적절하게기록되고 있습니까?</t>
  </si>
  <si>
    <t>형상변경요청서
형상관리시스템</t>
  </si>
  <si>
    <t>형상상태 기록 및 보고</t>
  </si>
  <si>
    <t>형상항목 관리대장이 최신 상태로 유지, 관리되고 있으며, 형상관리 시스템과 형상항목 관리대장의 기록 내용이 일치되어 있습니까?</t>
  </si>
  <si>
    <t>형상항목(변경)관리대장
형상관리 시스템</t>
  </si>
  <si>
    <t>형상 상태 보고서가 일정 계획에 따라 작성, 유지, 관리되고 있습니까?
- 프로젝트 관리자에게 정기적/비정기적으로 보고</t>
  </si>
  <si>
    <t>형상상태보고서</t>
  </si>
  <si>
    <t>형상감사</t>
  </si>
  <si>
    <t>형상항목의기능적이고물리적인완전성을보장하기위하여형상감사가수행되고있습니까? 
- 베이스라인에 대한 무결성 확인 
- 형상항목 관리대장, 형상상태의 기록의 완전성, 일치성 
- 형상관리 시스템과 형상상태 기록간의 일치성 
- 형상관리 시스템에 대한 권한관리 확인 
- 형상관리 계획에 대한 준수 여부 확인</t>
  </si>
  <si>
    <t>형상감사보고서
형상감사체크리스트</t>
  </si>
  <si>
    <t>형상감사 지적사항에 대해 시정조치 활동을 수행하고 있습니까?</t>
  </si>
  <si>
    <t>형상감사보고서</t>
  </si>
  <si>
    <t>형상관리 활동에 대한 상태를 결정하기 위해 측정 지표들이 활용되고 있습니까?</t>
  </si>
  <si>
    <t>품질보증</t>
  </si>
  <si>
    <t>품질보증 계획수립</t>
  </si>
  <si>
    <t>프로젝트 내 품질관리 활동에 대한 책임 및 권한을 가진 담당자가 존재하고 활동을 수행하고 있습니까?
- 계획수립시 담당자 선정
- 실제 활동여부 확인</t>
  </si>
  <si>
    <t>프로젝트 품질담당자
검증 및 확인담당자</t>
  </si>
  <si>
    <t>제안요청서, 제안서, 계약서, 프로젝트 수행계획서(초안) 등 관련 문서를 참조하여 고객의품질 요구사항을 명확히 식별하고, 실현가능하고 측정가능한 품질목표를 정의하였습니까?
- 품질특성, 품질기준, 측정방법 등</t>
  </si>
  <si>
    <t>품질보증계획서</t>
  </si>
  <si>
    <t>품질보증 활동 및 프로젝트내 품질관리 활동을 위한 계획이 수립되고 유지 관리되고 있습니까?
- 품질보증 계획서 템플릿을 활용여부
- 프로젝트 계획/표준/절차 수립 지원 일정, 품질점검 일정, 품질평가 일정, 내부품질감리일정 등</t>
  </si>
  <si>
    <t>품질점검</t>
  </si>
  <si>
    <t>고객과의 공식 검토 이전 또는 고객 인도 전에 품질점검 요청을 했습니까?
- 품질점검 시기의 적정성
- 품질보증 활동에 대한 연기요청 여부(2회이상)</t>
  </si>
  <si>
    <t>전자문서
품질보증계획서</t>
  </si>
  <si>
    <t>프로젝트 관리자는 원활한 품질점검이 진행될 수 있도록 필요한 제반 사항을 준비하였습니까?
- 품질점검 활동시 프로젝트 팀의 지원 및 협조 여부</t>
  </si>
  <si>
    <t>품질점검활동</t>
  </si>
  <si>
    <t>표준 프로세스 및 방법론, 관련 표준을 준수하고, 산출물이 적절하게 작성되었습니까?
- 표준프로세스 및 방법론에서 제시한 절차
- 각종 표준
- 정의된 공식 산출물의 누락여부</t>
  </si>
  <si>
    <t>품질점검 또는 평가 결과가 양호하게 나타났습니까?
- 품질점검 결과 보고서 확인</t>
  </si>
  <si>
    <t>품질점검/평가결과</t>
  </si>
  <si>
    <t>시정 및 예방조치 지시</t>
  </si>
  <si>
    <t>규정된 요구사항을 준수하지 않거나 방치 시 부적합이 예상되는 건에 대한 조치요구사항에 대해 시정 및 예방조치서가 발행, 유지, 관리되고 있습니까?
- 프로세스 점검활동, 품질보증 활동, 형상감사 활동 등
- 부적합 사항 및 문제점을 발견하기 위한 활동 수행 중</t>
  </si>
  <si>
    <t>시정 및 예방조치</t>
  </si>
  <si>
    <t>시정 및 예방조치 계획수립</t>
  </si>
  <si>
    <t>조치 요구를 받은 담당자는 발행된 시정 및 예방 조치서에 조치계획을 수립하였습니까?
- 조치 계획, 조치 완료 예정일, 조치 담당자 등의 사항을 포함
- 해당 프로젝트 또는 조직 내에서 해결할 수 없는 경우, 상위 관리자 또는 경영진에게 보고
- 조치계획의 타당성, 조치완료 시기의 적절성 검토</t>
  </si>
  <si>
    <t>시정 및 예방조치서</t>
  </si>
  <si>
    <t>시정 및 예방조치 수행/결과확인</t>
  </si>
  <si>
    <t>해당 부적합 사항을 해결하기 위한 조치활동을 수행하고 있으며, 조치완료 시 실제 적절하게 조치되었는지 결과를 확인하고 있습니까?
- 조치 계획 준수여부, 조치 완료 예정일 내 처리 가능여부, 조치 상태 등
- 조치결과, 문제 원인, 재발방지 대책, 투입공수 등
- 부적정 또는 예상결과와 실제결과의 편차가 큰 경우 새로운 시정 및 예방 조치서 발행</t>
  </si>
  <si>
    <t>품질보증 관리 활동에 대한 상태를 결정하기 위해 측정 지표들이 활용되고 있습니까?
- 프로젝트 품질목표 측정</t>
  </si>
  <si>
    <t>검증 및 확인</t>
  </si>
  <si>
    <t>검증/확인 계획수립</t>
  </si>
  <si>
    <t>검증 및 확인 활동을 위한 계획이 수립되고 유지관리되고 있습니까?
- 검증 및 확인이 필요한 산출물 선정 (공식인도물 포함여부)
- 예정일자 및 검토참여자 식별
- 적합한 검증 및 확인 기법 선택</t>
  </si>
  <si>
    <t>검증 및 확인 계획서</t>
  </si>
  <si>
    <t>품질보증 활동전, 고객에게 인도되기전에 검증활동을 수행하고 있습니까?</t>
  </si>
  <si>
    <t>검증 및 확인 결과서</t>
  </si>
  <si>
    <t>검증/확인의 수행 및 결과 분석</t>
  </si>
  <si>
    <t>검증 및 확인 계획서에 수립된 일정 및 방법에 의하여 검증 및 확인 활동을 수행하고 있으며, 발견된 결함 및 쟁점사항을 기록하고 있습니까?- 결함 및 쟁점사항, 결함의 심각도 판단, 투입공수, 산출물 크기</t>
  </si>
  <si>
    <t>검증 및 확인 결과를 관련자와 검토한 후 결함 및 시정항목에 대해 시정조치 활동을 수행하고 있습니까?</t>
  </si>
  <si>
    <t>검증 및 확인 활동에 대한 상태를 결정하기 위해 측정 지표들이 활용되고 있습니까?</t>
  </si>
  <si>
    <t>위험관리</t>
  </si>
  <si>
    <t>위험관리준비</t>
  </si>
  <si>
    <t>위험관리 활동을 위한 계획이 수립되고 유지관리되고 있습니까?
- 위험관리 활동의 범위- 위험 식별, 분석, 완화, 통제 및 정보교환에 사용될 수 있는 방법과 도구
- 프로젝트 위험 요인
- 위험 분류, 분석 및 평가 방법
- 위험 변수 (위험 발생 가능성, 위험 영향 정도, 위험관리 활동에 대한 요구사항 등)
- 위험완화 기술
- 위험 추적 및 통제에 사용될 위험 측정치 정의
- 위험 통제 및 재평가를 위한 주기</t>
  </si>
  <si>
    <t>위험관리계획서</t>
  </si>
  <si>
    <t>위험관리 활동에 대한 책임 및 권한을 가진 담당자가 존재하고 활동을 수행하고 있습니까?
- 계획수립시 담당자 선정
- 실제 활동여부 확인</t>
  </si>
  <si>
    <t>위험관리담당자</t>
  </si>
  <si>
    <t>위험관리 위원회는 구성되어 있으며 활동을 수행하고 있습니까?
- 계획수립시 위원회 구성여부
- 실제 활동여부 확인</t>
  </si>
  <si>
    <t>위험식별 및 분석</t>
  </si>
  <si>
    <t>프로젝트위험요소가식별되고기술,일정,비용에대한영향도및발생가능성이분석,평가되었습니까?
- 위험등급 부여 및 우선순위 결정</t>
  </si>
  <si>
    <t>위험관리계획서
위험관리대장</t>
  </si>
  <si>
    <t>위험완화</t>
  </si>
  <si>
    <t>위험등급이 1등급인 경우 완화계획을 수립하고 정기적으로 보고활동을 수행하고 있습니까?</t>
  </si>
  <si>
    <t>위험완화계획서</t>
  </si>
  <si>
    <t>식별된 위험에 대하여 책임자 및 조치자가 식별되고, 대응방안이 수립되어있습니까?
- 회피/전가/수용/완화방안 등</t>
  </si>
  <si>
    <t>위험관리대장(위험추적서)</t>
  </si>
  <si>
    <t>식별된 위험은 정기적으로 분석, 평가를 반복하고 추적 관리되고 있습니까?</t>
  </si>
  <si>
    <t>위험관리 활동상태에 대해서 정기적/비정기적으로 상위관리자에게 보고되고 있습니까?</t>
  </si>
  <si>
    <t>주간, 월간보고</t>
  </si>
  <si>
    <t>위험관리 활동에 대한 상태를 결정하기 위해 측정 지표들이 활용되고 있습니까?</t>
  </si>
  <si>
    <t>외주관리</t>
  </si>
  <si>
    <t>계획수립 및 협력사 선정</t>
  </si>
  <si>
    <t>외주 프로젝트 관리자는 사업계획서에 의거하여 외주 프로젝트 범위를 정의하고, 협력사로부터 제공 받을 제품 및 프로젝트관리에 대한 선발주/선투입 여부를 결정하여 위임전결규정에 따른 승인을 득하였습니까?</t>
  </si>
  <si>
    <t>승인 품의</t>
  </si>
  <si>
    <t>외주 프로젝트 관리자는 BP사 또는 고객사가 요구한 개발업체에서 제출한 제안서, 견적서를 검토하였습니까?- 견적 및 제안요청서 발송 여부 확인 (고객사가 요구한 개발업체가 있을 경우, 당사BP사와 같이 견적을 의뢰)- 검토항목 (정의된 프로젝트 범위의 타당성, 프로젝트 납기, 일정, 가격 및 투입인력, 프로젝트 수행능력)</t>
  </si>
  <si>
    <t>제출된 제안서 및 견적서</t>
  </si>
  <si>
    <t>외주 프로젝트 관리자는 개발BP사를 결정하고, 결정된 BP사를 구매부서장에게 계약(구매)을 의뢰하였습니까?</t>
  </si>
  <si>
    <t>협력사 계약의뢰(변경)요청서
협력사 구매위뢰(변경)서</t>
  </si>
  <si>
    <t>진행 및 점검</t>
  </si>
  <si>
    <t>외주 프로젝트 관리자는 외주사 PM이 작성한 프로젝트 수행계획서를 제출받고 검토 및승인을 하였습니까?
- 당사 표준양식 사용여부
- 정기 업무 보고계획(주 1회, 월 1회)
- 수시 업무 보고계획(수시)
- 품질보증 활동</t>
  </si>
  <si>
    <t>외주사 PM은 검토 확정된 프로젝트 수행계획서를 고객사에 제출하고, 승인을 득하였습니까?</t>
  </si>
  <si>
    <t>확정된 프로젝트 수행계획서에 의해, 협력사는 프로젝트를 수행하고 있습니까?</t>
  </si>
  <si>
    <t>계획대비 실적 기록</t>
  </si>
  <si>
    <t>외주 프로젝트 관리자는 정기적으로 프로젝트 진행현황을 파악하였습니까?
- 고객사와 정기적인 주간/월간회의에 참석</t>
  </si>
  <si>
    <t>제품인수 및 종료</t>
  </si>
  <si>
    <t>외주사 PM은 최종 산출물을 외주 프로젝트 관리자와 고객사에 제출하였습니까?</t>
  </si>
  <si>
    <t>최종산출물</t>
  </si>
  <si>
    <t>외주 프로젝트 관리자/고객사/외주사PM은 제출된 산출물에 대한 정합성 검토 및 인수를위한 기능 시험을 수행하였으며 이상 없음을 확인하고 승인하였습니까?</t>
  </si>
  <si>
    <t>인수시험체크리스트
승인된 산출물</t>
  </si>
  <si>
    <t>프로젝트 관리자는 협력사로부터 인수된 상품 및 개발산출물의 유지보수 계획서를 접수하여 검토, 확인하고, 고객사의 검토 및 승인을 득하였습니까?</t>
  </si>
  <si>
    <t>유지보수 계획서</t>
  </si>
  <si>
    <t>외주사 PM은 최종 확인된 산출물과 함께 인수확인서를 외주 프로젝트 관리자 / 고객사에제출하였습니까?</t>
  </si>
  <si>
    <t>서명된 인수확인서</t>
  </si>
  <si>
    <t>외주 프로젝트 관리자는 협력사 인력 및 협력사의 프로젝트 수행 평가를 실시하였습니까?</t>
  </si>
  <si>
    <t>외주 프로젝트 관리활동에 대한 상태를 결정하기 위해 측정 지표들이 활용되고 있습니까?</t>
  </si>
  <si>
    <t>기타</t>
  </si>
  <si>
    <t>프로젝트표준</t>
  </si>
  <si>
    <t>프로젝트 문서관리 표준과 프로젝트 관리활동의 표준은 준수되고 관리되고 있습니까?
- 프로젝트 수행인력의 숙지 여부
- 최신버전의 표준에 대한 신속한 배포 여부</t>
  </si>
  <si>
    <t>개발 표준은 작성, 유지, 관리되고 있습니까?
- 화면, 보고서, 메시지 표준
- 데이터 모델링 관련 표준 및 명명규칙
- 프로그램 명명규칙</t>
  </si>
  <si>
    <t>개발 표준</t>
  </si>
  <si>
    <t>프로젝트 각종 표준은 적용 이전 단계에 작성되고 배포되어 있습니까?</t>
  </si>
  <si>
    <t>프로젝트 각종 표준</t>
  </si>
  <si>
    <t>문서관리</t>
  </si>
  <si>
    <t>작성된 문서들에 대한 검토가 수행되고 있습니까?</t>
  </si>
  <si>
    <t>문서가 발행되기 전에 승인이 적절하게 이루어지고 있습니까?</t>
  </si>
  <si>
    <t>승인된 문서, 승인기록</t>
  </si>
  <si>
    <t>승인된 문서는 관련자에게 배포되고 있습니까?</t>
  </si>
  <si>
    <t>배포기록</t>
  </si>
  <si>
    <t>외부 수발신 문서에 대한 관리가 되어 있습니까?</t>
  </si>
  <si>
    <t>수발신 기록</t>
  </si>
  <si>
    <t>조직의 표준양식 또는 통일된 양식이 사용되고 있습니까?
- 회사명, 문서명, 버전번호, 머리글, 바닥글, 페이지 등</t>
  </si>
  <si>
    <t>문서양식</t>
  </si>
  <si>
    <t>문서의 용어 및 내용이 일관되게 작성되어 있습니까?</t>
  </si>
  <si>
    <t>해당문서</t>
  </si>
  <si>
    <t>문서를 완성하는데 필요한 첨부문서, 삽입 그림/문서/표 등이 빠짐없이 제공되어 있으며,식별이 용이하게 정리되어 있습니까?</t>
  </si>
  <si>
    <t>문서내에 문법의 오류, 오타, 오철이 거의 식별되지 않습니까?</t>
  </si>
  <si>
    <t>문서가 제대로 프린트되고 있으며 문서의 가독성이 높게 조정되어 있습니까?</t>
  </si>
  <si>
    <t>문서의 페이지 번호가 누락되어 있지 않습니까?</t>
  </si>
  <si>
    <t>문서의 내용이 충실하게 작성되어 있으며, 이해가능하도록 작성되어 있습니까?</t>
  </si>
  <si>
    <t>파일관리</t>
  </si>
  <si>
    <t>파일서버의 프로젝트 디렉토리는 표준에 맞게 구성되어 있습니까?
- 프로젝트 표준 디렉토리 참조</t>
  </si>
  <si>
    <t>파일서버</t>
  </si>
  <si>
    <t>전자파일에 대한 백업이 수행되고 있습니까?</t>
  </si>
  <si>
    <t>산출물 파일의 최신버전을 쉽게 검색할 수 있습니까?</t>
  </si>
  <si>
    <t>작업중인 산출물 파일과 베이스라인 설정된 산출물 파일이 구분되어 보관되어 있습니까?</t>
  </si>
  <si>
    <t>파일서버 및 개인PC의 바이러스 예방 활동이 수행되고 있습니까?</t>
  </si>
  <si>
    <t>보안관리</t>
  </si>
  <si>
    <t>프로젝트에 참여하는 인력에 보안서약서는 빠짐없이 작성되어 있습니까?</t>
  </si>
  <si>
    <t>보안서약서</t>
  </si>
  <si>
    <t>중요도가 높은 문서는 시건장치가 되어 있는 곳에 보관되어 있습니까?</t>
  </si>
  <si>
    <t>보안관리에 대한 역할 및 책임이 부여되고, 보안조직이 구성되어 있습니까?</t>
  </si>
  <si>
    <t>보안관리담당자</t>
  </si>
  <si>
    <t>사용자 ID 및 패스워드를 부여하고 관리하고 있습니까?
- guest 계정 삭제
- 화면보호기 암호 사용
- 사용자별 접근권한 제어</t>
  </si>
  <si>
    <t>개발장소에 대한 출입보안관리를 수행하고 있습니까?</t>
  </si>
  <si>
    <t>개발장소</t>
  </si>
  <si>
    <t>이상징후판단</t>
  </si>
  <si>
    <t>프로젝트 수행팀에 대한 고객의 사소한 불만이 많습니까?</t>
  </si>
  <si>
    <t>인터뷰</t>
  </si>
  <si>
    <t>그렇다(1점)</t>
  </si>
  <si>
    <t>이슈가 해결되지 않고 계속 지연되고 있으며, 이로인해 다음 단계로 진행할 수 없습니까?</t>
  </si>
  <si>
    <t>대체로그렇다(3점)</t>
  </si>
  <si>
    <t>보고된 진척과 실제 느껴지는 진척간의 차이가 크다고 느껴집니까?</t>
  </si>
  <si>
    <t>그렇지않다(5점)</t>
  </si>
  <si>
    <t>해당 분야에 대한 전문인력이 없거나 인력부족을 호소하고 있습니까?
- 업무 전문가, 모델링 전문가, DB 전문가, 아키텍처 전문가, 프로그래머</t>
  </si>
  <si>
    <t>프로젝트 수행기간 내내 야근, 철야, 휴일 근무가 계속되고 있습니까?</t>
  </si>
  <si>
    <t>프로젝트 수행팀 및 고객간의 회의가 거의 없거나 또는 너무 많다고 느껴집니까?</t>
  </si>
  <si>
    <t>고객의 프로젝트에 대한 참여가 거의 없거나, 프로젝트 전반에 걸쳐 지속적으로 참여하고있지 않습니까?
- BPO 인력 변경, BPO 업무 과중으로 인한 참여 부족</t>
  </si>
  <si>
    <t>프로젝트 관리자 및 팀원이 프로젝트에 열중할 여건이 조성되어 있지 않습니까?</t>
  </si>
  <si>
    <t>프로젝트 수행팀내 팀워크 및 고객간의 팀워크에 문제가 있습니까?</t>
  </si>
  <si>
    <t>프로젝트 문제의 원인을 프로젝트 외부로 돌리고 있습니까?</t>
  </si>
  <si>
    <t>프로젝트 산출물이 제때 작성되지 않고 후에 작성하거나 작성하겠다고 하고 있습니까?</t>
  </si>
  <si>
    <t>품질보증 활동 일정 또는 외부감리 일정을 연기하고 있습니까?</t>
  </si>
  <si>
    <t>고객과 요구사항이 합의되지 않고 계속적인 변경요구에 일정의 지연되고 있습니까?</t>
  </si>
  <si>
    <t>해당 단계가 끝나도 해당 산출물은 작성되어 있지 않거나 완료가 되지 않고 있습니까?</t>
  </si>
  <si>
    <t>표준이 수립되지 않았거나 수립되었어도 모르고 있습니까?</t>
  </si>
  <si>
    <t>서브 시스템간의 의사소통이 이루어지지 않고, 시스템의 통합된 전체 모습이 보이지 않습니까?
- 통합ERD, 통합된 시스템 아키텍처 구성도</t>
  </si>
  <si>
    <t>미확정 요구사항이 존재하고 이를 해결하기 위한 방안이 수립되어 있지 않습니까?</t>
  </si>
  <si>
    <t>코딩에 대한 진척관리를 하지 않고 있거나, 코딩 진척이 늦어지고 있습니까?</t>
  </si>
  <si>
    <t>단위테스트를 수행하고 관리하는 사람이 없거나, 단위테스트를 수행해도 결함율이 높거나, 재테스트를 수행해도 결함율이 줄어들지 않습니까?</t>
  </si>
  <si>
    <t>테스트에 대한 시나리오 없거나 부족하여 즉흥적으로 수행되고 있습니까?</t>
  </si>
  <si>
    <t>데이터 전환 및 전개에 대한 준비, 계획이 없거나 불 충분하게 수립되어 있지 않습니까?</t>
  </si>
  <si>
    <t>테스트 진척이 상당히 늦어지고 있거나, 테스트 결함율이 높거나 줄어들지 않습니까?</t>
  </si>
  <si>
    <t>고객이 테스트 결과를 인정하지 않고 있습니까?</t>
  </si>
  <si>
    <t>고객이 테스트 후에도 요구사항을 추가하거나 심각한 변경을 요청하고 있습니까?</t>
  </si>
  <si>
    <t>검수을 위한 준비를 못하고 있거나, 시스템을 인수하여 운영할 조직 및 인수준비가 이루어지지 못하고 있습니까?</t>
  </si>
  <si>
    <t>시스템이 오픈되었음에도 프로그램은 계속 변경되고 있습니까?</t>
  </si>
  <si>
    <t>분석</t>
  </si>
  <si>
    <t>응용시스템</t>
  </si>
  <si>
    <t>착수시 정의된 분석 산출물은 누락없이 모두 작성 되었습니까?</t>
  </si>
  <si>
    <t>산출물목록</t>
  </si>
  <si>
    <t>분석 산출물은 산출물간 연계성 및 일관성을 유지하고 있습니까?
- 요구사항정의서, 기술서- 프로세스 정의서, 분해도, CRUD 매트릭스
- 엔티티목록, 엔티티정의서, 엔티티관계도(ERD), CRUD 매트릭스</t>
  </si>
  <si>
    <t>분석산출물</t>
  </si>
  <si>
    <t>분석산출물이 고객의 요구사항을 모두 반영하여 작성 되었습니까?</t>
  </si>
  <si>
    <t>현행 업무의 분석 및 현재 운영중인 시스템에서 제공되고 있는 업무 및 기능에 대한 분석이 적절하게 이루어졌습니까?
- 업무절차 흐름(입력, 처리, 출력 등 정의)
- 업무영역, 업무기능, 사용자 그룹
- 예외처리 현황
- 업무처리 및 시스템 개선 필요사항</t>
  </si>
  <si>
    <t>AS-IS업무흐름도
AS-IS프로세스 흐름도</t>
  </si>
  <si>
    <t>면담 및 회의 내용이 문서화 되었습니까?
- 대상업무 특성별 적절한 참여여부
- 사용자의 면담 횟수 및 면담방법
- 사용자의 적극적인 참여 여부</t>
  </si>
  <si>
    <t>회의록</t>
  </si>
  <si>
    <t>사용자 요구사항이 적절하게 도출되고 분석되었습니까?
- 요구사항 도출 방법 및 절차
- 이해관계자의 참여 및 확인
- 요구사항간의 명확성 및 상호 모순점 확인
- 요구사항의 타당성과 구현 가능성 검토 확인
- 요구사항 ID의 일관성
- 사용자의 활용성(인수테스트의 기준으로 활용가능 확인)</t>
  </si>
  <si>
    <t>업무기능 외 비기능적인 요구사항이 명확히 정의 되었습니까?
- 타 시스템 연계 및 인터페이스 / 사용자 인터페이스 / 고객지원 / 교육훈련 등</t>
  </si>
  <si>
    <t>도출된 모든 요구사항이 정리되어 고객과의 검토 및 승인을 거쳤습니까?</t>
  </si>
  <si>
    <t>업무, 방법론 및 개발과정에서 통용되는 용어를 정의하여 활용하고 있습니까?
- 정의된 표준용어 재사용 가능성</t>
  </si>
  <si>
    <t>용어사전</t>
  </si>
  <si>
    <t>현행 업무기능과 개선 업무기능에 대한 비교 분석활동을 수행하였습니까?
- 현행업무 문제점 및 개선사항 도출
- 개선업무 프로세스 흐름, 수행절차, 수행주체</t>
  </si>
  <si>
    <t>To-Be업무흐름도
AS-IS/T0-BE GAP분석서</t>
  </si>
  <si>
    <t>업무기능(프로세스)이 최하위 수준(Elementary Process)까지 분석되어 작성 되었습니까?
- 프로세스 ID, 프로세스명의 일관성
- 프로세스 분류의 적합성
- 프로세스 정의의 구체화</t>
  </si>
  <si>
    <t>프로세스정의서
프로세스 분해도</t>
  </si>
  <si>
    <t>각 업무기능(프로세스)에 대한 입,출력 데이터가 결정되고 입, 출력 정보가 완전합니까?
- 프로세스 관련 엔티티 식별</t>
  </si>
  <si>
    <t>프로세스 정의서</t>
  </si>
  <si>
    <t>데이타베이스</t>
  </si>
  <si>
    <t>현행 업무와 관련된 데이터가 식별되고, 현재 운영중인 시스템의 데이터 현황 분석이 적절하게 이루어졌습니까?
- 업무처리를 위한 입력데이터, 출력데이터, 데이터 속성, 공통코드
- 관련 업무와의 연계 데이터 및 연계 데이터 속성
- 신규 데이터 요구사항의 식별
- 시스템별 데이터베이스 구조, 분산, 백업현황</t>
  </si>
  <si>
    <t>현행시스템분석서</t>
  </si>
  <si>
    <t>데이터베이스에 대한 사용자 요구사항이 도출되고 분석되었습니까?
- 저장 데이터 볼륨, 분산구조, 제약조건
- 타 시스템과의 연계 데이터
- 데이터베이스 백업 및 복구 정책
- 초기 데이터의 구축
- 기존 데이터의 전환
- 무결성, 데이터 보안성</t>
  </si>
  <si>
    <t>데이터 모델링 과정에 적절한 도구(Case)를 사용하였습니까?</t>
  </si>
  <si>
    <t>도구사용여부</t>
  </si>
  <si>
    <t>데이터의 흐름이 명확하게 정의되어 있습니까?
- 프로세스별 입/출력 데이터
- 프로세스간 공유/연계 데이터</t>
  </si>
  <si>
    <t>데이터흐름도
인터페이스 관계도</t>
  </si>
  <si>
    <t>데이터 모델 설계 기준이 적절히 설정되었습니까?
- 데이터베이스 설계 표준 지침
- 데이터 모델 설계 지침
- 일관성, 가독성 및 이해관계자의 의사소통</t>
  </si>
  <si>
    <t>개발표준
데이터베이스 설계표준</t>
  </si>
  <si>
    <t>엔티티가 빠짐없이 도출되고 상세하게 정의되어 있습니까?
- Entity 속성에 대한 Domain 정의
- Entity의 모든 속성에 대한 Type과 Length 정의
- 동일 속성에 대한 일관성</t>
  </si>
  <si>
    <t>엔티티목록
엔티티정의서</t>
  </si>
  <si>
    <t>엔티티를 유일하게 식별할 수 있도록 기본키(Primary Key)가 정의되고, 관련 외부키(Foreign Key)가 표현되어 있습니까?</t>
  </si>
  <si>
    <t>엔티티관계도(ERD)</t>
  </si>
  <si>
    <t>엔티티간의 관계가 정확히 표현되어 있습니까?
- 엔티티간 관계에 대한 기수성(Cardinality) 및 선택성(Optionality)
- 엔터티간의 필요없는 관계설정 배제
- N:N 관계 제거</t>
  </si>
  <si>
    <t>엔티티 관계도에 대하여 정규화(Normalization) 검증작업이 수행 되었습니까?</t>
  </si>
  <si>
    <t>제반 코드는 통합관리 되도록 체계적으로 정의되어 있습니까?
- 현재 운영중인 시스템 공통코드 파악
- 데이터 타입, 코드체계, 부여규칙</t>
  </si>
  <si>
    <t>코드정의서</t>
  </si>
  <si>
    <t>작성된 프로세스 모델에 대해 관련 엔티티의 연관성(CRUD Metrix)을 확인 하였습니까?
- 프로세스 및 엔티티의 연관의 적합성 (생성, 조회, 수정, 삭제 관계)
- 프로세스 및 엔티티 누락여부</t>
  </si>
  <si>
    <t>CRUD 매트릭스</t>
  </si>
  <si>
    <t>데이터에 대한 접근권한 및 통제가 명확히 분석되었습니까?
- 데이터 접근권한 및 통제
- 데이터의 중요도 및 데이터 암호화 대상</t>
  </si>
  <si>
    <t>엔티티정의서</t>
  </si>
  <si>
    <t>시스템 아키텍처 및 보안</t>
  </si>
  <si>
    <t>현행 시스템 및 신규시스템에 대한 운영환경이 충분히 분석되었습니까?
- 현행 및 신규 시스템 운영환경
- 현행 시스템의 주요 정보자원 현황
- 신규시스템 구축시 정보자원 소요현황</t>
  </si>
  <si>
    <t>시스템구성도
시스템 아키텍처정의서</t>
  </si>
  <si>
    <t>시스템의 구성 및 아키텍처 등에 대한 사용자 요구사항이 충분히 도출되고 명세화되었습니까?
- 시스템 성능
- 가용성 및 확장성
- 보안 및 안정성</t>
  </si>
  <si>
    <t>시스템 보안요건이 분석되었습니까?
- 조직의 중요자산 보호 (보안사고 유발 가능성 검토)
- 보안 목표 및 보안 범위를 명확히 규정하고 이를 달성 달성 하기 위한 분석활동</t>
  </si>
  <si>
    <t>시스템구성도
시스템 아키텍처정의서
시스템 보안정책</t>
  </si>
  <si>
    <t>사용자 접근통제 및 보안에 대한 분석을 수행하였습니까?
- 보안요구사항 분석의 적정성
- 사용자별/그룹별 접근권한, 감사기능
- 사용자 인증방법 및 절차</t>
  </si>
  <si>
    <t>목표시스템의 아키텍처 구성요소에 대한 검증이 수행되었습니까?
- 아키텍처(하드웨어, 시스템소프트웨어, 네트워크), 패키지, 개발도구에 대한 기술적인가능성 및 성능 검증</t>
  </si>
  <si>
    <t>목표시스템에 대한 아키텍처가 수립되었습니까?
- 시스템 구성을 이해하기 쉽도록 도식화 여부
- 하드웨어 구성 및 용량 산정
- 시스템 소프트웨어 구성 및 선정
- 네트워크 구성 및 대역폭
- 패키지 도입 타당성 및 최적 제품 선정방안
- 운영관리 용이성</t>
  </si>
  <si>
    <t>착수시 정의된 설계 산출물은 누락없이 모두 작성 되었습니까?</t>
  </si>
  <si>
    <t>설계산출물이 분석산출물로부터 추적가능하고 일관성을 유지하고 있습니까?
- 프로그램 목록, 프로그램 명세서
- 전환프로그램 목록, 전환프로그램 명세서
- 엔티티목록, 테이블목록, 테이블정의서, 물리 DB Table
- DB Obejct 정의서, 물리 DB Object</t>
  </si>
  <si>
    <t>분석/설계 산출물</t>
  </si>
  <si>
    <t>설계산출물이 고객의 요구사항을 모두 반영하여 작성 되었습니까?</t>
  </si>
  <si>
    <t>개발 아키텍처에 대한 표준이 적절히 설정되었습니까?
- 개발 아키텍처 정의
- 개발 환경 설정
- 프로그램 명명 규칙
- 프로그램 코딩 표준
- 화면 / 보고서 인터페이스 표준</t>
  </si>
  <si>
    <t>개발표준</t>
  </si>
  <si>
    <t>프로그램 목록은 일관성 있게 작성되고 진척관리를 위해 활용되고 있습니까?
- 프로그램명, 프로그램 ID 일관성
- 유형, 난이도 식별
- 작성자, 완료예정일, 실제 완료일 등 진척사항 관리</t>
  </si>
  <si>
    <t>프로그램목록
서버모듈목록</t>
  </si>
  <si>
    <t>중복개발 방지를 위하여 공통부분은 모듈화하여 설계 하였습니까?
- 공통 팝업 / 서버모듈 / Stored Procedure / Function / Utility
- 재사용 가능성</t>
  </si>
  <si>
    <t>공통모듈목록/설계서</t>
  </si>
  <si>
    <t>시스템의 메뉴구조가 정의되어 있으며, 관련 화면별 권한그룹이 설정되어 있습니까?</t>
  </si>
  <si>
    <t>메뉴구조도</t>
  </si>
  <si>
    <t>화면/보고서 설계시 사용자 인터페이스는 일관성을 유지하고 있습니까?
- 용도 기술
- 이해를 돕기위한 설명</t>
  </si>
  <si>
    <t>화면레이아웃
보고서 레이아웃</t>
  </si>
  <si>
    <t>프로그램설계서는 코딩하기에 충분하게 상세히 작성 되었습니까?
- 개발자 이해 여부
- 가독성
- 연관 테이블, 이벤트 처리내용, 주요 처리로직의 구체성 및 명확성
- 전달 Parameter, Return 값, 호출형태, 호출명 등 식별</t>
  </si>
  <si>
    <t>프로그램 명세서
서버모듈 명세서</t>
  </si>
  <si>
    <t>내부 및 외부시스템과 인터페이스 상황이 파악되고 이에대한 정의가 작성 되어 있습니까?
- 연계 시스템 / 기능/ 데이터의 확인
- 인터페이스 정보, 송수신 정보
- 인터페이스 방식, 인터페이스 주기, 예상건수, 구현언어 등 식별
- 통합 인터페이스 구성도 작성 확인</t>
  </si>
  <si>
    <t>시스템인터페이스정의서
시스템인터페이스구성도</t>
  </si>
  <si>
    <t>단위 테스트 계획이 명확히 수립되어 있습니까?
- 테스트 환경, 절차, 시나리오, 데이터 등</t>
  </si>
  <si>
    <t>단위테스트계획서
통합테스트계획서</t>
  </si>
  <si>
    <t>데이타 모델에서 정의된 엔티티와 속성이 논리DB설계 단계에서 테이블과 열로 모두 전환되어 작성되었습니까?
- 테이블 ID, 속성 ID 일관성
- 데이터 유형, Null 표시, PK여부, 초기값 등 식별</t>
  </si>
  <si>
    <t>엔티티정의서
테이블정의서</t>
  </si>
  <si>
    <t>무결성 규칙이 정의되어 산출물에 반영 되어 있습니까?
- 속성무결성 규칙의 일관성
- 참조무결성 규칙의 반영</t>
  </si>
  <si>
    <t>테이블정의서</t>
  </si>
  <si>
    <t>데이터 모델링의 일관성있는 설계를 위해 자료사전이 정의되어 있습니까?</t>
  </si>
  <si>
    <t>자료사전</t>
  </si>
  <si>
    <t>인덱스를 부여하기 위한 기준이 마련되고 인덱스 설정이 설계서에 반영되어 있습니까?
- 인텍스명의 일관성
- 인덱스를 구성하고 있는 컬럼</t>
  </si>
  <si>
    <t>인덱스정의서</t>
  </si>
  <si>
    <t>데이터베이스 용량이 계산근거에 따라 산정되었습니까?
- 초기자료건수, 발생주기, 발생건수, 보관기준, 데이터 총건수 등 식별
- 초기량, 증가량, 최대량 산정
- 테이블스페이스 정의</t>
  </si>
  <si>
    <t>물리DB사양서</t>
  </si>
  <si>
    <t>DB Object에 대한 목록 및 명세서가 작성되었습니까?
- View, Stores Procedure, Function, Triggger, Sequence, DB Link 등</t>
  </si>
  <si>
    <t>DB Object 정의서</t>
  </si>
  <si>
    <t>데이터에 대한 접근권한 및 통제가 설계에 반영되었습니까?
- 사용자별/그룹별/업무별 접근권한, 감사기능
- 요구사항 및 보안정책 대비 보안기술 적용</t>
  </si>
  <si>
    <t>데이터베이스에 대한 백업 및 복구 계획이 수립되었습니까?
- 백업대상, 매체, 주기, 방법, 절차
- 복구시기, 방법, 절차
- 유실 데이터의 처리</t>
  </si>
  <si>
    <t>백업 및 복구계획서</t>
  </si>
  <si>
    <t>초기 데이터 구축 계획이 수립되어 있습니까?
- 구축 데이터 범위 및 구축량
- 데이터 수집 방법
- 데이터 구축에 대한 책임과 역할</t>
  </si>
  <si>
    <t>초기 데이터 구축계획서</t>
  </si>
  <si>
    <t>기존 데이터 전환(이관)계획과 절차가 명세화되어 있습니까?
- 전환 데이터 및 우선순위
- 전환 매핑 규칙 및 프로그램 개발
- 기존 데이터 및 전환 데이터의 검증
- 예외 데이터 처리 규칙
- 데이터 전환에 대한 책임과 역할
- 데이터 복구 대책
- 데이터 전환 시간 / 검증시간</t>
  </si>
  <si>
    <t>전환계획서</t>
  </si>
  <si>
    <t>데이터 전환 프로그램의 목록 및 명세서, 매핑정의서가 작성되어 있습니까?
- Source, Target 테이블간의 Mapping, 전환 방법, 전환 담당자</t>
  </si>
  <si>
    <t>전환프로그램목록
전환프로그램명세서
매핑정의서</t>
  </si>
  <si>
    <t>데이터 전환 산출물간의 일관성이 유지되고 있습니까?
- 전환프로그램 목록, 전환프로그램 명세서</t>
  </si>
  <si>
    <t>전환 산출물</t>
  </si>
  <si>
    <t>데이터 전환 작업이 계획대로 수행되고 그결과에 대해 관련자의 검토가 수행 되었습니까?
- 유효값 검증, 코드 Domain 검증, 논리적 오류값 정제 여부 검증, 코드 변환, 변환 결과논리적 정합성, RI(Referential Integrity)검증, 집계값 검증, 금액 검증, 화면/장표 검증, 원천비교 건수 검증</t>
  </si>
  <si>
    <t>전환 결과서</t>
  </si>
  <si>
    <t>시스템 구성요소에 대한 설계가 충분히 이루어졌습니까?
- 시스템 구성요소의 분할 및 배치
- 시스템 계층 분할 및 계층간 인터페이스 설계
- 시스템 구성도
- 시스템 안정성 (클러스트링, 이중화 등)</t>
  </si>
  <si>
    <t>시스템구성도
시스템 아키텍처 정의서</t>
  </si>
  <si>
    <t>시스템 보안에 대한 설계가 수행되었습니까?
- 보안 솔루션
- 네트워크, 서버/클라이언트에 대한 보안</t>
  </si>
  <si>
    <t>시스템구성도
시스템 아키텍처 정의서
시스템 보안정책</t>
  </si>
  <si>
    <t>사용자 접근통제 및 보안에 대한 설계를 수행하였습니까?
- 사용자별/그룹별 접근권한, 감사기능
- 요구사항 및 보안정책 대비 보안기술 적용</t>
  </si>
  <si>
    <t>시스템 설치 및 검증 계획이 수립되고 실시되었습니까?
- 각종 도입 장비에 대한 설치계획
- 설치 후 각 장비의 요구사항에 대한 검증 방법 및 절차</t>
  </si>
  <si>
    <t>시스템 구축완료 후 실제 운영환경으로 전환하기 위한 계획이 적정하게 수립되었습니까?
- 유사사례 및 기술/업무적 특성에 따른 위험요인 분석
- 시스템 및 업무 특성을 고려한 전환계획
- 시스템 전환 절차/방법, 검증계획
- 문제 발생시 복구 및 업무처리 계획</t>
  </si>
  <si>
    <t>시스템 전개 계획서</t>
  </si>
  <si>
    <t>구현</t>
  </si>
  <si>
    <t>구축산출물이 분석 및 설계산출물로부터 추적가능하고 일관성을 유지하고 있습니까?
- 화면/보고서목록, 실제 구현화면
- 메뉴구조도, 실제 구현메뉴
- 프로그램 명세서, 프로그램 파일</t>
  </si>
  <si>
    <t>분석/설계/구축 산출물</t>
  </si>
  <si>
    <t>구축산출물이 고객의 요구사항을 모두 반영하여 작성 되었습니까?</t>
  </si>
  <si>
    <t>프로그램이 표준 및 화면 설계에 맞게 일관성 있게 구현 되었습니까?
- 화면의 구성요소(기능키, 메뉴, 항목 등)의 적정성
- 입력필드의 유효성 체크
- 필수입력, 선택입력, 읽기전용에 대한 구분</t>
  </si>
  <si>
    <t>프로그램UI</t>
  </si>
  <si>
    <t>각 프로그램 파일의 헤더에 프로그램 관련 정보를 포함하고 있으며 주석(Comment)은 적절하게 작성되어 있습니까?
- 헤더정보 : 프로그램명, 용도, 작성자, 작성일자, 변경일자, 기타정보 등
- 주석표시율</t>
  </si>
  <si>
    <t>프로그램 파일</t>
  </si>
  <si>
    <t>내부 및 외부시스템과 인터페이스가 정확히 구축되었습니까?
- 연계 시스템 / 기능/ 데이터의 확인
- 연계 데이터, 방식, 주기</t>
  </si>
  <si>
    <t>구축된 인터페이스</t>
  </si>
  <si>
    <t>단위테스트 계획에 의해 단위 테스트가 반복적으로 수행되고, 완료여부를 인식할수 있는객관적인 자료가 있습니까?
- 실제결과, 결함유형, 심각도, 해결방안, 조치확인
- 실제로 근접한 데이터량을 기준으로 테스트 실시
- 응답시간 측정</t>
  </si>
  <si>
    <t>단위테스트결과서</t>
  </si>
  <si>
    <t>테스트 환경이 실제 운영환경을 반영 및 구축되어 테스트가 준비되었습니까?
- 테스트 환경 구축 및 실제 운영환경의 반영여부
- 테스트 데이터의 확보</t>
  </si>
  <si>
    <t>테스트 환경</t>
  </si>
  <si>
    <t>통합 테스트 계획서가 작성되었습니까?
- 통합 테스트 유형 및 범위
- 테스트 환경, 절차, 시나리오, 데이터</t>
  </si>
  <si>
    <t>통합테스트 계획서</t>
  </si>
  <si>
    <t>통합 테스트는 수립된 계획에 따라 실시되며 그 결과가 기록, 관리되고 있습니까?
- 통합 테스트 유형 및 범위
- 테스트 환경, 절차, 시나리오, 데이터의 적용</t>
  </si>
  <si>
    <t>통합테스트 결과서</t>
  </si>
  <si>
    <t>통합 테스트를 통해 내부/외부 간의 연계 및 구축된 시스템간의 기능 완전성과 데이터 무결성이 확보되었습니까?
- 내부 시스템(컴포넌트) 간의 연계 및 통합
- 외부 시스템간의 연계 기능 완전성
- 연계 데이터의 무결성
- 합산 / 통계 데이터의 정확성</t>
  </si>
  <si>
    <t>통합 테스트 결과에 대한 고객과의 검토 및 승인이 있었습니까?</t>
  </si>
  <si>
    <t>물리데이터베이스가 설계서와 동일하게 생성되고 유지관리되고 있습니까?
- 테이블 중복, 동일필드 일치성 여부 판단
- 테이블 정의서, 인덱스 정의서, DB Object 정의서, 물리 DB</t>
  </si>
  <si>
    <t>데이터베이스</t>
  </si>
  <si>
    <t>성능을 고려하여 데이터베이스가 구축되었습니까?
- 각종 데이터베이스 관련 설정
- Memory, Contention, Disk I/O, Archive Mode, Optimizer Mode, 사용자 관리,Tablespace관리, Redo Log관리, Control file관리 등)</t>
  </si>
  <si>
    <t>SQL 성능향상을 위한 튜닝을 실시하고 관련자료를 문서화 했습니까?
- Index 재설정, 비정규화 등</t>
  </si>
  <si>
    <t>SQL튜닝보고서</t>
  </si>
  <si>
    <t>데이터에 대한 접근권한 및 통제가 설계에 맞게 구축되었습니까?
- 사용자별/그룹별/업무별 접근권한, 감사기능
- 요구사항 및 보안정책 대비 보안기술 적용</t>
  </si>
  <si>
    <t>시스템 도입계획 및 설계에 따라 도입/설치 되었습니까?
- 계획 대비 도입장비의 적합성
- 시스템 및 각종 소프트웨어 설치
- 보안 솔루션</t>
  </si>
  <si>
    <t>시스템 설치 계획/결과서</t>
  </si>
  <si>
    <t>시스템의 구성요소에 대한 검증이 이루어졌습니까?
- 시스템간의 호환성 검증
- 사양 대비 시스템 성능, 안정상, 가용성, 보안성 검증</t>
  </si>
  <si>
    <t>시스템 검증 결과</t>
  </si>
  <si>
    <t>사용자 접근통제 및 보안 사항이 구축되었습니까?
- 사용자별/그룹별/업무별 접근권한, 감사기능
- 요구사항 및 보안정책 대비 보안기술 적용</t>
  </si>
  <si>
    <t>구축된 접근통제 및 보안</t>
  </si>
  <si>
    <t>시스템 테스트 계획서가 작성되었습니까?
- 시스템 테스트 유형((보안, 성능, 스트레스, 볼륨, 부하 등) 및 범위
- 테스트 환경, 절차, 시나리오, 데이터</t>
  </si>
  <si>
    <t>시스템 테스트 계획서</t>
  </si>
  <si>
    <t>시스템 테스트는 수립된 계획에 따라 실시되며 그 결과가 기록, 관리 되고 있습니까?
- 시스템 테스트 유형별 시나리오, 데이터, 결과 관리의 적정성
- 테스트 결과에 따른 오류 개선</t>
  </si>
  <si>
    <t>시스템 테스트 결과서</t>
  </si>
  <si>
    <t>통합 및 시스템 테스트 결과를 반영하여 시스템 최적화가 이루어졌습니까?
- 성능 튜닝 대상 선정, 방법, 일정 등 계획 / 결과
- 시스템 파라미터, 응용시스템 등 성능개선을 위한 최적화의 계획 및 실시 여부
- 튜닝 전후에 대한 성능 평가</t>
  </si>
  <si>
    <t>시스템 성능 계획/결과서</t>
  </si>
  <si>
    <t>테스트</t>
  </si>
  <si>
    <t>착수시 정의된 구현 산출물은 누락없이 모두 작성 되었습니까?</t>
  </si>
  <si>
    <t>인수테스트 수행여부에 대한 고객과의 합의가 이루어졌습니까?</t>
  </si>
  <si>
    <t>사용자 인수테스트 계획서가 작성되었습니까?
- 사용자 테스트 환경, 절차, 시나리오, 데이터</t>
  </si>
  <si>
    <t>인수테스트계획서</t>
  </si>
  <si>
    <t>인수테스트는 고객의 주관하에 실시되고, 그 결과가 기록, 관리되고 있습니까?</t>
  </si>
  <si>
    <t>인수테스트결과서</t>
  </si>
  <si>
    <t>사용자 및 운영자 교육은 교육계획에 따라 시행되고 그 결과를 기록, 관리하였습니까?
- 교육 일정 및 내용, 준비사항, 교육 참석자, 출석확인 등
- 인수인계</t>
  </si>
  <si>
    <t>사용자 매뉴얼은 충실하게 작성되었습니까?
- 시스템 구성도, 주요 기능
- 시작 및 종료방법, 화면구성 설명, 사용자 및 권한관리
- 화면목록, 화면설명
- Helpdesk
- 사용자매뉴얼이 작성된 화면수, 실제 구현된 화면수 비교</t>
  </si>
  <si>
    <t>사용자매뉴얼</t>
  </si>
  <si>
    <t>운영자 매뉴얼은 충실하게 작성하였습니까?
- 시스템 구성도, 시스템 기능 및 성능, 하드웨어 / 소프트웨어 / 네트워크 구성
- 개발 및 운영환경, 시스템 설치 방법, 서버 시작과 정지, 운영화면 설명, 보안 및 통제,장애 및 조치사항, 비상연락망
- 배치프로그램 운영, 데이터베이스 백업대상, 백업주기 및 운영절차 등
- 주요 업무처리 흐름</t>
  </si>
  <si>
    <t>운영자매뉴얼</t>
  </si>
  <si>
    <t>시스템을 운영하는데 필요한 모든 하드웨어와 소프트웨어, 구현된 응용시스템이 완전하게설치 및 배포되었습니까?
- 서버, 시스템 소프트웨어 설치
- 사용자 응용 프로그램 설치 및 배포</t>
  </si>
  <si>
    <t>시스템 설치 보고서</t>
  </si>
  <si>
    <t>데이터 전환이 적정하게 이루어지고 검증되었습니까?
- 데이터 전환 수행 및 결과의 적정성 검증</t>
  </si>
  <si>
    <t>전환 데이터</t>
  </si>
  <si>
    <t>업무 및 시스템 전개가 적정하게 수행되었습니까?
- 시스템 오픈 전후 데이터의 일관성 유지
- 기존 처리 업무의 연결성, 연속성 확보
- 시스템 특성에 따른 시스템 전개 및 검증 수행</t>
  </si>
  <si>
    <t>시스템 전개 결과</t>
  </si>
  <si>
    <t>최종인도 산출물에 대하여 고객의 승인을 획득하고 고객에게 인도할 준비가 되었습니까?
- 사용자 요구사항 및 사업목표의 달성 여부
- 사용자 및 이해관계자의 참여</t>
  </si>
  <si>
    <t>검수확인서</t>
  </si>
  <si>
    <t>&lt; 작성 지침&gt;</t>
  </si>
  <si>
    <t>○ 품질평가 전에 프로세스 체크리스트 점검항목을 프로젝트 특성 및 상황에 맞게 조정 및 추가한다.</t>
  </si>
  <si>
    <t>- 점검항목별 중요도를 체크한다.</t>
  </si>
  <si>
    <t>- 해당사항 없는 점검항목을 표시한다.</t>
  </si>
  <si>
    <t>- 필요한 경우 점검항목을 추가한다.</t>
  </si>
  <si>
    <t>○ 프로세스 체크리스트 각 점검항목에 대해 아래의 "평가기준" 을 활용하여 점수를 부여한다.</t>
  </si>
  <si>
    <t>○ 검토의견을 간단히 기록한다.</t>
  </si>
  <si>
    <t>○ 프로세스 체크리스트는 수행활동별 절차서를 참조하여 작성한다.</t>
  </si>
  <si>
    <t>※ 평가기준</t>
  </si>
  <si>
    <t>평가상한</t>
  </si>
  <si>
    <t>평가기준</t>
  </si>
  <si>
    <t>~5점</t>
  </si>
  <si>
    <t>우수</t>
  </si>
  <si>
    <t>점검항목이 완전하게(Fully) 충족됨</t>
  </si>
  <si>
    <t>우수사례(Best Prantice)로 선정됨</t>
  </si>
  <si>
    <t>표준을 준수함</t>
  </si>
  <si>
    <t>내용이 이해하기 쉽고, 상세히 작성되어 누락이 없음</t>
  </si>
  <si>
    <t>기한을 준수함</t>
  </si>
  <si>
    <t>관련자의 승인 및 검토가 수행됨</t>
  </si>
  <si>
    <t>점검항목에 대한 활동이 문서화되어 있으며 실제 수행됨</t>
  </si>
  <si>
    <t>계획대비 지연없이 추진됨</t>
  </si>
  <si>
    <t>목표대비 90%이상 달성됨</t>
  </si>
  <si>
    <t>관련 활동의 측정 및 추적이 용이함</t>
  </si>
  <si>
    <t>~4점</t>
  </si>
  <si>
    <t>양호</t>
  </si>
  <si>
    <t>점검항목이 대부분(Largely) 충족됨</t>
  </si>
  <si>
    <t>표준을 대부분 준수하나 일부 지켜지지 않음</t>
  </si>
  <si>
    <t>내용이 이해하기 쉽고, 상세히 작성되어 있으나 일부 누락됨</t>
  </si>
  <si>
    <t>기한 1개월 이내 준수함</t>
  </si>
  <si>
    <t>점검항목에 대한 활동이 문서화되어 있으며 일부 누락됨</t>
  </si>
  <si>
    <t>계획대비 5%내에서 추진됨</t>
  </si>
  <si>
    <t>목표대비 80%이상 달성됨</t>
  </si>
  <si>
    <t>관련 활동의 측정 및 추적이 비교적 용이함</t>
  </si>
  <si>
    <t>~3점</t>
  </si>
  <si>
    <t>보통</t>
  </si>
  <si>
    <t>점검항목이 일부(Partially) 충족됨</t>
  </si>
  <si>
    <t>표준을 일부 준수함 / 표준이 잘못 설정되었으나 일관성있게 관리됨</t>
  </si>
  <si>
    <t>내용이 일부 상세히 작성되지 않으며 내용파악이 어려움</t>
  </si>
  <si>
    <t>기한 2개월 이내 준수함</t>
  </si>
  <si>
    <t>점검항목에 대한 활동이 문서화되어 있으나 실제 수행되지 않거나 일부 관리를 위해 사용됨</t>
  </si>
  <si>
    <t>계획대비 10%내에서 추진됨</t>
  </si>
  <si>
    <t>목표대비 70%이상 달성됨</t>
  </si>
  <si>
    <t>관련 활동의 측정 및 추적이 다소 어려움</t>
  </si>
  <si>
    <t>~2점</t>
  </si>
  <si>
    <t>미흡</t>
  </si>
  <si>
    <t>점검항목이 미흡하게 수행되거나 거의 수행되지 않음</t>
  </si>
  <si>
    <t>표준이 거의 준수되지 않음 / 표준없이 경험에 의해 관리됨</t>
  </si>
  <si>
    <t>내용이 대부분 상세히 작성되지 않으며 내용 파악이 어려움 / 내용의 50%이상이 누락됨</t>
  </si>
  <si>
    <t>기한 3개월 이내 준수함</t>
  </si>
  <si>
    <t>점검항목에 대한 활동이 문서화되어 있지 않으며, 일부 관리를 위해 사용됨</t>
  </si>
  <si>
    <t>계획대비 20%내에서 추진됨</t>
  </si>
  <si>
    <t>목표대비 60%이상 달성됨</t>
  </si>
  <si>
    <t>관련 활동의 측정 및 추적이 어려움</t>
  </si>
  <si>
    <t>~0점</t>
  </si>
  <si>
    <t>부적정/수행안함</t>
  </si>
  <si>
    <t>점검항목에 대한 활동을 실제 수행하지 않음</t>
  </si>
  <si>
    <t>표준이 없음</t>
  </si>
  <si>
    <t>내용이 작성되지 않음</t>
  </si>
  <si>
    <t>기한대비 3개월을 초과함</t>
  </si>
  <si>
    <t>관련자의 승인 및 검토가 수행되지 않음</t>
  </si>
  <si>
    <t>계획이 수립되지 않음</t>
  </si>
  <si>
    <t>목표대비 60%미만 달성됨</t>
  </si>
  <si>
    <t>관련 활동의 측정 및 추적이 불가능함</t>
  </si>
  <si>
    <t>N/A</t>
  </si>
  <si>
    <t>해당사항없음</t>
  </si>
  <si>
    <t>점검항목에 대해 전혀 관련이 없음</t>
  </si>
  <si>
    <t>※ 평가예</t>
  </si>
  <si>
    <t>○ 점검항목별 결과에 적합한 평가기준을 찾아내어 해당 점수를 부여한다.</t>
  </si>
  <si>
    <t xml:space="preserve">    단, 제시한 점수는 상한 점수이며 감점요인이 있는 경우 조정이 가능하다.</t>
  </si>
  <si>
    <t>○ 점검항목에 대한 평가기준이 여러 개인 경우, 평가기준을 모두 만족할 때 해당 점수를 부여한다.</t>
  </si>
  <si>
    <t>○ 일부 만족하지 못하는 경우에는 해당 점수에서 한단계 낮추거나, 두점수의 평균을 구한 후 반올림 처리한다.</t>
  </si>
  <si>
    <t>(점검항목 예) 요구사항 기술서 고객승인</t>
  </si>
  <si>
    <t>- 요구사항 기술서가 완전하게 작성되었으나 고객승인을 받지 못한 경우 :</t>
  </si>
  <si>
    <t xml:space="preserve">   4점 (내용은 5점, 승인은 0점에 해당되므로 5점에서 1단계 떨어진 4점 적용 - 각각의 점수가 차이가 많이 나는 경우)</t>
  </si>
  <si>
    <t>- 요구사항 기술서의 내용이 일부 누락되었지만 상세하게 작성되고 고객승인을 받은 경우 :</t>
  </si>
  <si>
    <t xml:space="preserve">   5점 (내용은 4점, 승인은 5점에 해당되므로 평균점수인 4.5점을 반올림하여 5점 적용 - 각각의 점수가 차이가 적게 나는 경우)</t>
  </si>
  <si>
    <t xml:space="preserve">- 요구사항기술서가 내용이 상세히 정의되고 고객승인 받은 경우 : 5점 (모두 만족) </t>
  </si>
  <si>
    <t>※ 종합평가 시 평가 등급</t>
  </si>
  <si>
    <t>점수</t>
  </si>
  <si>
    <t>평가등급</t>
  </si>
  <si>
    <t>50점 미만</t>
  </si>
  <si>
    <t>부적정</t>
  </si>
  <si>
    <t>50~60점 미만</t>
  </si>
  <si>
    <t>60~80점 미만</t>
  </si>
  <si>
    <t>80~90점 미만</t>
  </si>
  <si>
    <t>90이상</t>
  </si>
  <si>
    <t>* 종합평가 = 프로세스 체크리스트 평가 + 산출물체크리스트 평가</t>
  </si>
  <si>
    <t>* 참조문서 : 정보시스템 감리점검 해설서 V1.0(한국전산원)</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</si>
</sst>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0.0"/>
    <numFmt numFmtId="166" formatCode="m&quot;/&quot;d"/>
    <numFmt numFmtId="167" formatCode="0.00_ "/>
  </numFmts>
  <fonts count="18">
    <font>
      <sz val="11.0"/>
      <color rgb="FF000000"/>
      <name val="Calibri"/>
      <scheme val="minor"/>
    </font>
    <font>
      <sz val="11.0"/>
      <color theme="1"/>
      <name val="Malgun Gothic"/>
    </font>
    <font>
      <sz val="14.0"/>
      <color theme="1"/>
      <name val="Malgun Gothic"/>
    </font>
    <font/>
    <font>
      <b/>
      <sz val="25.0"/>
      <color theme="1"/>
      <name val="Malgun Gothic"/>
    </font>
    <font>
      <b/>
      <sz val="12.0"/>
      <color theme="1"/>
      <name val="Malgun Gothic"/>
    </font>
    <font>
      <sz val="10.0"/>
      <color theme="1"/>
      <name val="Malgun Gothic"/>
    </font>
    <font>
      <sz val="12.0"/>
      <color theme="1"/>
      <name val="Malgun Gothic"/>
    </font>
    <font>
      <b/>
      <sz val="10.0"/>
      <color rgb="FF000000"/>
      <name val="Malgun Gothic"/>
    </font>
    <font>
      <b/>
      <sz val="9.0"/>
      <color rgb="FF000000"/>
      <name val="Malgun Gothic"/>
    </font>
    <font>
      <sz val="9.0"/>
      <color rgb="FF000000"/>
      <name val="Malgun Gothic"/>
    </font>
    <font>
      <sz val="18.0"/>
      <color theme="1"/>
      <name val="Malgun Gothic"/>
    </font>
    <font>
      <color theme="1"/>
      <name val="Titillium Web"/>
    </font>
    <font>
      <sz val="11.0"/>
      <color theme="1"/>
      <name val="Titillium Web"/>
    </font>
    <font>
      <b/>
      <color theme="1"/>
      <name val="Titillium Web"/>
    </font>
    <font>
      <b/>
      <sz val="11.0"/>
      <color theme="1"/>
      <name val="Titillium Web"/>
    </font>
    <font>
      <b/>
      <sz val="10.0"/>
      <color theme="1"/>
      <name val="Calibri"/>
      <scheme val="minor"/>
    </font>
    <font>
      <sz val="10.0"/>
      <color theme="1"/>
      <name val="Calibri"/>
      <scheme val="minor"/>
    </font>
  </fonts>
  <fills count="8">
    <fill>
      <patternFill patternType="none"/>
    </fill>
    <fill>
      <patternFill patternType="lightGray"/>
    </fill>
    <fill>
      <patternFill patternType="solid">
        <fgColor theme="0"/>
        <bgColor theme="0"/>
      </patternFill>
    </fill>
    <fill>
      <patternFill patternType="solid">
        <fgColor rgb="FFDDDDDD"/>
        <bgColor rgb="FFDDDDDD"/>
      </patternFill>
    </fill>
    <fill>
      <patternFill patternType="solid">
        <fgColor rgb="FFFFFFFF"/>
        <bgColor rgb="FFFFFFFF"/>
      </patternFill>
    </fill>
    <fill>
      <patternFill patternType="solid">
        <fgColor rgb="FFD8D8D8"/>
        <bgColor rgb="FFD8D8D8"/>
      </patternFill>
    </fill>
    <fill>
      <patternFill patternType="solid">
        <fgColor rgb="FFD9D9D9"/>
        <bgColor rgb="FFD9D9D9"/>
      </patternFill>
    </fill>
    <fill>
      <patternFill patternType="solid">
        <fgColor rgb="FFFFFFCC"/>
        <bgColor rgb="FFFFFFCC"/>
      </patternFill>
    </fill>
  </fills>
  <borders count="59">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ttom/>
    </border>
    <border>
      <top/>
      <bottom/>
    </border>
    <border>
      <right style="medium">
        <color rgb="FF000000"/>
      </right>
      <top/>
      <bottom/>
    </border>
    <border>
      <left/>
      <top/>
      <bottom/>
    </border>
    <border>
      <left/>
      <right/>
      <top/>
    </border>
    <border>
      <left style="thin">
        <color rgb="FF000000"/>
      </left>
      <right style="thin">
        <color rgb="FF000000"/>
      </right>
      <top style="thin">
        <color rgb="FF000000"/>
      </top>
      <bottom style="thin">
        <color rgb="FF000000"/>
      </bottom>
    </border>
    <border>
      <left/>
      <right/>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thin">
        <color rgb="FF000000"/>
      </right>
      <top style="thin">
        <color rgb="FF000000"/>
      </top>
      <bottom style="medium">
        <color rgb="FF000000"/>
      </bottom>
    </border>
    <border>
      <left style="thin">
        <color rgb="FF000000"/>
      </left>
    </border>
    <border>
      <left style="hair">
        <color rgb="FF000000"/>
      </left>
      <right style="hair">
        <color rgb="FF000000"/>
      </right>
    </border>
    <border>
      <left style="hair">
        <color rgb="FF000000"/>
      </left>
      <right style="hair">
        <color rgb="FF000000"/>
      </right>
      <top style="medium">
        <color rgb="FF000000"/>
      </top>
      <bottom style="hair">
        <color rgb="FF000000"/>
      </bottom>
    </border>
    <border>
      <left style="hair">
        <color rgb="FF000000"/>
      </left>
      <right style="thin">
        <color rgb="FF000000"/>
      </right>
      <top style="medium">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thin">
        <color rgb="FF000000"/>
      </left>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top/>
      <bottom style="hair">
        <color rgb="FF000000"/>
      </bottom>
    </border>
    <border>
      <left style="hair">
        <color rgb="FF000000"/>
      </left>
      <right style="thin">
        <color rgb="FF000000"/>
      </right>
      <bottom style="hair">
        <color rgb="FF000000"/>
      </bottom>
    </border>
    <border>
      <left style="hair">
        <color rgb="FF000000"/>
      </left>
      <right style="hair">
        <color rgb="FF000000"/>
      </right>
      <bottom style="thin">
        <color rgb="FF000000"/>
      </bottom>
    </border>
    <border>
      <left style="thin">
        <color rgb="FF000000"/>
      </left>
      <right style="hair">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hair">
        <color rgb="FF000000"/>
      </right>
    </border>
    <border>
      <right style="hair">
        <color rgb="FF000000"/>
      </right>
      <top style="medium">
        <color rgb="FF000000"/>
      </top>
      <bottom style="hair">
        <color rgb="FF000000"/>
      </bottom>
    </border>
    <border>
      <right style="hair">
        <color rgb="FF000000"/>
      </right>
      <top style="hair">
        <color rgb="FF000000"/>
      </top>
      <bottom style="hair">
        <color rgb="FF000000"/>
      </bottom>
    </border>
    <border>
      <left style="thin">
        <color rgb="FF000000"/>
      </left>
      <right style="hair">
        <color rgb="FF000000"/>
      </right>
      <bottom style="thin">
        <color rgb="FF000000"/>
      </bottom>
    </border>
    <border>
      <right style="hair">
        <color rgb="FF000000"/>
      </right>
      <top style="hair">
        <color rgb="FF000000"/>
      </top>
      <bottom style="thin">
        <color rgb="FF000000"/>
      </bottom>
    </border>
    <border>
      <right style="hair">
        <color rgb="FF000000"/>
      </right>
      <bottom style="hair">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bottom style="hair">
        <color rgb="FF000000"/>
      </bottom>
    </border>
    <border>
      <left style="thin">
        <color rgb="FF000000"/>
      </left>
      <top style="thin">
        <color rgb="FF000000"/>
      </top>
      <bottom style="hair">
        <color rgb="FF000000"/>
      </bottom>
    </border>
    <border>
      <left style="thin">
        <color rgb="FF000000"/>
      </left>
      <top style="hair">
        <color rgb="FF000000"/>
      </top>
      <bottom style="hair">
        <color rgb="FF000000"/>
      </bottom>
    </border>
    <border>
      <left style="thin">
        <color rgb="FF000000"/>
      </left>
      <top style="hair">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2" fontId="1" numFmtId="0" xfId="0" applyAlignment="1" applyBorder="1" applyFont="1">
      <alignment vertical="center"/>
    </xf>
    <xf borderId="3" fillId="2" fontId="1" numFmtId="0" xfId="0" applyAlignment="1" applyBorder="1" applyFont="1">
      <alignment vertical="center"/>
    </xf>
    <xf borderId="4"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7" fillId="2" fontId="2" numFmtId="0" xfId="0" applyAlignment="1" applyBorder="1" applyFont="1">
      <alignment horizontal="center" readingOrder="0" vertical="center"/>
    </xf>
    <xf borderId="8" fillId="0" fontId="3" numFmtId="0" xfId="0" applyAlignment="1" applyBorder="1" applyFont="1">
      <alignment vertical="center"/>
    </xf>
    <xf borderId="9" fillId="0" fontId="3" numFmtId="0" xfId="0" applyAlignment="1" applyBorder="1" applyFont="1">
      <alignment vertical="center"/>
    </xf>
    <xf borderId="7" fillId="2" fontId="4" numFmtId="0" xfId="0" applyAlignment="1" applyBorder="1" applyFont="1">
      <alignment horizontal="center" readingOrder="0" shrinkToFit="0" vertical="center" wrapText="1"/>
    </xf>
    <xf borderId="5" fillId="2" fontId="5" numFmtId="0" xfId="0" applyAlignment="1" applyBorder="1" applyFont="1">
      <alignment horizontal="right" vertical="center"/>
    </xf>
    <xf borderId="7" fillId="2" fontId="5" numFmtId="0" xfId="0" applyAlignment="1" applyBorder="1" applyFont="1">
      <alignment horizontal="right" vertical="center"/>
    </xf>
    <xf borderId="10" fillId="2" fontId="6" numFmtId="0" xfId="0" applyAlignment="1" applyBorder="1" applyFont="1">
      <alignment horizontal="left" readingOrder="0" vertical="center"/>
    </xf>
    <xf borderId="10" fillId="2" fontId="6" numFmtId="0" xfId="0" applyAlignment="1" applyBorder="1" applyFont="1">
      <alignment horizontal="left" vertical="center"/>
    </xf>
    <xf borderId="5" fillId="2" fontId="6" numFmtId="0" xfId="0" applyAlignment="1" applyBorder="1" applyFont="1">
      <alignment horizontal="left" vertical="center"/>
    </xf>
    <xf borderId="11" fillId="2" fontId="1" numFmtId="0" xfId="0" applyAlignment="1" applyBorder="1" applyFont="1">
      <alignment vertical="center"/>
    </xf>
    <xf borderId="7" fillId="2" fontId="7" numFmtId="0" xfId="0" applyAlignment="1" applyBorder="1" applyFont="1">
      <alignment horizontal="left" vertical="center"/>
    </xf>
    <xf borderId="12" fillId="3" fontId="8" numFmtId="0" xfId="0" applyAlignment="1" applyBorder="1" applyFill="1" applyFont="1">
      <alignment horizontal="center" readingOrder="1" shrinkToFit="0" vertical="center" wrapText="1"/>
    </xf>
    <xf borderId="9" fillId="2" fontId="1" numFmtId="0" xfId="0" applyAlignment="1" applyBorder="1" applyFont="1">
      <alignment vertical="center"/>
    </xf>
    <xf borderId="7" fillId="2" fontId="5" numFmtId="0" xfId="0" applyAlignment="1" applyBorder="1" applyFont="1">
      <alignment horizontal="center" vertical="center"/>
    </xf>
    <xf borderId="12" fillId="0" fontId="9" numFmtId="0" xfId="0" applyAlignment="1" applyBorder="1" applyFont="1">
      <alignment horizontal="center" readingOrder="1" shrinkToFit="0" vertical="center" wrapText="1"/>
    </xf>
    <xf borderId="12" fillId="0" fontId="10" numFmtId="0" xfId="0" applyAlignment="1" applyBorder="1" applyFont="1">
      <alignment horizontal="center" readingOrder="1" shrinkToFit="0" vertical="center" wrapText="1"/>
    </xf>
    <xf borderId="12" fillId="0" fontId="10" numFmtId="164" xfId="0" applyAlignment="1" applyBorder="1" applyFont="1" applyNumberFormat="1">
      <alignment horizontal="center" readingOrder="1" shrinkToFit="0" vertical="center" wrapText="1"/>
    </xf>
    <xf borderId="12" fillId="0" fontId="11" numFmtId="0" xfId="0" applyAlignment="1" applyBorder="1" applyFont="1">
      <alignment horizontal="center" shrinkToFit="0" vertical="center" wrapText="1"/>
    </xf>
    <xf borderId="5" fillId="2" fontId="5" numFmtId="0" xfId="0" applyAlignment="1" applyBorder="1" applyFont="1">
      <alignment horizontal="center" vertical="center"/>
    </xf>
    <xf borderId="13" fillId="2" fontId="9" numFmtId="0" xfId="0" applyAlignment="1" applyBorder="1" applyFont="1">
      <alignment horizontal="center" readingOrder="1" shrinkToFit="0" vertical="center" wrapText="1"/>
    </xf>
    <xf borderId="13" fillId="2" fontId="10" numFmtId="0" xfId="0" applyAlignment="1" applyBorder="1" applyFont="1">
      <alignment horizontal="center" readingOrder="1" shrinkToFit="0" vertical="center" wrapText="1"/>
    </xf>
    <xf borderId="13" fillId="2" fontId="1" numFmtId="0" xfId="0" applyAlignment="1" applyBorder="1" applyFont="1">
      <alignment vertical="center"/>
    </xf>
    <xf borderId="1" fillId="2" fontId="9" numFmtId="0" xfId="0" applyAlignment="1" applyBorder="1" applyFont="1">
      <alignment horizontal="center" readingOrder="1" shrinkToFit="0" vertical="center" wrapText="1"/>
    </xf>
    <xf borderId="1" fillId="2" fontId="10" numFmtId="0" xfId="0" applyAlignment="1" applyBorder="1" applyFont="1">
      <alignment horizontal="center" readingOrder="1" shrinkToFit="0" vertical="center" wrapText="1"/>
    </xf>
    <xf borderId="14" fillId="2" fontId="5" numFmtId="0" xfId="0" applyAlignment="1" applyBorder="1" applyFont="1">
      <alignment horizontal="center" vertical="center"/>
    </xf>
    <xf borderId="15" fillId="2" fontId="1" numFmtId="0" xfId="0" applyAlignment="1" applyBorder="1" applyFont="1">
      <alignment vertical="center"/>
    </xf>
    <xf borderId="16" fillId="2" fontId="1" numFmtId="0" xfId="0" applyAlignment="1" applyBorder="1" applyFont="1">
      <alignment vertical="center"/>
    </xf>
    <xf borderId="0" fillId="4" fontId="12" numFmtId="0" xfId="0" applyAlignment="1" applyFill="1" applyFont="1">
      <alignment shrinkToFit="0" vertical="center" wrapText="1"/>
    </xf>
    <xf borderId="0" fillId="4" fontId="13" numFmtId="0" xfId="0" applyAlignment="1" applyFont="1">
      <alignment shrinkToFit="0" vertical="center" wrapText="1"/>
    </xf>
    <xf borderId="17" fillId="5" fontId="14" numFmtId="0" xfId="0" applyAlignment="1" applyBorder="1" applyFill="1" applyFont="1">
      <alignment horizontal="center" shrinkToFit="0" vertical="center" wrapText="1"/>
    </xf>
    <xf borderId="18" fillId="0" fontId="3" numFmtId="0" xfId="0" applyAlignment="1" applyBorder="1" applyFont="1">
      <alignment vertical="center"/>
    </xf>
    <xf borderId="19" fillId="0" fontId="3" numFmtId="0" xfId="0" applyAlignment="1" applyBorder="1" applyFont="1">
      <alignment vertical="center"/>
    </xf>
    <xf borderId="12" fillId="5" fontId="12" numFmtId="0" xfId="0" applyAlignment="1" applyBorder="1" applyFont="1">
      <alignment horizontal="center" shrinkToFit="0" vertical="center" wrapText="1"/>
    </xf>
    <xf borderId="17" fillId="4" fontId="14" numFmtId="0" xfId="0" applyAlignment="1" applyBorder="1" applyFont="1">
      <alignment horizontal="center" readingOrder="0" shrinkToFit="0" vertical="center" wrapText="1"/>
    </xf>
    <xf borderId="12" fillId="4" fontId="12" numFmtId="0" xfId="0" applyAlignment="1" applyBorder="1" applyFont="1">
      <alignment horizontal="center" readingOrder="0" shrinkToFit="0" vertical="center" wrapText="1"/>
    </xf>
    <xf borderId="17" fillId="4" fontId="12" numFmtId="0" xfId="0" applyAlignment="1" applyBorder="1" applyFont="1">
      <alignment horizontal="center" readingOrder="0" shrinkToFit="0" vertical="center" wrapText="1"/>
    </xf>
    <xf borderId="12" fillId="4" fontId="12" numFmtId="164" xfId="0" applyAlignment="1" applyBorder="1" applyFont="1" applyNumberFormat="1">
      <alignment horizontal="center" shrinkToFit="0" vertical="center" wrapText="1"/>
    </xf>
    <xf borderId="17" fillId="4" fontId="12" numFmtId="165" xfId="0" applyAlignment="1" applyBorder="1" applyFont="1" applyNumberFormat="1">
      <alignment horizontal="center" shrinkToFit="0" vertical="center" wrapText="1"/>
    </xf>
    <xf borderId="0" fillId="4" fontId="12" numFmtId="0" xfId="0" applyAlignment="1" applyFont="1">
      <alignment horizontal="right" shrinkToFit="0" vertical="center" wrapText="1"/>
    </xf>
    <xf borderId="0" fillId="4" fontId="14" numFmtId="0" xfId="0" applyAlignment="1" applyFont="1">
      <alignment shrinkToFit="0" vertical="center" wrapText="1"/>
    </xf>
    <xf borderId="12" fillId="5" fontId="14" numFmtId="0" xfId="0" applyAlignment="1" applyBorder="1" applyFont="1">
      <alignment horizontal="center" shrinkToFit="0" vertical="center" wrapText="1"/>
    </xf>
    <xf borderId="0" fillId="4" fontId="15" numFmtId="0" xfId="0" applyAlignment="1" applyFont="1">
      <alignment shrinkToFit="0" vertical="center" wrapText="1"/>
    </xf>
    <xf borderId="0" fillId="0" fontId="12" numFmtId="0" xfId="0" applyAlignment="1" applyFont="1">
      <alignment shrinkToFit="0" vertical="center" wrapText="1"/>
    </xf>
    <xf borderId="12" fillId="0" fontId="12" numFmtId="165" xfId="0" applyAlignment="1" applyBorder="1" applyFont="1" applyNumberFormat="1">
      <alignment horizontal="center" shrinkToFit="0" vertical="center" wrapText="1"/>
    </xf>
    <xf borderId="12" fillId="0" fontId="12" numFmtId="166" xfId="0" applyAlignment="1" applyBorder="1" applyFont="1" applyNumberFormat="1">
      <alignment horizontal="center" shrinkToFit="0" vertical="center" wrapText="1"/>
    </xf>
    <xf borderId="18" fillId="0" fontId="12" numFmtId="0" xfId="0" applyAlignment="1" applyBorder="1" applyFont="1">
      <alignment horizontal="center" shrinkToFit="0" vertical="center" wrapText="1"/>
    </xf>
    <xf borderId="18" fillId="0" fontId="12" numFmtId="0" xfId="0" applyAlignment="1" applyBorder="1" applyFont="1">
      <alignment horizontal="left" shrinkToFit="0" vertical="center" wrapText="1"/>
    </xf>
    <xf borderId="12" fillId="0" fontId="12" numFmtId="0" xfId="0" applyAlignment="1" applyBorder="1" applyFont="1">
      <alignment horizontal="center" readingOrder="0" shrinkToFit="0" vertical="center" wrapText="1"/>
    </xf>
    <xf borderId="12" fillId="0" fontId="12" numFmtId="0" xfId="0" applyAlignment="1" applyBorder="1" applyFont="1">
      <alignment horizontal="center" shrinkToFit="0" vertical="center" wrapText="1"/>
    </xf>
    <xf borderId="0" fillId="0" fontId="13" numFmtId="0" xfId="0" applyAlignment="1" applyFont="1">
      <alignment shrinkToFit="0" vertical="center" wrapText="1"/>
    </xf>
    <xf borderId="18" fillId="0" fontId="12" numFmtId="0" xfId="0" applyAlignment="1" applyBorder="1" applyFont="1">
      <alignment shrinkToFit="0" vertical="center" wrapText="1"/>
    </xf>
    <xf borderId="20" fillId="6" fontId="16" numFmtId="0" xfId="0" applyAlignment="1" applyBorder="1" applyFill="1" applyFont="1">
      <alignment horizontal="center" vertical="center"/>
    </xf>
    <xf borderId="21" fillId="6" fontId="16" numFmtId="0" xfId="0" applyAlignment="1" applyBorder="1" applyFont="1">
      <alignment horizontal="center" shrinkToFit="0" vertical="center" wrapText="1"/>
    </xf>
    <xf borderId="21" fillId="6" fontId="16" numFmtId="0" xfId="0" applyAlignment="1" applyBorder="1" applyFont="1">
      <alignment horizontal="center" vertical="center"/>
    </xf>
    <xf borderId="21" fillId="6" fontId="16" numFmtId="167" xfId="0" applyAlignment="1" applyBorder="1" applyFont="1" applyNumberFormat="1">
      <alignment horizontal="center" vertical="center"/>
    </xf>
    <xf borderId="22" fillId="6" fontId="16" numFmtId="0" xfId="0" applyAlignment="1" applyBorder="1" applyFont="1">
      <alignment horizontal="center" vertical="center"/>
    </xf>
    <xf borderId="0" fillId="0" fontId="17" numFmtId="0" xfId="0" applyAlignment="1" applyFont="1">
      <alignment vertical="center"/>
    </xf>
    <xf borderId="23" fillId="0" fontId="17" numFmtId="0" xfId="0" applyAlignment="1" applyBorder="1" applyFont="1">
      <alignment vertical="center"/>
    </xf>
    <xf borderId="24" fillId="0" fontId="17" numFmtId="0" xfId="0" applyAlignment="1" applyBorder="1" applyFont="1">
      <alignment shrinkToFit="0" vertical="center" wrapText="1"/>
    </xf>
    <xf borderId="25" fillId="0" fontId="17" numFmtId="0" xfId="0" applyAlignment="1" applyBorder="1" applyFont="1">
      <alignment horizontal="center" vertical="center"/>
    </xf>
    <xf borderId="25" fillId="0" fontId="17" numFmtId="0" xfId="0" applyAlignment="1" applyBorder="1" applyFont="1">
      <alignment shrinkToFit="0" vertical="center" wrapText="1"/>
    </xf>
    <xf borderId="25" fillId="7" fontId="17" numFmtId="0" xfId="0" applyAlignment="1" applyBorder="1" applyFill="1" applyFont="1">
      <alignment vertical="center"/>
    </xf>
    <xf borderId="25" fillId="0" fontId="17" numFmtId="167" xfId="0" applyAlignment="1" applyBorder="1" applyFont="1" applyNumberFormat="1">
      <alignment vertical="center"/>
    </xf>
    <xf borderId="26" fillId="0" fontId="17" numFmtId="0" xfId="0" applyAlignment="1" applyBorder="1" applyFont="1">
      <alignment vertical="center"/>
    </xf>
    <xf borderId="27" fillId="0" fontId="17" numFmtId="0" xfId="0" applyAlignment="1" applyBorder="1" applyFont="1">
      <alignment horizontal="center" vertical="center"/>
    </xf>
    <xf borderId="27" fillId="0" fontId="17" numFmtId="0" xfId="0" applyAlignment="1" applyBorder="1" applyFont="1">
      <alignment shrinkToFit="0" vertical="center" wrapText="1"/>
    </xf>
    <xf borderId="27" fillId="7" fontId="17" numFmtId="0" xfId="0" applyAlignment="1" applyBorder="1" applyFont="1">
      <alignment vertical="center"/>
    </xf>
    <xf borderId="27" fillId="0" fontId="17" numFmtId="167" xfId="0" applyAlignment="1" applyBorder="1" applyFont="1" applyNumberFormat="1">
      <alignment vertical="center"/>
    </xf>
    <xf borderId="28" fillId="0" fontId="17" numFmtId="0" xfId="0" applyAlignment="1" applyBorder="1" applyFont="1">
      <alignment vertical="center"/>
    </xf>
    <xf borderId="29" fillId="0" fontId="17" numFmtId="0" xfId="0" applyAlignment="1" applyBorder="1" applyFont="1">
      <alignment shrinkToFit="0" vertical="center" wrapText="1"/>
    </xf>
    <xf borderId="30" fillId="0" fontId="17" numFmtId="0" xfId="0" applyAlignment="1" applyBorder="1" applyFont="1">
      <alignment shrinkToFit="0" vertical="center" wrapText="1"/>
    </xf>
    <xf borderId="31" fillId="0" fontId="17" numFmtId="0" xfId="0" applyAlignment="1" applyBorder="1" applyFont="1">
      <alignment vertical="center"/>
    </xf>
    <xf borderId="32" fillId="0" fontId="17" numFmtId="0" xfId="0" applyAlignment="1" applyBorder="1" applyFont="1">
      <alignment shrinkToFit="0" vertical="center" wrapText="1"/>
    </xf>
    <xf borderId="32" fillId="0" fontId="17" numFmtId="0" xfId="0" applyAlignment="1" applyBorder="1" applyFont="1">
      <alignment horizontal="center" vertical="center"/>
    </xf>
    <xf borderId="32" fillId="7" fontId="17" numFmtId="0" xfId="0" applyAlignment="1" applyBorder="1" applyFont="1">
      <alignment vertical="center"/>
    </xf>
    <xf borderId="32" fillId="0" fontId="17" numFmtId="167" xfId="0" applyAlignment="1" applyBorder="1" applyFont="1" applyNumberFormat="1">
      <alignment vertical="center"/>
    </xf>
    <xf borderId="33" fillId="0" fontId="17" numFmtId="0" xfId="0" applyAlignment="1" applyBorder="1" applyFont="1">
      <alignment vertical="center"/>
    </xf>
    <xf borderId="30" fillId="0" fontId="17" numFmtId="0" xfId="0" applyAlignment="1" applyBorder="1" applyFont="1">
      <alignment horizontal="center" vertical="center"/>
    </xf>
    <xf borderId="34" fillId="7" fontId="17" numFmtId="0" xfId="0" applyAlignment="1" applyBorder="1" applyFont="1">
      <alignment vertical="center"/>
    </xf>
    <xf borderId="30" fillId="0" fontId="17" numFmtId="167" xfId="0" applyAlignment="1" applyBorder="1" applyFont="1" applyNumberFormat="1">
      <alignment vertical="center"/>
    </xf>
    <xf borderId="35" fillId="0" fontId="17" numFmtId="0" xfId="0" applyAlignment="1" applyBorder="1" applyFont="1">
      <alignment vertical="center"/>
    </xf>
    <xf borderId="36" fillId="0" fontId="17" numFmtId="0" xfId="0" applyAlignment="1" applyBorder="1" applyFont="1">
      <alignment shrinkToFit="0" vertical="center" wrapText="1"/>
    </xf>
    <xf borderId="0" fillId="0" fontId="17" numFmtId="0" xfId="0" applyAlignment="1" applyFont="1">
      <alignment shrinkToFit="0" vertical="center" wrapText="1"/>
    </xf>
    <xf borderId="0" fillId="0" fontId="17" numFmtId="0" xfId="0" applyAlignment="1" applyFont="1">
      <alignment horizontal="center" vertical="center"/>
    </xf>
    <xf borderId="0" fillId="0" fontId="17" numFmtId="167" xfId="0" applyAlignment="1" applyFont="1" applyNumberFormat="1">
      <alignment vertical="center"/>
    </xf>
    <xf borderId="37" fillId="6" fontId="16" numFmtId="0" xfId="0" applyAlignment="1" applyBorder="1" applyFont="1">
      <alignment horizontal="center" vertical="center"/>
    </xf>
    <xf borderId="38" fillId="6" fontId="16" numFmtId="0" xfId="0" applyAlignment="1" applyBorder="1" applyFont="1">
      <alignment horizontal="center" vertical="center"/>
    </xf>
    <xf borderId="38" fillId="6" fontId="16" numFmtId="167" xfId="0" applyAlignment="1" applyBorder="1" applyFont="1" applyNumberFormat="1">
      <alignment horizontal="center" vertical="center"/>
    </xf>
    <xf borderId="39" fillId="0" fontId="17" numFmtId="0" xfId="0" applyAlignment="1" applyBorder="1" applyFont="1">
      <alignment horizontal="center" vertical="center"/>
    </xf>
    <xf borderId="40" fillId="0" fontId="17" numFmtId="0" xfId="0" applyAlignment="1" applyBorder="1" applyFont="1">
      <alignment horizontal="center" vertical="center"/>
    </xf>
    <xf borderId="41" fillId="0" fontId="17" numFmtId="0" xfId="0" applyAlignment="1" applyBorder="1" applyFont="1">
      <alignment horizontal="center" vertical="center"/>
    </xf>
    <xf borderId="42" fillId="0" fontId="17" numFmtId="0" xfId="0" applyAlignment="1" applyBorder="1" applyFont="1">
      <alignment horizontal="center" vertical="center"/>
    </xf>
    <xf borderId="43" fillId="0" fontId="17" numFmtId="0" xfId="0" applyAlignment="1" applyBorder="1" applyFont="1">
      <alignment horizontal="center" vertical="center"/>
    </xf>
    <xf borderId="44" fillId="0" fontId="17" numFmtId="0" xfId="0" applyAlignment="1" applyBorder="1" applyFont="1">
      <alignment horizontal="center" vertical="center"/>
    </xf>
    <xf borderId="0" fillId="0" fontId="16" numFmtId="0" xfId="0" applyAlignment="1" applyFont="1">
      <alignment vertical="center"/>
    </xf>
    <xf quotePrefix="1" borderId="0" fillId="0" fontId="17" numFmtId="0" xfId="0" applyAlignment="1" applyFont="1">
      <alignment vertical="center"/>
    </xf>
    <xf borderId="45" fillId="7" fontId="16" numFmtId="0" xfId="0" applyAlignment="1" applyBorder="1" applyFont="1">
      <alignment horizontal="center" vertical="center"/>
    </xf>
    <xf borderId="12" fillId="7" fontId="16" numFmtId="0" xfId="0" applyAlignment="1" applyBorder="1" applyFont="1">
      <alignment horizontal="center" vertical="center"/>
    </xf>
    <xf borderId="46" fillId="7" fontId="16" numFmtId="0" xfId="0" applyAlignment="1" applyBorder="1" applyFont="1">
      <alignment horizontal="center" vertical="center"/>
    </xf>
    <xf borderId="47" fillId="0" fontId="17" numFmtId="0" xfId="0" applyAlignment="1" applyBorder="1" applyFont="1">
      <alignment vertical="center"/>
    </xf>
    <xf borderId="48" fillId="0" fontId="17" numFmtId="0" xfId="0" applyAlignment="1" applyBorder="1" applyFont="1">
      <alignment vertical="center"/>
    </xf>
    <xf borderId="49" fillId="0" fontId="17" numFmtId="0" xfId="0" applyAlignment="1" applyBorder="1" applyFont="1">
      <alignment vertical="center"/>
    </xf>
    <xf borderId="50" fillId="0" fontId="17" numFmtId="0" xfId="0" applyAlignment="1" applyBorder="1" applyFont="1">
      <alignment vertical="center"/>
    </xf>
    <xf borderId="51" fillId="0" fontId="17" numFmtId="0" xfId="0" applyAlignment="1" applyBorder="1" applyFont="1">
      <alignment vertical="center"/>
    </xf>
    <xf borderId="52" fillId="0" fontId="17" numFmtId="0" xfId="0" applyAlignment="1" applyBorder="1" applyFont="1">
      <alignment vertical="center"/>
    </xf>
    <xf borderId="53" fillId="0" fontId="17" numFmtId="0" xfId="0" applyAlignment="1" applyBorder="1" applyFont="1">
      <alignment vertical="center"/>
    </xf>
    <xf borderId="54" fillId="0" fontId="17" numFmtId="0" xfId="0" applyAlignment="1" applyBorder="1" applyFont="1">
      <alignment vertical="center"/>
    </xf>
    <xf borderId="55" fillId="0" fontId="17" numFmtId="0" xfId="0" applyAlignment="1" applyBorder="1" applyFont="1">
      <alignment vertical="center"/>
    </xf>
    <xf borderId="17" fillId="0" fontId="17" numFmtId="0" xfId="0" applyAlignment="1" applyBorder="1" applyFont="1">
      <alignment vertical="center"/>
    </xf>
    <xf borderId="12" fillId="0" fontId="17" numFmtId="0" xfId="0" applyAlignment="1" applyBorder="1" applyFont="1">
      <alignment vertical="center"/>
    </xf>
    <xf borderId="56" fillId="0" fontId="17" numFmtId="0" xfId="0" applyAlignment="1" applyBorder="1" applyFont="1">
      <alignment horizontal="center" vertical="center"/>
    </xf>
    <xf borderId="48" fillId="0" fontId="17" numFmtId="0" xfId="0" applyAlignment="1" applyBorder="1" applyFont="1">
      <alignment horizontal="center" vertical="center"/>
    </xf>
    <xf borderId="57" fillId="0" fontId="17" numFmtId="0" xfId="0" applyAlignment="1" applyBorder="1" applyFont="1">
      <alignment horizontal="center" vertical="center"/>
    </xf>
    <xf borderId="49" fillId="0" fontId="17" numFmtId="0" xfId="0" applyAlignment="1" applyBorder="1" applyFont="1">
      <alignment horizontal="center" vertical="center"/>
    </xf>
    <xf borderId="58" fillId="0" fontId="17" numFmtId="0" xfId="0" applyAlignment="1" applyBorder="1" applyFont="1">
      <alignment horizontal="center" vertical="center"/>
    </xf>
    <xf borderId="54" fillId="0" fontId="1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22</xdr:row>
      <xdr:rowOff>85725</xdr:rowOff>
    </xdr:from>
    <xdr:ext cx="933450" cy="333375"/>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323850</xdr:colOff>
      <xdr:row>22</xdr:row>
      <xdr:rowOff>85725</xdr:rowOff>
    </xdr:from>
    <xdr:ext cx="981075" cy="333375"/>
    <xdr:pic>
      <xdr:nvPicPr>
        <xdr:cNvPr id="0" name="image1.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0.86"/>
    <col customWidth="1" min="2" max="2" width="8.71"/>
    <col customWidth="1" min="3" max="3" width="14.0"/>
    <col customWidth="1" min="4" max="4" width="23.71"/>
    <col customWidth="1" min="5" max="5" width="16.0"/>
    <col customWidth="1" min="6" max="6" width="16.14"/>
    <col customWidth="1" min="7" max="7" width="16.86"/>
    <col customWidth="1" min="8" max="8" width="19.86"/>
    <col customWidth="1" min="9" max="9" width="8.71"/>
    <col customWidth="1" min="10" max="10" width="1.43"/>
  </cols>
  <sheetData>
    <row r="1" ht="13.5" customHeight="1">
      <c r="A1" s="1"/>
      <c r="B1" s="1"/>
      <c r="C1" s="1"/>
      <c r="D1" s="1"/>
      <c r="E1" s="1"/>
      <c r="F1" s="1"/>
      <c r="G1" s="1"/>
      <c r="H1" s="1"/>
      <c r="I1" s="1"/>
      <c r="J1" s="1"/>
    </row>
    <row r="2" ht="13.5" customHeight="1">
      <c r="A2" s="1"/>
      <c r="B2" s="2"/>
      <c r="C2" s="3"/>
      <c r="D2" s="3"/>
      <c r="E2" s="3"/>
      <c r="F2" s="3"/>
      <c r="G2" s="3"/>
      <c r="H2" s="3"/>
      <c r="I2" s="4"/>
      <c r="J2" s="1"/>
    </row>
    <row r="3" ht="13.5" customHeight="1">
      <c r="A3" s="1"/>
      <c r="B3" s="5"/>
      <c r="C3" s="1"/>
      <c r="D3" s="1"/>
      <c r="E3" s="1"/>
      <c r="F3" s="1"/>
      <c r="G3" s="1"/>
      <c r="H3" s="1"/>
      <c r="I3" s="6"/>
      <c r="J3" s="1"/>
    </row>
    <row r="4" ht="13.5" customHeight="1">
      <c r="A4" s="1"/>
      <c r="B4" s="5"/>
      <c r="C4" s="1"/>
      <c r="D4" s="1"/>
      <c r="E4" s="1"/>
      <c r="F4" s="1"/>
      <c r="G4" s="1"/>
      <c r="H4" s="1"/>
      <c r="I4" s="6"/>
      <c r="J4" s="1"/>
    </row>
    <row r="5" ht="15.75" customHeight="1">
      <c r="A5" s="1"/>
      <c r="B5" s="7" t="s">
        <v>0</v>
      </c>
      <c r="C5" s="8"/>
      <c r="D5" s="8"/>
      <c r="E5" s="8"/>
      <c r="F5" s="8"/>
      <c r="G5" s="8"/>
      <c r="H5" s="8"/>
      <c r="I5" s="9"/>
      <c r="J5" s="1"/>
    </row>
    <row r="6" ht="42.0" customHeight="1">
      <c r="A6" s="1"/>
      <c r="B6" s="10" t="s">
        <v>1</v>
      </c>
      <c r="C6" s="8"/>
      <c r="D6" s="8"/>
      <c r="E6" s="8"/>
      <c r="F6" s="8"/>
      <c r="G6" s="8"/>
      <c r="H6" s="8"/>
      <c r="I6" s="9"/>
      <c r="J6" s="1"/>
    </row>
    <row r="7" ht="13.5" customHeight="1">
      <c r="A7" s="1"/>
      <c r="B7" s="11"/>
      <c r="C7" s="1"/>
      <c r="D7" s="1"/>
      <c r="E7" s="1"/>
      <c r="F7" s="1"/>
      <c r="G7" s="1"/>
      <c r="H7" s="1"/>
      <c r="I7" s="6"/>
      <c r="J7" s="1"/>
    </row>
    <row r="8" ht="13.5" customHeight="1">
      <c r="A8" s="1"/>
      <c r="B8" s="11"/>
      <c r="C8" s="1"/>
      <c r="D8" s="1"/>
      <c r="E8" s="1"/>
      <c r="F8" s="1"/>
      <c r="G8" s="1"/>
      <c r="H8" s="1"/>
      <c r="I8" s="6"/>
      <c r="J8" s="1"/>
    </row>
    <row r="9" ht="13.5" customHeight="1">
      <c r="A9" s="1"/>
      <c r="B9" s="11"/>
      <c r="C9" s="1"/>
      <c r="D9" s="1"/>
      <c r="E9" s="1"/>
      <c r="F9" s="1"/>
      <c r="G9" s="1"/>
      <c r="H9" s="1"/>
      <c r="I9" s="6"/>
      <c r="J9" s="1"/>
    </row>
    <row r="10" ht="15.75" customHeight="1">
      <c r="A10" s="1"/>
      <c r="B10" s="11"/>
      <c r="C10" s="1"/>
      <c r="D10" s="1"/>
      <c r="E10" s="1"/>
      <c r="F10" s="1"/>
      <c r="G10" s="1"/>
      <c r="H10" s="1"/>
      <c r="I10" s="6"/>
      <c r="J10" s="1"/>
    </row>
    <row r="11" ht="15.75" customHeight="1">
      <c r="A11" s="1"/>
      <c r="B11" s="12"/>
      <c r="C11" s="8"/>
      <c r="D11" s="8"/>
      <c r="E11" s="8"/>
      <c r="F11" s="8"/>
      <c r="G11" s="1"/>
      <c r="H11" s="13" t="s">
        <v>2</v>
      </c>
      <c r="I11" s="9"/>
      <c r="J11" s="1"/>
    </row>
    <row r="12" ht="15.75" customHeight="1">
      <c r="A12" s="1"/>
      <c r="B12" s="12"/>
      <c r="C12" s="8"/>
      <c r="D12" s="8"/>
      <c r="E12" s="8"/>
      <c r="F12" s="8"/>
      <c r="G12" s="1"/>
      <c r="H12" s="13" t="s">
        <v>3</v>
      </c>
      <c r="I12" s="9"/>
      <c r="J12" s="1"/>
    </row>
    <row r="13" ht="15.75" customHeight="1">
      <c r="A13" s="1"/>
      <c r="B13" s="12"/>
      <c r="C13" s="8"/>
      <c r="D13" s="8"/>
      <c r="E13" s="8"/>
      <c r="F13" s="8"/>
      <c r="G13" s="1"/>
      <c r="H13" s="14" t="s">
        <v>4</v>
      </c>
      <c r="I13" s="9"/>
      <c r="J13" s="1"/>
    </row>
    <row r="14" ht="15.75" customHeight="1">
      <c r="A14" s="1"/>
      <c r="B14" s="12"/>
      <c r="C14" s="8"/>
      <c r="D14" s="8"/>
      <c r="E14" s="8"/>
      <c r="F14" s="8"/>
      <c r="G14" s="1"/>
      <c r="H14" s="13" t="s">
        <v>5</v>
      </c>
      <c r="I14" s="9"/>
      <c r="J14" s="1"/>
    </row>
    <row r="15" ht="13.5" customHeight="1">
      <c r="A15" s="1"/>
      <c r="B15" s="15"/>
      <c r="C15" s="1"/>
      <c r="D15" s="1"/>
      <c r="E15" s="1"/>
      <c r="F15" s="1"/>
      <c r="G15" s="1"/>
      <c r="H15" s="1"/>
      <c r="I15" s="6"/>
      <c r="J15" s="1"/>
    </row>
    <row r="16" ht="13.5" customHeight="1">
      <c r="A16" s="1"/>
      <c r="B16" s="15"/>
      <c r="C16" s="1"/>
      <c r="D16" s="1"/>
      <c r="E16" s="1"/>
      <c r="F16" s="1"/>
      <c r="G16" s="1"/>
      <c r="H16" s="1"/>
      <c r="I16" s="6"/>
      <c r="J16" s="1"/>
    </row>
    <row r="17" ht="13.5" customHeight="1">
      <c r="A17" s="1"/>
      <c r="B17" s="15"/>
      <c r="C17" s="16"/>
      <c r="D17" s="16"/>
      <c r="E17" s="16"/>
      <c r="F17" s="16"/>
      <c r="G17" s="16"/>
      <c r="H17" s="16"/>
      <c r="I17" s="6"/>
      <c r="J17" s="1"/>
    </row>
    <row r="18" ht="13.5" customHeight="1">
      <c r="A18" s="1"/>
      <c r="B18" s="17"/>
      <c r="C18" s="18" t="s">
        <v>6</v>
      </c>
      <c r="D18" s="18" t="s">
        <v>7</v>
      </c>
      <c r="E18" s="18" t="s">
        <v>8</v>
      </c>
      <c r="F18" s="18" t="s">
        <v>9</v>
      </c>
      <c r="G18" s="18" t="s">
        <v>10</v>
      </c>
      <c r="H18" s="18" t="s">
        <v>11</v>
      </c>
      <c r="I18" s="19"/>
      <c r="J18" s="1"/>
    </row>
    <row r="19" ht="28.5" customHeight="1">
      <c r="A19" s="1"/>
      <c r="B19" s="20"/>
      <c r="C19" s="21" t="s">
        <v>12</v>
      </c>
      <c r="D19" s="22"/>
      <c r="E19" s="22"/>
      <c r="F19" s="22"/>
      <c r="G19" s="23"/>
      <c r="H19" s="24"/>
      <c r="I19" s="19"/>
      <c r="J19" s="1"/>
    </row>
    <row r="20" ht="28.5" customHeight="1">
      <c r="A20" s="1"/>
      <c r="B20" s="20"/>
      <c r="C20" s="21" t="s">
        <v>13</v>
      </c>
      <c r="D20" s="22"/>
      <c r="E20" s="22"/>
      <c r="F20" s="22"/>
      <c r="G20" s="23"/>
      <c r="H20" s="22"/>
      <c r="I20" s="19"/>
      <c r="J20" s="1"/>
    </row>
    <row r="21" ht="28.5" customHeight="1">
      <c r="A21" s="1"/>
      <c r="B21" s="20"/>
      <c r="C21" s="21" t="s">
        <v>14</v>
      </c>
      <c r="D21" s="22"/>
      <c r="E21" s="22"/>
      <c r="F21" s="22"/>
      <c r="G21" s="23"/>
      <c r="H21" s="22" t="s">
        <v>15</v>
      </c>
      <c r="I21" s="19"/>
      <c r="J21" s="1"/>
    </row>
    <row r="22" ht="28.5" customHeight="1">
      <c r="A22" s="1"/>
      <c r="B22" s="20"/>
      <c r="C22" s="21" t="s">
        <v>16</v>
      </c>
      <c r="D22" s="22"/>
      <c r="E22" s="22"/>
      <c r="F22" s="22"/>
      <c r="G22" s="23"/>
      <c r="H22" s="22" t="s">
        <v>15</v>
      </c>
      <c r="I22" s="19"/>
      <c r="J22" s="1"/>
    </row>
    <row r="23" ht="13.5" customHeight="1">
      <c r="A23" s="1"/>
      <c r="B23" s="25"/>
      <c r="C23" s="26"/>
      <c r="D23" s="27"/>
      <c r="E23" s="27"/>
      <c r="F23" s="27"/>
      <c r="G23" s="27"/>
      <c r="H23" s="28"/>
      <c r="I23" s="6"/>
      <c r="J23" s="1"/>
    </row>
    <row r="24" ht="13.5" customHeight="1">
      <c r="A24" s="1"/>
      <c r="B24" s="25"/>
      <c r="C24" s="29"/>
      <c r="D24" s="30"/>
      <c r="E24" s="30"/>
      <c r="F24" s="30"/>
      <c r="G24" s="30"/>
      <c r="H24" s="1"/>
      <c r="I24" s="6"/>
      <c r="J24" s="1"/>
    </row>
    <row r="25" ht="13.5" customHeight="1">
      <c r="A25" s="1"/>
      <c r="B25" s="25"/>
      <c r="C25" s="29"/>
      <c r="D25" s="30"/>
      <c r="E25" s="30"/>
      <c r="F25" s="30"/>
      <c r="G25" s="30"/>
      <c r="H25" s="1"/>
      <c r="I25" s="6"/>
      <c r="J25" s="1"/>
    </row>
    <row r="26" ht="13.5" customHeight="1">
      <c r="A26" s="1"/>
      <c r="B26" s="31"/>
      <c r="C26" s="32"/>
      <c r="D26" s="32"/>
      <c r="E26" s="32"/>
      <c r="F26" s="32"/>
      <c r="G26" s="32"/>
      <c r="H26" s="32"/>
      <c r="I26" s="33"/>
      <c r="J26" s="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
    <mergeCell ref="B13:F13"/>
    <mergeCell ref="B14:F14"/>
    <mergeCell ref="H14:I14"/>
    <mergeCell ref="B5:I5"/>
    <mergeCell ref="B6:I6"/>
    <mergeCell ref="B11:F11"/>
    <mergeCell ref="H11:I11"/>
    <mergeCell ref="B12:F12"/>
    <mergeCell ref="H12:I12"/>
    <mergeCell ref="H13:I13"/>
  </mergeCells>
  <printOptions horizontalCentered="1" verticalCentered="1"/>
  <pageMargins bottom="0.75" footer="0.0" header="0.0" left="0.25" right="0.2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5" width="14.43"/>
    <col customWidth="1" min="6" max="6" width="6.57"/>
    <col customWidth="1" min="9" max="9" width="24.43"/>
  </cols>
  <sheetData>
    <row r="1" ht="15.75" customHeight="1">
      <c r="A1" s="34"/>
      <c r="B1" s="34"/>
      <c r="C1" s="34"/>
      <c r="D1" s="34"/>
      <c r="E1" s="34"/>
      <c r="F1" s="34"/>
      <c r="G1" s="34"/>
      <c r="H1" s="34"/>
      <c r="I1" s="34"/>
      <c r="J1" s="34"/>
      <c r="K1" s="34"/>
      <c r="L1" s="35"/>
      <c r="M1" s="35"/>
      <c r="N1" s="35"/>
      <c r="O1" s="35"/>
      <c r="P1" s="35"/>
      <c r="Q1" s="35"/>
      <c r="R1" s="35"/>
      <c r="S1" s="35"/>
      <c r="T1" s="35"/>
      <c r="U1" s="35"/>
      <c r="V1" s="35"/>
      <c r="W1" s="35"/>
      <c r="X1" s="35"/>
      <c r="Y1" s="35"/>
      <c r="Z1" s="35"/>
    </row>
    <row r="2" ht="15.75" customHeight="1">
      <c r="A2" s="34"/>
      <c r="B2" s="36" t="s">
        <v>17</v>
      </c>
      <c r="C2" s="37"/>
      <c r="D2" s="37"/>
      <c r="E2" s="37"/>
      <c r="F2" s="37"/>
      <c r="G2" s="37"/>
      <c r="H2" s="37"/>
      <c r="I2" s="37"/>
      <c r="J2" s="37"/>
      <c r="K2" s="38"/>
      <c r="L2" s="35"/>
      <c r="M2" s="35"/>
      <c r="N2" s="35"/>
      <c r="O2" s="35"/>
      <c r="P2" s="35"/>
      <c r="Q2" s="35"/>
      <c r="R2" s="35"/>
      <c r="S2" s="35"/>
      <c r="T2" s="35"/>
      <c r="U2" s="35"/>
      <c r="V2" s="35"/>
      <c r="W2" s="35"/>
      <c r="X2" s="35"/>
      <c r="Y2" s="35"/>
      <c r="Z2" s="35"/>
    </row>
    <row r="3" ht="46.5" customHeight="1">
      <c r="A3" s="34"/>
      <c r="B3" s="39" t="s">
        <v>18</v>
      </c>
      <c r="C3" s="40" t="s">
        <v>0</v>
      </c>
      <c r="D3" s="37"/>
      <c r="E3" s="37"/>
      <c r="F3" s="37"/>
      <c r="G3" s="37"/>
      <c r="H3" s="37"/>
      <c r="I3" s="37"/>
      <c r="J3" s="37"/>
      <c r="K3" s="38"/>
      <c r="L3" s="35"/>
      <c r="M3" s="35"/>
      <c r="N3" s="35"/>
      <c r="O3" s="35"/>
      <c r="P3" s="35"/>
      <c r="Q3" s="35"/>
      <c r="R3" s="35"/>
      <c r="S3" s="35"/>
      <c r="T3" s="35"/>
      <c r="U3" s="35"/>
      <c r="V3" s="35"/>
      <c r="W3" s="35"/>
      <c r="X3" s="35"/>
      <c r="Y3" s="35"/>
      <c r="Z3" s="35"/>
    </row>
    <row r="4" ht="15.75" customHeight="1">
      <c r="A4" s="34"/>
      <c r="B4" s="39" t="s">
        <v>19</v>
      </c>
      <c r="C4" s="41" t="s">
        <v>20</v>
      </c>
      <c r="D4" s="39" t="s">
        <v>21</v>
      </c>
      <c r="E4" s="42" t="s">
        <v>22</v>
      </c>
      <c r="F4" s="38"/>
      <c r="G4" s="39" t="s">
        <v>23</v>
      </c>
      <c r="H4" s="43">
        <v>44649.0</v>
      </c>
      <c r="I4" s="39" t="s">
        <v>24</v>
      </c>
      <c r="J4" s="44">
        <v>1.1</v>
      </c>
      <c r="K4" s="38"/>
      <c r="L4" s="35"/>
      <c r="M4" s="35"/>
      <c r="N4" s="35"/>
      <c r="O4" s="35"/>
      <c r="P4" s="35"/>
      <c r="Q4" s="35"/>
      <c r="R4" s="35"/>
      <c r="S4" s="35"/>
      <c r="T4" s="35"/>
      <c r="U4" s="35"/>
      <c r="V4" s="35"/>
      <c r="W4" s="35"/>
      <c r="X4" s="35"/>
      <c r="Y4" s="35"/>
      <c r="Z4" s="35"/>
    </row>
    <row r="5" ht="15.75" customHeight="1">
      <c r="A5" s="34"/>
      <c r="B5" s="34"/>
      <c r="C5" s="45"/>
      <c r="D5" s="45"/>
      <c r="E5" s="45"/>
      <c r="F5" s="45"/>
      <c r="G5" s="45"/>
      <c r="H5" s="45"/>
      <c r="I5" s="45"/>
      <c r="J5" s="45"/>
      <c r="K5" s="34"/>
      <c r="L5" s="35"/>
      <c r="M5" s="35"/>
      <c r="N5" s="35"/>
      <c r="O5" s="35"/>
      <c r="P5" s="35"/>
      <c r="Q5" s="35"/>
      <c r="R5" s="35"/>
      <c r="S5" s="35"/>
      <c r="T5" s="35"/>
      <c r="U5" s="35"/>
      <c r="V5" s="35"/>
      <c r="W5" s="35"/>
      <c r="X5" s="35"/>
      <c r="Y5" s="35"/>
      <c r="Z5" s="35"/>
    </row>
    <row r="6" ht="15.75" customHeight="1">
      <c r="A6" s="46"/>
      <c r="B6" s="47" t="s">
        <v>25</v>
      </c>
      <c r="C6" s="47" t="s">
        <v>26</v>
      </c>
      <c r="D6" s="36" t="s">
        <v>27</v>
      </c>
      <c r="E6" s="37"/>
      <c r="F6" s="38"/>
      <c r="G6" s="36" t="s">
        <v>28</v>
      </c>
      <c r="H6" s="37"/>
      <c r="I6" s="38"/>
      <c r="J6" s="47" t="s">
        <v>29</v>
      </c>
      <c r="K6" s="47" t="s">
        <v>30</v>
      </c>
      <c r="L6" s="48"/>
      <c r="M6" s="48"/>
      <c r="N6" s="48"/>
      <c r="O6" s="48"/>
      <c r="P6" s="48"/>
      <c r="Q6" s="48"/>
      <c r="R6" s="48"/>
      <c r="S6" s="48"/>
      <c r="T6" s="48"/>
      <c r="U6" s="48"/>
      <c r="V6" s="48"/>
      <c r="W6" s="48"/>
      <c r="X6" s="48"/>
      <c r="Y6" s="48"/>
      <c r="Z6" s="48"/>
    </row>
    <row r="7" ht="15.75" customHeight="1">
      <c r="A7" s="49"/>
      <c r="B7" s="50">
        <v>0.1</v>
      </c>
      <c r="C7" s="51">
        <v>44440.0</v>
      </c>
      <c r="D7" s="52" t="s">
        <v>31</v>
      </c>
      <c r="E7" s="37"/>
      <c r="F7" s="38"/>
      <c r="G7" s="53"/>
      <c r="H7" s="37"/>
      <c r="I7" s="38"/>
      <c r="J7" s="54" t="s">
        <v>22</v>
      </c>
      <c r="K7" s="55"/>
      <c r="L7" s="56"/>
      <c r="M7" s="56"/>
      <c r="N7" s="56"/>
      <c r="O7" s="56"/>
      <c r="P7" s="56"/>
      <c r="Q7" s="56"/>
      <c r="R7" s="56"/>
      <c r="S7" s="56"/>
      <c r="T7" s="56"/>
      <c r="U7" s="56"/>
      <c r="V7" s="56"/>
      <c r="W7" s="56"/>
      <c r="X7" s="56"/>
      <c r="Y7" s="56"/>
      <c r="Z7" s="56"/>
    </row>
    <row r="8" ht="15.75" customHeight="1">
      <c r="A8" s="49"/>
      <c r="B8" s="50"/>
      <c r="C8" s="51"/>
      <c r="D8" s="52"/>
      <c r="E8" s="37"/>
      <c r="F8" s="38"/>
      <c r="G8" s="53"/>
      <c r="H8" s="37"/>
      <c r="I8" s="38"/>
      <c r="J8" s="55"/>
      <c r="K8" s="55"/>
      <c r="L8" s="56"/>
      <c r="M8" s="56"/>
      <c r="N8" s="56"/>
      <c r="O8" s="56"/>
      <c r="P8" s="56"/>
      <c r="Q8" s="56"/>
      <c r="R8" s="56"/>
      <c r="S8" s="56"/>
      <c r="T8" s="56"/>
      <c r="U8" s="56"/>
      <c r="V8" s="56"/>
      <c r="W8" s="56"/>
      <c r="X8" s="56"/>
      <c r="Y8" s="56"/>
      <c r="Z8" s="56"/>
    </row>
    <row r="9" ht="15.75" customHeight="1">
      <c r="A9" s="49"/>
      <c r="B9" s="50"/>
      <c r="C9" s="51"/>
      <c r="D9" s="52"/>
      <c r="E9" s="37"/>
      <c r="F9" s="38"/>
      <c r="G9" s="53"/>
      <c r="H9" s="37"/>
      <c r="I9" s="38"/>
      <c r="J9" s="55"/>
      <c r="K9" s="55"/>
      <c r="L9" s="56"/>
      <c r="M9" s="56"/>
      <c r="N9" s="56"/>
      <c r="O9" s="56"/>
      <c r="P9" s="56"/>
      <c r="Q9" s="56"/>
      <c r="R9" s="56"/>
      <c r="S9" s="56"/>
      <c r="T9" s="56"/>
      <c r="U9" s="56"/>
      <c r="V9" s="56"/>
      <c r="W9" s="56"/>
      <c r="X9" s="56"/>
      <c r="Y9" s="56"/>
      <c r="Z9" s="56"/>
    </row>
    <row r="10" ht="15.75" customHeight="1">
      <c r="A10" s="49"/>
      <c r="B10" s="50"/>
      <c r="C10" s="51"/>
      <c r="D10" s="52"/>
      <c r="E10" s="37"/>
      <c r="F10" s="38"/>
      <c r="G10" s="53"/>
      <c r="H10" s="37"/>
      <c r="I10" s="38"/>
      <c r="J10" s="55"/>
      <c r="K10" s="55"/>
      <c r="L10" s="56"/>
      <c r="M10" s="56"/>
      <c r="N10" s="56"/>
      <c r="O10" s="56"/>
      <c r="P10" s="56"/>
      <c r="Q10" s="56"/>
      <c r="R10" s="56"/>
      <c r="S10" s="56"/>
      <c r="T10" s="56"/>
      <c r="U10" s="56"/>
      <c r="V10" s="56"/>
      <c r="W10" s="56"/>
      <c r="X10" s="56"/>
      <c r="Y10" s="56"/>
      <c r="Z10" s="56"/>
    </row>
    <row r="11" ht="15.75" customHeight="1">
      <c r="A11" s="49"/>
      <c r="B11" s="50"/>
      <c r="C11" s="51"/>
      <c r="D11" s="52"/>
      <c r="E11" s="37"/>
      <c r="F11" s="38"/>
      <c r="G11" s="53"/>
      <c r="H11" s="37"/>
      <c r="I11" s="38"/>
      <c r="J11" s="55"/>
      <c r="K11" s="55"/>
      <c r="L11" s="56"/>
      <c r="M11" s="56"/>
      <c r="N11" s="56"/>
      <c r="O11" s="56"/>
      <c r="P11" s="56"/>
      <c r="Q11" s="56"/>
      <c r="R11" s="56"/>
      <c r="S11" s="56"/>
      <c r="T11" s="56"/>
      <c r="U11" s="56"/>
      <c r="V11" s="56"/>
      <c r="W11" s="56"/>
      <c r="X11" s="56"/>
      <c r="Y11" s="56"/>
      <c r="Z11" s="56"/>
    </row>
    <row r="12" ht="15.75" customHeight="1">
      <c r="A12" s="49"/>
      <c r="B12" s="50"/>
      <c r="C12" s="51"/>
      <c r="D12" s="52"/>
      <c r="E12" s="37"/>
      <c r="F12" s="38"/>
      <c r="G12" s="57"/>
      <c r="H12" s="37"/>
      <c r="I12" s="38"/>
      <c r="J12" s="55"/>
      <c r="K12" s="55"/>
      <c r="L12" s="56"/>
      <c r="M12" s="56"/>
      <c r="N12" s="56"/>
      <c r="O12" s="56"/>
      <c r="P12" s="56"/>
      <c r="Q12" s="56"/>
      <c r="R12" s="56"/>
      <c r="S12" s="56"/>
      <c r="T12" s="56"/>
      <c r="U12" s="56"/>
      <c r="V12" s="56"/>
      <c r="W12" s="56"/>
      <c r="X12" s="56"/>
      <c r="Y12" s="56"/>
      <c r="Z12" s="56"/>
    </row>
    <row r="13" ht="15.75" customHeight="1">
      <c r="A13" s="56"/>
      <c r="B13" s="50"/>
      <c r="C13" s="51"/>
      <c r="D13" s="52"/>
      <c r="E13" s="37"/>
      <c r="F13" s="38"/>
      <c r="G13" s="57"/>
      <c r="H13" s="37"/>
      <c r="I13" s="38"/>
      <c r="J13" s="55"/>
      <c r="K13" s="55"/>
      <c r="L13" s="56"/>
      <c r="M13" s="56"/>
      <c r="N13" s="56"/>
      <c r="O13" s="56"/>
      <c r="P13" s="56"/>
      <c r="Q13" s="56"/>
      <c r="R13" s="56"/>
      <c r="S13" s="56"/>
      <c r="T13" s="56"/>
      <c r="U13" s="56"/>
      <c r="V13" s="56"/>
      <c r="W13" s="56"/>
      <c r="X13" s="56"/>
      <c r="Y13" s="56"/>
      <c r="Z13" s="56"/>
    </row>
    <row r="14" ht="15.75" customHeight="1">
      <c r="A14" s="56"/>
      <c r="B14" s="55"/>
      <c r="C14" s="51"/>
      <c r="D14" s="52"/>
      <c r="E14" s="37"/>
      <c r="F14" s="38"/>
      <c r="G14" s="57"/>
      <c r="H14" s="37"/>
      <c r="I14" s="38"/>
      <c r="J14" s="55"/>
      <c r="K14" s="55"/>
      <c r="L14" s="56"/>
      <c r="M14" s="56"/>
      <c r="N14" s="56"/>
      <c r="O14" s="56"/>
      <c r="P14" s="56"/>
      <c r="Q14" s="56"/>
      <c r="R14" s="56"/>
      <c r="S14" s="56"/>
      <c r="T14" s="56"/>
      <c r="U14" s="56"/>
      <c r="V14" s="56"/>
      <c r="W14" s="56"/>
      <c r="X14" s="56"/>
      <c r="Y14" s="56"/>
      <c r="Z14" s="56"/>
    </row>
    <row r="15" ht="15.75" customHeight="1">
      <c r="A15" s="56"/>
      <c r="B15" s="55"/>
      <c r="C15" s="51"/>
      <c r="D15" s="52"/>
      <c r="E15" s="37"/>
      <c r="F15" s="38"/>
      <c r="G15" s="57"/>
      <c r="H15" s="37"/>
      <c r="I15" s="38"/>
      <c r="J15" s="55"/>
      <c r="K15" s="55"/>
      <c r="L15" s="56"/>
      <c r="M15" s="56"/>
      <c r="N15" s="56"/>
      <c r="O15" s="56"/>
      <c r="P15" s="56"/>
      <c r="Q15" s="56"/>
      <c r="R15" s="56"/>
      <c r="S15" s="56"/>
      <c r="T15" s="56"/>
      <c r="U15" s="56"/>
      <c r="V15" s="56"/>
      <c r="W15" s="56"/>
      <c r="X15" s="56"/>
      <c r="Y15" s="56"/>
      <c r="Z15" s="56"/>
    </row>
    <row r="16" ht="15.75" customHeight="1">
      <c r="A16" s="56"/>
      <c r="B16" s="55"/>
      <c r="C16" s="51"/>
      <c r="D16" s="52"/>
      <c r="E16" s="37"/>
      <c r="F16" s="38"/>
      <c r="G16" s="57"/>
      <c r="H16" s="37"/>
      <c r="I16" s="38"/>
      <c r="J16" s="55"/>
      <c r="K16" s="55"/>
      <c r="L16" s="56"/>
      <c r="M16" s="56"/>
      <c r="N16" s="56"/>
      <c r="O16" s="56"/>
      <c r="P16" s="56"/>
      <c r="Q16" s="56"/>
      <c r="R16" s="56"/>
      <c r="S16" s="56"/>
      <c r="T16" s="56"/>
      <c r="U16" s="56"/>
      <c r="V16" s="56"/>
      <c r="W16" s="56"/>
      <c r="X16" s="56"/>
      <c r="Y16" s="56"/>
      <c r="Z16" s="56"/>
    </row>
    <row r="17" ht="15.75" customHeight="1">
      <c r="A17" s="56"/>
      <c r="B17" s="55"/>
      <c r="C17" s="51"/>
      <c r="D17" s="52"/>
      <c r="E17" s="37"/>
      <c r="F17" s="38"/>
      <c r="G17" s="57"/>
      <c r="H17" s="37"/>
      <c r="I17" s="38"/>
      <c r="J17" s="55"/>
      <c r="K17" s="55"/>
      <c r="L17" s="56"/>
      <c r="M17" s="56"/>
      <c r="N17" s="56"/>
      <c r="O17" s="56"/>
      <c r="P17" s="56"/>
      <c r="Q17" s="56"/>
      <c r="R17" s="56"/>
      <c r="S17" s="56"/>
      <c r="T17" s="56"/>
      <c r="U17" s="56"/>
      <c r="V17" s="56"/>
      <c r="W17" s="56"/>
      <c r="X17" s="56"/>
      <c r="Y17" s="56"/>
      <c r="Z17" s="56"/>
    </row>
    <row r="18" ht="15.75" customHeight="1">
      <c r="A18" s="56"/>
      <c r="B18" s="55"/>
      <c r="C18" s="51"/>
      <c r="D18" s="52"/>
      <c r="E18" s="37"/>
      <c r="F18" s="38"/>
      <c r="G18" s="57"/>
      <c r="H18" s="37"/>
      <c r="I18" s="38"/>
      <c r="J18" s="55"/>
      <c r="K18" s="55"/>
      <c r="L18" s="56"/>
      <c r="M18" s="56"/>
      <c r="N18" s="56"/>
      <c r="O18" s="56"/>
      <c r="P18" s="56"/>
      <c r="Q18" s="56"/>
      <c r="R18" s="56"/>
      <c r="S18" s="56"/>
      <c r="T18" s="56"/>
      <c r="U18" s="56"/>
      <c r="V18" s="56"/>
      <c r="W18" s="56"/>
      <c r="X18" s="56"/>
      <c r="Y18" s="56"/>
      <c r="Z18" s="56"/>
    </row>
    <row r="19" ht="15.75" customHeight="1">
      <c r="A19" s="56"/>
      <c r="B19" s="55"/>
      <c r="C19" s="51"/>
      <c r="D19" s="52"/>
      <c r="E19" s="37"/>
      <c r="F19" s="38"/>
      <c r="G19" s="57"/>
      <c r="H19" s="37"/>
      <c r="I19" s="38"/>
      <c r="J19" s="55"/>
      <c r="K19" s="55"/>
      <c r="L19" s="56"/>
      <c r="M19" s="56"/>
      <c r="N19" s="56"/>
      <c r="O19" s="56"/>
      <c r="P19" s="56"/>
      <c r="Q19" s="56"/>
      <c r="R19" s="56"/>
      <c r="S19" s="56"/>
      <c r="T19" s="56"/>
      <c r="U19" s="56"/>
      <c r="V19" s="56"/>
      <c r="W19" s="56"/>
      <c r="X19" s="56"/>
      <c r="Y19" s="56"/>
      <c r="Z19" s="56"/>
    </row>
    <row r="20" ht="15.75" customHeight="1">
      <c r="A20" s="56"/>
      <c r="B20" s="55"/>
      <c r="C20" s="51"/>
      <c r="D20" s="52"/>
      <c r="E20" s="37"/>
      <c r="F20" s="38"/>
      <c r="G20" s="57"/>
      <c r="H20" s="37"/>
      <c r="I20" s="38"/>
      <c r="J20" s="55"/>
      <c r="K20" s="55"/>
      <c r="L20" s="56"/>
      <c r="M20" s="56"/>
      <c r="N20" s="56"/>
      <c r="O20" s="56"/>
      <c r="P20" s="56"/>
      <c r="Q20" s="56"/>
      <c r="R20" s="56"/>
      <c r="S20" s="56"/>
      <c r="T20" s="56"/>
      <c r="U20" s="56"/>
      <c r="V20" s="56"/>
      <c r="W20" s="56"/>
      <c r="X20" s="56"/>
      <c r="Y20" s="56"/>
      <c r="Z20" s="56"/>
    </row>
    <row r="21" ht="15.75" customHeight="1">
      <c r="A21" s="56"/>
      <c r="B21" s="55"/>
      <c r="C21" s="51"/>
      <c r="D21" s="52"/>
      <c r="E21" s="37"/>
      <c r="F21" s="38"/>
      <c r="G21" s="57"/>
      <c r="H21" s="37"/>
      <c r="I21" s="38"/>
      <c r="J21" s="55"/>
      <c r="K21" s="55"/>
      <c r="L21" s="56"/>
      <c r="M21" s="56"/>
      <c r="N21" s="56"/>
      <c r="O21" s="56"/>
      <c r="P21" s="56"/>
      <c r="Q21" s="56"/>
      <c r="R21" s="56"/>
      <c r="S21" s="56"/>
      <c r="T21" s="56"/>
      <c r="U21" s="56"/>
      <c r="V21" s="56"/>
      <c r="W21" s="56"/>
      <c r="X21" s="56"/>
      <c r="Y21" s="56"/>
      <c r="Z21" s="56"/>
    </row>
    <row r="22" ht="15.75" customHeight="1">
      <c r="A22" s="56"/>
      <c r="B22" s="50"/>
      <c r="C22" s="51"/>
      <c r="D22" s="52"/>
      <c r="E22" s="37"/>
      <c r="F22" s="38"/>
      <c r="G22" s="57"/>
      <c r="H22" s="37"/>
      <c r="I22" s="38"/>
      <c r="J22" s="55"/>
      <c r="K22" s="55"/>
      <c r="L22" s="56"/>
      <c r="M22" s="56"/>
      <c r="N22" s="56"/>
      <c r="O22" s="56"/>
      <c r="P22" s="56"/>
      <c r="Q22" s="56"/>
      <c r="R22" s="56"/>
      <c r="S22" s="56"/>
      <c r="T22" s="56"/>
      <c r="U22" s="56"/>
      <c r="V22" s="56"/>
      <c r="W22" s="56"/>
      <c r="X22" s="56"/>
      <c r="Y22" s="56"/>
      <c r="Z22" s="56"/>
    </row>
    <row r="23" ht="15.75" customHeight="1">
      <c r="A23" s="56"/>
      <c r="B23" s="50"/>
      <c r="C23" s="51"/>
      <c r="D23" s="52"/>
      <c r="E23" s="37"/>
      <c r="F23" s="38"/>
      <c r="G23" s="57"/>
      <c r="H23" s="37"/>
      <c r="I23" s="38"/>
      <c r="J23" s="55"/>
      <c r="K23" s="55"/>
      <c r="L23" s="56"/>
      <c r="M23" s="56"/>
      <c r="N23" s="56"/>
      <c r="O23" s="56"/>
      <c r="P23" s="56"/>
      <c r="Q23" s="56"/>
      <c r="R23" s="56"/>
      <c r="S23" s="56"/>
      <c r="T23" s="56"/>
      <c r="U23" s="56"/>
      <c r="V23" s="56"/>
      <c r="W23" s="56"/>
      <c r="X23" s="56"/>
      <c r="Y23" s="56"/>
      <c r="Z23" s="56"/>
    </row>
    <row r="24" ht="15.75" customHeight="1">
      <c r="A24" s="56"/>
      <c r="B24" s="50"/>
      <c r="C24" s="51"/>
      <c r="D24" s="52"/>
      <c r="E24" s="37"/>
      <c r="F24" s="38"/>
      <c r="G24" s="57"/>
      <c r="H24" s="37"/>
      <c r="I24" s="38"/>
      <c r="J24" s="55"/>
      <c r="K24" s="55"/>
      <c r="L24" s="56"/>
      <c r="M24" s="56"/>
      <c r="N24" s="56"/>
      <c r="O24" s="56"/>
      <c r="P24" s="56"/>
      <c r="Q24" s="56"/>
      <c r="R24" s="56"/>
      <c r="S24" s="56"/>
      <c r="T24" s="56"/>
      <c r="U24" s="56"/>
      <c r="V24" s="56"/>
      <c r="W24" s="56"/>
      <c r="X24" s="56"/>
      <c r="Y24" s="56"/>
      <c r="Z24" s="56"/>
    </row>
    <row r="25" ht="15.75" customHeight="1">
      <c r="A25" s="56"/>
      <c r="B25" s="50"/>
      <c r="C25" s="51"/>
      <c r="D25" s="52"/>
      <c r="E25" s="37"/>
      <c r="F25" s="38"/>
      <c r="G25" s="57"/>
      <c r="H25" s="37"/>
      <c r="I25" s="38"/>
      <c r="J25" s="55"/>
      <c r="K25" s="55"/>
      <c r="L25" s="56"/>
      <c r="M25" s="56"/>
      <c r="N25" s="56"/>
      <c r="O25" s="56"/>
      <c r="P25" s="56"/>
      <c r="Q25" s="56"/>
      <c r="R25" s="56"/>
      <c r="S25" s="56"/>
      <c r="T25" s="56"/>
      <c r="U25" s="56"/>
      <c r="V25" s="56"/>
      <c r="W25" s="56"/>
      <c r="X25" s="56"/>
      <c r="Y25" s="56"/>
      <c r="Z25" s="56"/>
    </row>
    <row r="26" ht="15.75" customHeight="1">
      <c r="A26" s="56"/>
      <c r="B26" s="50"/>
      <c r="C26" s="51"/>
      <c r="D26" s="52"/>
      <c r="E26" s="37"/>
      <c r="F26" s="38"/>
      <c r="G26" s="57"/>
      <c r="H26" s="37"/>
      <c r="I26" s="38"/>
      <c r="J26" s="55"/>
      <c r="K26" s="55"/>
      <c r="L26" s="56"/>
      <c r="M26" s="56"/>
      <c r="N26" s="56"/>
      <c r="O26" s="56"/>
      <c r="P26" s="56"/>
      <c r="Q26" s="56"/>
      <c r="R26" s="56"/>
      <c r="S26" s="56"/>
      <c r="T26" s="56"/>
      <c r="U26" s="56"/>
      <c r="V26" s="56"/>
      <c r="W26" s="56"/>
      <c r="X26" s="56"/>
      <c r="Y26" s="56"/>
      <c r="Z26" s="56"/>
    </row>
    <row r="27" ht="15.75" customHeight="1">
      <c r="A27" s="56"/>
      <c r="B27" s="50"/>
      <c r="C27" s="51"/>
      <c r="D27" s="52"/>
      <c r="E27" s="37"/>
      <c r="F27" s="38"/>
      <c r="G27" s="57"/>
      <c r="H27" s="37"/>
      <c r="I27" s="38"/>
      <c r="J27" s="55"/>
      <c r="K27" s="55"/>
      <c r="L27" s="56"/>
      <c r="M27" s="56"/>
      <c r="N27" s="56"/>
      <c r="O27" s="56"/>
      <c r="P27" s="56"/>
      <c r="Q27" s="56"/>
      <c r="R27" s="56"/>
      <c r="S27" s="56"/>
      <c r="T27" s="56"/>
      <c r="U27" s="56"/>
      <c r="V27" s="56"/>
      <c r="W27" s="56"/>
      <c r="X27" s="56"/>
      <c r="Y27" s="56"/>
      <c r="Z27" s="56"/>
    </row>
    <row r="28" ht="15.75" customHeight="1">
      <c r="A28" s="56"/>
      <c r="B28" s="50"/>
      <c r="C28" s="51"/>
      <c r="D28" s="52"/>
      <c r="E28" s="37"/>
      <c r="F28" s="38"/>
      <c r="G28" s="57"/>
      <c r="H28" s="37"/>
      <c r="I28" s="38"/>
      <c r="J28" s="55"/>
      <c r="K28" s="55"/>
      <c r="L28" s="56"/>
      <c r="M28" s="56"/>
      <c r="N28" s="56"/>
      <c r="O28" s="56"/>
      <c r="P28" s="56"/>
      <c r="Q28" s="56"/>
      <c r="R28" s="56"/>
      <c r="S28" s="56"/>
      <c r="T28" s="56"/>
      <c r="U28" s="56"/>
      <c r="V28" s="56"/>
      <c r="W28" s="56"/>
      <c r="X28" s="56"/>
      <c r="Y28" s="56"/>
      <c r="Z28" s="56"/>
    </row>
    <row r="29" ht="15.75" customHeight="1">
      <c r="A29" s="56"/>
      <c r="B29" s="50"/>
      <c r="C29" s="51"/>
      <c r="D29" s="52"/>
      <c r="E29" s="37"/>
      <c r="F29" s="38"/>
      <c r="G29" s="57"/>
      <c r="H29" s="37"/>
      <c r="I29" s="38"/>
      <c r="J29" s="55"/>
      <c r="K29" s="55"/>
      <c r="L29" s="56"/>
      <c r="M29" s="56"/>
      <c r="N29" s="56"/>
      <c r="O29" s="56"/>
      <c r="P29" s="56"/>
      <c r="Q29" s="56"/>
      <c r="R29" s="56"/>
      <c r="S29" s="56"/>
      <c r="T29" s="56"/>
      <c r="U29" s="56"/>
      <c r="V29" s="56"/>
      <c r="W29" s="56"/>
      <c r="X29" s="56"/>
      <c r="Y29" s="56"/>
      <c r="Z29" s="56"/>
    </row>
    <row r="30" ht="15.75" customHeight="1">
      <c r="A30" s="56"/>
      <c r="B30" s="50"/>
      <c r="C30" s="51"/>
      <c r="D30" s="52"/>
      <c r="E30" s="37"/>
      <c r="F30" s="38"/>
      <c r="G30" s="57"/>
      <c r="H30" s="37"/>
      <c r="I30" s="38"/>
      <c r="J30" s="55"/>
      <c r="K30" s="55"/>
      <c r="L30" s="56"/>
      <c r="M30" s="56"/>
      <c r="N30" s="56"/>
      <c r="O30" s="56"/>
      <c r="P30" s="56"/>
      <c r="Q30" s="56"/>
      <c r="R30" s="56"/>
      <c r="S30" s="56"/>
      <c r="T30" s="56"/>
      <c r="U30" s="56"/>
      <c r="V30" s="56"/>
      <c r="W30" s="56"/>
      <c r="X30" s="56"/>
      <c r="Y30" s="56"/>
      <c r="Z30" s="56"/>
    </row>
    <row r="31" ht="15.75" customHeight="1">
      <c r="A31" s="56"/>
      <c r="B31" s="50"/>
      <c r="C31" s="51"/>
      <c r="D31" s="52"/>
      <c r="E31" s="37"/>
      <c r="F31" s="38"/>
      <c r="G31" s="57"/>
      <c r="H31" s="37"/>
      <c r="I31" s="38"/>
      <c r="J31" s="55"/>
      <c r="K31" s="55"/>
      <c r="L31" s="56"/>
      <c r="M31" s="56"/>
      <c r="N31" s="56"/>
      <c r="O31" s="56"/>
      <c r="P31" s="56"/>
      <c r="Q31" s="56"/>
      <c r="R31" s="56"/>
      <c r="S31" s="56"/>
      <c r="T31" s="56"/>
      <c r="U31" s="56"/>
      <c r="V31" s="56"/>
      <c r="W31" s="56"/>
      <c r="X31" s="56"/>
      <c r="Y31" s="56"/>
      <c r="Z31" s="56"/>
    </row>
    <row r="32" ht="15.75" customHeight="1">
      <c r="A32" s="56"/>
      <c r="B32" s="50"/>
      <c r="C32" s="51"/>
      <c r="D32" s="52"/>
      <c r="E32" s="37"/>
      <c r="F32" s="38"/>
      <c r="G32" s="57"/>
      <c r="H32" s="37"/>
      <c r="I32" s="38"/>
      <c r="J32" s="55"/>
      <c r="K32" s="55"/>
      <c r="L32" s="56"/>
      <c r="M32" s="56"/>
      <c r="N32" s="56"/>
      <c r="O32" s="56"/>
      <c r="P32" s="56"/>
      <c r="Q32" s="56"/>
      <c r="R32" s="56"/>
      <c r="S32" s="56"/>
      <c r="T32" s="56"/>
      <c r="U32" s="56"/>
      <c r="V32" s="56"/>
      <c r="W32" s="56"/>
      <c r="X32" s="56"/>
      <c r="Y32" s="56"/>
      <c r="Z32" s="56"/>
    </row>
    <row r="33" ht="15.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G29:I29"/>
    <mergeCell ref="G30:I30"/>
    <mergeCell ref="G22:I22"/>
    <mergeCell ref="G23:I23"/>
    <mergeCell ref="G24:I24"/>
    <mergeCell ref="G25:I25"/>
    <mergeCell ref="G26:I26"/>
    <mergeCell ref="G27:I27"/>
    <mergeCell ref="G28:I28"/>
    <mergeCell ref="B2:K2"/>
    <mergeCell ref="C3:K3"/>
    <mergeCell ref="E4:F4"/>
    <mergeCell ref="J4:K4"/>
    <mergeCell ref="D6:F6"/>
    <mergeCell ref="G6:I6"/>
    <mergeCell ref="G7:I7"/>
    <mergeCell ref="D7:F7"/>
    <mergeCell ref="D8:F8"/>
    <mergeCell ref="G8:I8"/>
    <mergeCell ref="D9:F9"/>
    <mergeCell ref="G9:I9"/>
    <mergeCell ref="D10:F10"/>
    <mergeCell ref="G10:I10"/>
    <mergeCell ref="D11:F11"/>
    <mergeCell ref="G11:I11"/>
    <mergeCell ref="D12:F12"/>
    <mergeCell ref="G12:I12"/>
    <mergeCell ref="D13:F13"/>
    <mergeCell ref="G13:I13"/>
    <mergeCell ref="G14:I14"/>
    <mergeCell ref="D14:F14"/>
    <mergeCell ref="D15:F15"/>
    <mergeCell ref="D16:F16"/>
    <mergeCell ref="D17:F17"/>
    <mergeCell ref="D18:F18"/>
    <mergeCell ref="D19:F19"/>
    <mergeCell ref="D20:F20"/>
    <mergeCell ref="G15:I15"/>
    <mergeCell ref="G16:I16"/>
    <mergeCell ref="G17:I17"/>
    <mergeCell ref="G18:I18"/>
    <mergeCell ref="G19:I19"/>
    <mergeCell ref="G20:I20"/>
    <mergeCell ref="G21:I21"/>
    <mergeCell ref="D28:F28"/>
    <mergeCell ref="D29:F29"/>
    <mergeCell ref="D30:F30"/>
    <mergeCell ref="D31:F31"/>
    <mergeCell ref="G31:I31"/>
    <mergeCell ref="D32:F32"/>
    <mergeCell ref="G32:I32"/>
    <mergeCell ref="D21:F21"/>
    <mergeCell ref="D22:F22"/>
    <mergeCell ref="D23:F23"/>
    <mergeCell ref="D24:F24"/>
    <mergeCell ref="D25:F25"/>
    <mergeCell ref="D26:F26"/>
    <mergeCell ref="D27:F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2.86"/>
    <col customWidth="1" min="3" max="3" width="4.43"/>
    <col customWidth="1" min="4" max="4" width="61.43"/>
    <col customWidth="1" min="5" max="5" width="19.43"/>
    <col customWidth="1" min="6" max="6" width="4.86"/>
    <col customWidth="1" min="7" max="7" width="6.29"/>
    <col customWidth="1" min="8" max="8" width="7.86"/>
    <col customWidth="1" min="9" max="10" width="8.86"/>
    <col customWidth="1" min="11" max="26" width="8.71"/>
  </cols>
  <sheetData>
    <row r="1" ht="21.0" customHeight="1">
      <c r="A1" s="58" t="s">
        <v>32</v>
      </c>
      <c r="B1" s="59" t="s">
        <v>33</v>
      </c>
      <c r="C1" s="60" t="s">
        <v>34</v>
      </c>
      <c r="D1" s="60" t="s">
        <v>35</v>
      </c>
      <c r="E1" s="60" t="s">
        <v>36</v>
      </c>
      <c r="F1" s="60" t="s">
        <v>37</v>
      </c>
      <c r="G1" s="60" t="s">
        <v>38</v>
      </c>
      <c r="H1" s="60" t="s">
        <v>39</v>
      </c>
      <c r="I1" s="61" t="s">
        <v>40</v>
      </c>
      <c r="J1" s="62" t="s">
        <v>41</v>
      </c>
      <c r="K1" s="63"/>
      <c r="L1" s="63"/>
      <c r="M1" s="63"/>
      <c r="N1" s="63"/>
      <c r="O1" s="63"/>
      <c r="P1" s="63"/>
      <c r="Q1" s="63"/>
      <c r="R1" s="63"/>
      <c r="S1" s="63"/>
      <c r="T1" s="63"/>
      <c r="U1" s="63"/>
      <c r="V1" s="63"/>
      <c r="W1" s="63"/>
      <c r="X1" s="63"/>
      <c r="Y1" s="63"/>
      <c r="Z1" s="63"/>
    </row>
    <row r="2" ht="12.0" customHeight="1">
      <c r="A2" s="64" t="s">
        <v>42</v>
      </c>
      <c r="B2" s="65" t="s">
        <v>43</v>
      </c>
      <c r="C2" s="66">
        <v>1.0</v>
      </c>
      <c r="D2" s="67" t="s">
        <v>44</v>
      </c>
      <c r="E2" s="67" t="s">
        <v>45</v>
      </c>
      <c r="F2" s="66" t="s">
        <v>46</v>
      </c>
      <c r="G2" s="66">
        <v>1.0</v>
      </c>
      <c r="H2" s="68"/>
      <c r="I2" s="69">
        <f t="shared" ref="I2:I175" si="1">G2*H2</f>
        <v>0</v>
      </c>
      <c r="J2" s="70"/>
      <c r="K2" s="63"/>
      <c r="L2" s="63"/>
      <c r="M2" s="63"/>
      <c r="N2" s="63"/>
      <c r="O2" s="63"/>
      <c r="P2" s="63"/>
      <c r="Q2" s="63"/>
      <c r="R2" s="63"/>
      <c r="S2" s="63"/>
      <c r="T2" s="63"/>
      <c r="U2" s="63"/>
      <c r="V2" s="63"/>
      <c r="W2" s="63"/>
      <c r="X2" s="63"/>
      <c r="Y2" s="63"/>
      <c r="Z2" s="63"/>
    </row>
    <row r="3" ht="12.0" customHeight="1">
      <c r="A3" s="64"/>
      <c r="B3" s="65"/>
      <c r="C3" s="71">
        <f t="shared" ref="C3:C30" si="2">C2+1</f>
        <v>2</v>
      </c>
      <c r="D3" s="72" t="s">
        <v>47</v>
      </c>
      <c r="E3" s="72" t="s">
        <v>48</v>
      </c>
      <c r="F3" s="71" t="s">
        <v>46</v>
      </c>
      <c r="G3" s="71">
        <v>1.0</v>
      </c>
      <c r="H3" s="73"/>
      <c r="I3" s="74">
        <f t="shared" si="1"/>
        <v>0</v>
      </c>
      <c r="J3" s="75"/>
      <c r="K3" s="63"/>
      <c r="L3" s="63"/>
      <c r="M3" s="63"/>
      <c r="N3" s="63"/>
      <c r="O3" s="63"/>
      <c r="P3" s="63"/>
      <c r="Q3" s="63"/>
      <c r="R3" s="63"/>
      <c r="S3" s="63"/>
      <c r="T3" s="63"/>
      <c r="U3" s="63"/>
      <c r="V3" s="63"/>
      <c r="W3" s="63"/>
      <c r="X3" s="63"/>
      <c r="Y3" s="63"/>
      <c r="Z3" s="63"/>
    </row>
    <row r="4" ht="12.0" customHeight="1">
      <c r="A4" s="64"/>
      <c r="B4" s="65"/>
      <c r="C4" s="71">
        <f t="shared" si="2"/>
        <v>3</v>
      </c>
      <c r="D4" s="72" t="s">
        <v>49</v>
      </c>
      <c r="E4" s="72" t="s">
        <v>50</v>
      </c>
      <c r="F4" s="71" t="s">
        <v>46</v>
      </c>
      <c r="G4" s="71">
        <v>1.0</v>
      </c>
      <c r="H4" s="73"/>
      <c r="I4" s="74">
        <f t="shared" si="1"/>
        <v>0</v>
      </c>
      <c r="J4" s="75"/>
      <c r="K4" s="63"/>
      <c r="L4" s="63"/>
      <c r="M4" s="63"/>
      <c r="N4" s="63"/>
      <c r="O4" s="63"/>
      <c r="P4" s="63"/>
      <c r="Q4" s="63"/>
      <c r="R4" s="63"/>
      <c r="S4" s="63"/>
      <c r="T4" s="63"/>
      <c r="U4" s="63"/>
      <c r="V4" s="63"/>
      <c r="W4" s="63"/>
      <c r="X4" s="63"/>
      <c r="Y4" s="63"/>
      <c r="Z4" s="63"/>
    </row>
    <row r="5" ht="12.0" customHeight="1">
      <c r="A5" s="64"/>
      <c r="B5" s="65"/>
      <c r="C5" s="71">
        <f t="shared" si="2"/>
        <v>4</v>
      </c>
      <c r="D5" s="72" t="s">
        <v>51</v>
      </c>
      <c r="E5" s="72" t="s">
        <v>52</v>
      </c>
      <c r="F5" s="71" t="s">
        <v>53</v>
      </c>
      <c r="G5" s="71">
        <v>1.5</v>
      </c>
      <c r="H5" s="73"/>
      <c r="I5" s="74">
        <f t="shared" si="1"/>
        <v>0</v>
      </c>
      <c r="J5" s="75"/>
      <c r="K5" s="63"/>
      <c r="L5" s="63"/>
      <c r="M5" s="63"/>
      <c r="N5" s="63"/>
      <c r="O5" s="63"/>
      <c r="P5" s="63"/>
      <c r="Q5" s="63"/>
      <c r="R5" s="63"/>
      <c r="S5" s="63"/>
      <c r="T5" s="63"/>
      <c r="U5" s="63"/>
      <c r="V5" s="63"/>
      <c r="W5" s="63"/>
      <c r="X5" s="63"/>
      <c r="Y5" s="63"/>
      <c r="Z5" s="63"/>
    </row>
    <row r="6" ht="12.0" customHeight="1">
      <c r="A6" s="64"/>
      <c r="B6" s="76" t="s">
        <v>54</v>
      </c>
      <c r="C6" s="71">
        <f t="shared" si="2"/>
        <v>5</v>
      </c>
      <c r="D6" s="72" t="s">
        <v>55</v>
      </c>
      <c r="E6" s="72" t="s">
        <v>56</v>
      </c>
      <c r="F6" s="71" t="s">
        <v>53</v>
      </c>
      <c r="G6" s="71">
        <v>1.5</v>
      </c>
      <c r="H6" s="73"/>
      <c r="I6" s="74">
        <f t="shared" si="1"/>
        <v>0</v>
      </c>
      <c r="J6" s="75"/>
      <c r="K6" s="63"/>
      <c r="L6" s="63"/>
      <c r="M6" s="63"/>
      <c r="N6" s="63"/>
      <c r="O6" s="63"/>
      <c r="P6" s="63"/>
      <c r="Q6" s="63"/>
      <c r="R6" s="63"/>
      <c r="S6" s="63"/>
      <c r="T6" s="63"/>
      <c r="U6" s="63"/>
      <c r="V6" s="63"/>
      <c r="W6" s="63"/>
      <c r="X6" s="63"/>
      <c r="Y6" s="63"/>
      <c r="Z6" s="63"/>
    </row>
    <row r="7" ht="12.0" customHeight="1">
      <c r="A7" s="64"/>
      <c r="B7" s="65"/>
      <c r="C7" s="71">
        <f t="shared" si="2"/>
        <v>6</v>
      </c>
      <c r="D7" s="72" t="s">
        <v>57</v>
      </c>
      <c r="E7" s="72" t="s">
        <v>58</v>
      </c>
      <c r="F7" s="71" t="s">
        <v>53</v>
      </c>
      <c r="G7" s="71">
        <v>1.5</v>
      </c>
      <c r="H7" s="73"/>
      <c r="I7" s="74">
        <f t="shared" si="1"/>
        <v>0</v>
      </c>
      <c r="J7" s="75"/>
      <c r="K7" s="63"/>
      <c r="L7" s="63"/>
      <c r="M7" s="63"/>
      <c r="N7" s="63"/>
      <c r="O7" s="63"/>
      <c r="P7" s="63"/>
      <c r="Q7" s="63"/>
      <c r="R7" s="63"/>
      <c r="S7" s="63"/>
      <c r="T7" s="63"/>
      <c r="U7" s="63"/>
      <c r="V7" s="63"/>
      <c r="W7" s="63"/>
      <c r="X7" s="63"/>
      <c r="Y7" s="63"/>
      <c r="Z7" s="63"/>
    </row>
    <row r="8" ht="12.0" customHeight="1">
      <c r="A8" s="64"/>
      <c r="B8" s="65"/>
      <c r="C8" s="71">
        <f t="shared" si="2"/>
        <v>7</v>
      </c>
      <c r="D8" s="72" t="s">
        <v>59</v>
      </c>
      <c r="E8" s="72" t="s">
        <v>60</v>
      </c>
      <c r="F8" s="71" t="s">
        <v>53</v>
      </c>
      <c r="G8" s="71">
        <v>1.5</v>
      </c>
      <c r="H8" s="73"/>
      <c r="I8" s="74">
        <f t="shared" si="1"/>
        <v>0</v>
      </c>
      <c r="J8" s="75"/>
      <c r="K8" s="63"/>
      <c r="L8" s="63"/>
      <c r="M8" s="63"/>
      <c r="N8" s="63"/>
      <c r="O8" s="63"/>
      <c r="P8" s="63"/>
      <c r="Q8" s="63"/>
      <c r="R8" s="63"/>
      <c r="S8" s="63"/>
      <c r="T8" s="63"/>
      <c r="U8" s="63"/>
      <c r="V8" s="63"/>
      <c r="W8" s="63"/>
      <c r="X8" s="63"/>
      <c r="Y8" s="63"/>
      <c r="Z8" s="63"/>
    </row>
    <row r="9" ht="12.0" customHeight="1">
      <c r="A9" s="64"/>
      <c r="B9" s="65"/>
      <c r="C9" s="71">
        <f t="shared" si="2"/>
        <v>8</v>
      </c>
      <c r="D9" s="72" t="s">
        <v>61</v>
      </c>
      <c r="E9" s="72" t="s">
        <v>58</v>
      </c>
      <c r="F9" s="71" t="s">
        <v>53</v>
      </c>
      <c r="G9" s="71">
        <v>1.5</v>
      </c>
      <c r="H9" s="73"/>
      <c r="I9" s="74">
        <f t="shared" si="1"/>
        <v>0</v>
      </c>
      <c r="J9" s="75"/>
      <c r="K9" s="63"/>
      <c r="L9" s="63"/>
      <c r="M9" s="63"/>
      <c r="N9" s="63"/>
      <c r="O9" s="63"/>
      <c r="P9" s="63"/>
      <c r="Q9" s="63"/>
      <c r="R9" s="63"/>
      <c r="S9" s="63"/>
      <c r="T9" s="63"/>
      <c r="U9" s="63"/>
      <c r="V9" s="63"/>
      <c r="W9" s="63"/>
      <c r="X9" s="63"/>
      <c r="Y9" s="63"/>
      <c r="Z9" s="63"/>
    </row>
    <row r="10" ht="12.0" customHeight="1">
      <c r="A10" s="64"/>
      <c r="B10" s="65"/>
      <c r="C10" s="71">
        <f t="shared" si="2"/>
        <v>9</v>
      </c>
      <c r="D10" s="72" t="s">
        <v>62</v>
      </c>
      <c r="E10" s="72" t="s">
        <v>63</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64"/>
      <c r="B11" s="65"/>
      <c r="C11" s="71">
        <f t="shared" si="2"/>
        <v>10</v>
      </c>
      <c r="D11" s="72" t="s">
        <v>64</v>
      </c>
      <c r="E11" s="72" t="s">
        <v>58</v>
      </c>
      <c r="F11" s="71" t="s">
        <v>53</v>
      </c>
      <c r="G11" s="71">
        <v>1.5</v>
      </c>
      <c r="H11" s="73"/>
      <c r="I11" s="74">
        <f t="shared" si="1"/>
        <v>0</v>
      </c>
      <c r="J11" s="75"/>
      <c r="K11" s="63"/>
      <c r="L11" s="63"/>
      <c r="M11" s="63"/>
      <c r="N11" s="63"/>
      <c r="O11" s="63"/>
      <c r="P11" s="63"/>
      <c r="Q11" s="63"/>
      <c r="R11" s="63"/>
      <c r="S11" s="63"/>
      <c r="T11" s="63"/>
      <c r="U11" s="63"/>
      <c r="V11" s="63"/>
      <c r="W11" s="63"/>
      <c r="X11" s="63"/>
      <c r="Y11" s="63"/>
      <c r="Z11" s="63"/>
    </row>
    <row r="12" ht="12.0" customHeight="1">
      <c r="A12" s="64"/>
      <c r="B12" s="77"/>
      <c r="C12" s="71">
        <f t="shared" si="2"/>
        <v>11</v>
      </c>
      <c r="D12" s="72" t="s">
        <v>65</v>
      </c>
      <c r="E12" s="72" t="s">
        <v>58</v>
      </c>
      <c r="F12" s="71" t="s">
        <v>53</v>
      </c>
      <c r="G12" s="71">
        <v>1.5</v>
      </c>
      <c r="H12" s="73"/>
      <c r="I12" s="74">
        <f t="shared" si="1"/>
        <v>0</v>
      </c>
      <c r="J12" s="75"/>
      <c r="K12" s="63"/>
      <c r="L12" s="63"/>
      <c r="M12" s="63"/>
      <c r="N12" s="63"/>
      <c r="O12" s="63"/>
      <c r="P12" s="63"/>
      <c r="Q12" s="63"/>
      <c r="R12" s="63"/>
      <c r="S12" s="63"/>
      <c r="T12" s="63"/>
      <c r="U12" s="63"/>
      <c r="V12" s="63"/>
      <c r="W12" s="63"/>
      <c r="X12" s="63"/>
      <c r="Y12" s="63"/>
      <c r="Z12" s="63"/>
    </row>
    <row r="13" ht="12.0" customHeight="1">
      <c r="A13" s="64"/>
      <c r="B13" s="65" t="s">
        <v>66</v>
      </c>
      <c r="C13" s="71">
        <f t="shared" si="2"/>
        <v>12</v>
      </c>
      <c r="D13" s="72" t="s">
        <v>67</v>
      </c>
      <c r="E13" s="72" t="s">
        <v>68</v>
      </c>
      <c r="F13" s="71" t="s">
        <v>69</v>
      </c>
      <c r="G13" s="71">
        <v>1.2</v>
      </c>
      <c r="H13" s="73"/>
      <c r="I13" s="74">
        <f t="shared" si="1"/>
        <v>0</v>
      </c>
      <c r="J13" s="75"/>
      <c r="K13" s="63"/>
      <c r="L13" s="63"/>
      <c r="M13" s="63"/>
      <c r="N13" s="63"/>
      <c r="O13" s="63"/>
      <c r="P13" s="63"/>
      <c r="Q13" s="63"/>
      <c r="R13" s="63"/>
      <c r="S13" s="63"/>
      <c r="T13" s="63"/>
      <c r="U13" s="63"/>
      <c r="V13" s="63"/>
      <c r="W13" s="63"/>
      <c r="X13" s="63"/>
      <c r="Y13" s="63"/>
      <c r="Z13" s="63"/>
    </row>
    <row r="14" ht="12.0" customHeight="1">
      <c r="A14" s="64"/>
      <c r="B14" s="65"/>
      <c r="C14" s="71">
        <f t="shared" si="2"/>
        <v>13</v>
      </c>
      <c r="D14" s="72" t="s">
        <v>70</v>
      </c>
      <c r="E14" s="72" t="s">
        <v>58</v>
      </c>
      <c r="F14" s="71" t="s">
        <v>46</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64"/>
      <c r="B15" s="65"/>
      <c r="C15" s="71">
        <f t="shared" si="2"/>
        <v>14</v>
      </c>
      <c r="D15" s="72" t="s">
        <v>71</v>
      </c>
      <c r="E15" s="72" t="s">
        <v>72</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64"/>
      <c r="B16" s="65"/>
      <c r="C16" s="71">
        <f t="shared" si="2"/>
        <v>15</v>
      </c>
      <c r="D16" s="72" t="s">
        <v>73</v>
      </c>
      <c r="E16" s="72" t="s">
        <v>74</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64"/>
      <c r="B17" s="65"/>
      <c r="C17" s="71">
        <f t="shared" si="2"/>
        <v>16</v>
      </c>
      <c r="D17" s="72" t="s">
        <v>75</v>
      </c>
      <c r="E17" s="72" t="s">
        <v>58</v>
      </c>
      <c r="F17" s="71" t="s">
        <v>53</v>
      </c>
      <c r="G17" s="71">
        <v>1.5</v>
      </c>
      <c r="H17" s="73"/>
      <c r="I17" s="74">
        <f t="shared" si="1"/>
        <v>0</v>
      </c>
      <c r="J17" s="75"/>
      <c r="K17" s="63"/>
      <c r="L17" s="63"/>
      <c r="M17" s="63"/>
      <c r="N17" s="63"/>
      <c r="O17" s="63"/>
      <c r="P17" s="63"/>
      <c r="Q17" s="63"/>
      <c r="R17" s="63"/>
      <c r="S17" s="63"/>
      <c r="T17" s="63"/>
      <c r="U17" s="63"/>
      <c r="V17" s="63"/>
      <c r="W17" s="63"/>
      <c r="X17" s="63"/>
      <c r="Y17" s="63"/>
      <c r="Z17" s="63"/>
    </row>
    <row r="18" ht="12.0" customHeight="1">
      <c r="A18" s="64"/>
      <c r="B18" s="65"/>
      <c r="C18" s="71">
        <f t="shared" si="2"/>
        <v>17</v>
      </c>
      <c r="D18" s="72" t="s">
        <v>76</v>
      </c>
      <c r="E18" s="72" t="s">
        <v>77</v>
      </c>
      <c r="F18" s="71" t="s">
        <v>53</v>
      </c>
      <c r="G18" s="71">
        <v>1.5</v>
      </c>
      <c r="H18" s="73"/>
      <c r="I18" s="74">
        <f t="shared" si="1"/>
        <v>0</v>
      </c>
      <c r="J18" s="75"/>
      <c r="K18" s="63"/>
      <c r="L18" s="63"/>
      <c r="M18" s="63"/>
      <c r="N18" s="63"/>
      <c r="O18" s="63"/>
      <c r="P18" s="63"/>
      <c r="Q18" s="63"/>
      <c r="R18" s="63"/>
      <c r="S18" s="63"/>
      <c r="T18" s="63"/>
      <c r="U18" s="63"/>
      <c r="V18" s="63"/>
      <c r="W18" s="63"/>
      <c r="X18" s="63"/>
      <c r="Y18" s="63"/>
      <c r="Z18" s="63"/>
    </row>
    <row r="19" ht="12.0" customHeight="1">
      <c r="A19" s="64"/>
      <c r="B19" s="65"/>
      <c r="C19" s="71">
        <f t="shared" si="2"/>
        <v>18</v>
      </c>
      <c r="D19" s="72" t="s">
        <v>78</v>
      </c>
      <c r="E19" s="72" t="s">
        <v>56</v>
      </c>
      <c r="F19" s="71" t="s">
        <v>53</v>
      </c>
      <c r="G19" s="71">
        <v>1.5</v>
      </c>
      <c r="H19" s="73"/>
      <c r="I19" s="74">
        <f t="shared" si="1"/>
        <v>0</v>
      </c>
      <c r="J19" s="75"/>
      <c r="K19" s="63"/>
      <c r="L19" s="63"/>
      <c r="M19" s="63"/>
      <c r="N19" s="63"/>
      <c r="O19" s="63"/>
      <c r="P19" s="63"/>
      <c r="Q19" s="63"/>
      <c r="R19" s="63"/>
      <c r="S19" s="63"/>
      <c r="T19" s="63"/>
      <c r="U19" s="63"/>
      <c r="V19" s="63"/>
      <c r="W19" s="63"/>
      <c r="X19" s="63"/>
      <c r="Y19" s="63"/>
      <c r="Z19" s="63"/>
    </row>
    <row r="20" ht="12.0" customHeight="1">
      <c r="A20" s="64"/>
      <c r="B20" s="65"/>
      <c r="C20" s="71">
        <f t="shared" si="2"/>
        <v>19</v>
      </c>
      <c r="D20" s="72" t="s">
        <v>79</v>
      </c>
      <c r="E20" s="72" t="s">
        <v>80</v>
      </c>
      <c r="F20" s="71" t="s">
        <v>53</v>
      </c>
      <c r="G20" s="71">
        <v>1.5</v>
      </c>
      <c r="H20" s="73"/>
      <c r="I20" s="74">
        <f t="shared" si="1"/>
        <v>0</v>
      </c>
      <c r="J20" s="75"/>
      <c r="K20" s="63"/>
      <c r="L20" s="63"/>
      <c r="M20" s="63"/>
      <c r="N20" s="63"/>
      <c r="O20" s="63"/>
      <c r="P20" s="63"/>
      <c r="Q20" s="63"/>
      <c r="R20" s="63"/>
      <c r="S20" s="63"/>
      <c r="T20" s="63"/>
      <c r="U20" s="63"/>
      <c r="V20" s="63"/>
      <c r="W20" s="63"/>
      <c r="X20" s="63"/>
      <c r="Y20" s="63"/>
      <c r="Z20" s="63"/>
    </row>
    <row r="21" ht="12.0" customHeight="1">
      <c r="A21" s="64"/>
      <c r="B21" s="65"/>
      <c r="C21" s="71">
        <f t="shared" si="2"/>
        <v>20</v>
      </c>
      <c r="D21" s="72" t="s">
        <v>81</v>
      </c>
      <c r="E21" s="72" t="s">
        <v>82</v>
      </c>
      <c r="F21" s="71" t="s">
        <v>53</v>
      </c>
      <c r="G21" s="71">
        <v>1.5</v>
      </c>
      <c r="H21" s="73"/>
      <c r="I21" s="74">
        <f t="shared" si="1"/>
        <v>0</v>
      </c>
      <c r="J21" s="75"/>
      <c r="K21" s="63"/>
      <c r="L21" s="63"/>
      <c r="M21" s="63"/>
      <c r="N21" s="63"/>
      <c r="O21" s="63"/>
      <c r="P21" s="63"/>
      <c r="Q21" s="63"/>
      <c r="R21" s="63"/>
      <c r="S21" s="63"/>
      <c r="T21" s="63"/>
      <c r="U21" s="63"/>
      <c r="V21" s="63"/>
      <c r="W21" s="63"/>
      <c r="X21" s="63"/>
      <c r="Y21" s="63"/>
      <c r="Z21" s="63"/>
    </row>
    <row r="22" ht="12.0" customHeight="1">
      <c r="A22" s="64"/>
      <c r="B22" s="65"/>
      <c r="C22" s="71">
        <f t="shared" si="2"/>
        <v>21</v>
      </c>
      <c r="D22" s="72" t="s">
        <v>83</v>
      </c>
      <c r="E22" s="72" t="s">
        <v>58</v>
      </c>
      <c r="F22" s="71" t="s">
        <v>53</v>
      </c>
      <c r="G22" s="71">
        <v>1.5</v>
      </c>
      <c r="H22" s="73"/>
      <c r="I22" s="74">
        <f t="shared" si="1"/>
        <v>0</v>
      </c>
      <c r="J22" s="75"/>
      <c r="K22" s="63"/>
      <c r="L22" s="63"/>
      <c r="M22" s="63"/>
      <c r="N22" s="63"/>
      <c r="O22" s="63"/>
      <c r="P22" s="63"/>
      <c r="Q22" s="63"/>
      <c r="R22" s="63"/>
      <c r="S22" s="63"/>
      <c r="T22" s="63"/>
      <c r="U22" s="63"/>
      <c r="V22" s="63"/>
      <c r="W22" s="63"/>
      <c r="X22" s="63"/>
      <c r="Y22" s="63"/>
      <c r="Z22" s="63"/>
    </row>
    <row r="23" ht="12.0" customHeight="1">
      <c r="A23" s="64"/>
      <c r="B23" s="65"/>
      <c r="C23" s="71">
        <f t="shared" si="2"/>
        <v>22</v>
      </c>
      <c r="D23" s="72" t="s">
        <v>84</v>
      </c>
      <c r="E23" s="72" t="s">
        <v>85</v>
      </c>
      <c r="F23" s="71" t="s">
        <v>53</v>
      </c>
      <c r="G23" s="71">
        <v>1.5</v>
      </c>
      <c r="H23" s="73"/>
      <c r="I23" s="74">
        <f t="shared" si="1"/>
        <v>0</v>
      </c>
      <c r="J23" s="75"/>
      <c r="K23" s="63"/>
      <c r="L23" s="63"/>
      <c r="M23" s="63"/>
      <c r="N23" s="63"/>
      <c r="O23" s="63"/>
      <c r="P23" s="63"/>
      <c r="Q23" s="63"/>
      <c r="R23" s="63"/>
      <c r="S23" s="63"/>
      <c r="T23" s="63"/>
      <c r="U23" s="63"/>
      <c r="V23" s="63"/>
      <c r="W23" s="63"/>
      <c r="X23" s="63"/>
      <c r="Y23" s="63"/>
      <c r="Z23" s="63"/>
    </row>
    <row r="24" ht="12.0" customHeight="1">
      <c r="A24" s="64"/>
      <c r="B24" s="65"/>
      <c r="C24" s="71">
        <f t="shared" si="2"/>
        <v>23</v>
      </c>
      <c r="D24" s="72" t="s">
        <v>86</v>
      </c>
      <c r="E24" s="72" t="s">
        <v>87</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64"/>
      <c r="B25" s="65"/>
      <c r="C25" s="71">
        <f t="shared" si="2"/>
        <v>24</v>
      </c>
      <c r="D25" s="72" t="s">
        <v>88</v>
      </c>
      <c r="E25" s="72" t="s">
        <v>58</v>
      </c>
      <c r="F25" s="71" t="s">
        <v>53</v>
      </c>
      <c r="G25" s="71">
        <v>1.5</v>
      </c>
      <c r="H25" s="73"/>
      <c r="I25" s="74">
        <f t="shared" si="1"/>
        <v>0</v>
      </c>
      <c r="J25" s="75"/>
      <c r="K25" s="63"/>
      <c r="L25" s="63"/>
      <c r="M25" s="63"/>
      <c r="N25" s="63"/>
      <c r="O25" s="63"/>
      <c r="P25" s="63"/>
      <c r="Q25" s="63"/>
      <c r="R25" s="63"/>
      <c r="S25" s="63"/>
      <c r="T25" s="63"/>
      <c r="U25" s="63"/>
      <c r="V25" s="63"/>
      <c r="W25" s="63"/>
      <c r="X25" s="63"/>
      <c r="Y25" s="63"/>
      <c r="Z25" s="63"/>
    </row>
    <row r="26" ht="12.0" customHeight="1">
      <c r="A26" s="64"/>
      <c r="B26" s="76" t="s">
        <v>89</v>
      </c>
      <c r="C26" s="71">
        <f t="shared" si="2"/>
        <v>25</v>
      </c>
      <c r="D26" s="72" t="s">
        <v>90</v>
      </c>
      <c r="E26" s="72" t="s">
        <v>91</v>
      </c>
      <c r="F26" s="71" t="s">
        <v>53</v>
      </c>
      <c r="G26" s="71">
        <v>1.5</v>
      </c>
      <c r="H26" s="73"/>
      <c r="I26" s="74">
        <f t="shared" si="1"/>
        <v>0</v>
      </c>
      <c r="J26" s="75"/>
      <c r="K26" s="63"/>
      <c r="L26" s="63"/>
      <c r="M26" s="63"/>
      <c r="N26" s="63"/>
      <c r="O26" s="63"/>
      <c r="P26" s="63"/>
      <c r="Q26" s="63"/>
      <c r="R26" s="63"/>
      <c r="S26" s="63"/>
      <c r="T26" s="63"/>
      <c r="U26" s="63"/>
      <c r="V26" s="63"/>
      <c r="W26" s="63"/>
      <c r="X26" s="63"/>
      <c r="Y26" s="63"/>
      <c r="Z26" s="63"/>
    </row>
    <row r="27" ht="12.0" customHeight="1">
      <c r="A27" s="64"/>
      <c r="B27" s="77"/>
      <c r="C27" s="71">
        <f t="shared" si="2"/>
        <v>26</v>
      </c>
      <c r="D27" s="72" t="s">
        <v>92</v>
      </c>
      <c r="E27" s="72" t="s">
        <v>91</v>
      </c>
      <c r="F27" s="71" t="s">
        <v>53</v>
      </c>
      <c r="G27" s="71">
        <v>1.5</v>
      </c>
      <c r="H27" s="73"/>
      <c r="I27" s="74">
        <f t="shared" si="1"/>
        <v>0</v>
      </c>
      <c r="J27" s="75"/>
      <c r="K27" s="63"/>
      <c r="L27" s="63"/>
      <c r="M27" s="63"/>
      <c r="N27" s="63"/>
      <c r="O27" s="63"/>
      <c r="P27" s="63"/>
      <c r="Q27" s="63"/>
      <c r="R27" s="63"/>
      <c r="S27" s="63"/>
      <c r="T27" s="63"/>
      <c r="U27" s="63"/>
      <c r="V27" s="63"/>
      <c r="W27" s="63"/>
      <c r="X27" s="63"/>
      <c r="Y27" s="63"/>
      <c r="Z27" s="63"/>
    </row>
    <row r="28" ht="12.0" customHeight="1">
      <c r="A28" s="64"/>
      <c r="B28" s="65" t="s">
        <v>93</v>
      </c>
      <c r="C28" s="71">
        <f t="shared" si="2"/>
        <v>27</v>
      </c>
      <c r="D28" s="72" t="s">
        <v>94</v>
      </c>
      <c r="E28" s="72" t="s">
        <v>95</v>
      </c>
      <c r="F28" s="71" t="s">
        <v>69</v>
      </c>
      <c r="G28" s="71">
        <v>1.2</v>
      </c>
      <c r="H28" s="73"/>
      <c r="I28" s="74">
        <f t="shared" si="1"/>
        <v>0</v>
      </c>
      <c r="J28" s="75"/>
      <c r="K28" s="63"/>
      <c r="L28" s="63"/>
      <c r="M28" s="63"/>
      <c r="N28" s="63"/>
      <c r="O28" s="63"/>
      <c r="P28" s="63"/>
      <c r="Q28" s="63"/>
      <c r="R28" s="63"/>
      <c r="S28" s="63"/>
      <c r="T28" s="63"/>
      <c r="U28" s="63"/>
      <c r="V28" s="63"/>
      <c r="W28" s="63"/>
      <c r="X28" s="63"/>
      <c r="Y28" s="63"/>
      <c r="Z28" s="63"/>
    </row>
    <row r="29" ht="12.0" customHeight="1">
      <c r="A29" s="64"/>
      <c r="B29" s="72" t="s">
        <v>96</v>
      </c>
      <c r="C29" s="71">
        <f t="shared" si="2"/>
        <v>28</v>
      </c>
      <c r="D29" s="72" t="s">
        <v>97</v>
      </c>
      <c r="E29" s="72" t="s">
        <v>98</v>
      </c>
      <c r="F29" s="71" t="s">
        <v>53</v>
      </c>
      <c r="G29" s="71">
        <v>1.5</v>
      </c>
      <c r="H29" s="73"/>
      <c r="I29" s="74">
        <f t="shared" si="1"/>
        <v>0</v>
      </c>
      <c r="J29" s="75"/>
      <c r="K29" s="63"/>
      <c r="L29" s="63"/>
      <c r="M29" s="63"/>
      <c r="N29" s="63"/>
      <c r="O29" s="63"/>
      <c r="P29" s="63"/>
      <c r="Q29" s="63"/>
      <c r="R29" s="63"/>
      <c r="S29" s="63"/>
      <c r="T29" s="63"/>
      <c r="U29" s="63"/>
      <c r="V29" s="63"/>
      <c r="W29" s="63"/>
      <c r="X29" s="63"/>
      <c r="Y29" s="63"/>
      <c r="Z29" s="63"/>
    </row>
    <row r="30" ht="12.0" customHeight="1">
      <c r="A30" s="78"/>
      <c r="B30" s="79" t="s">
        <v>99</v>
      </c>
      <c r="C30" s="80">
        <f t="shared" si="2"/>
        <v>29</v>
      </c>
      <c r="D30" s="79" t="s">
        <v>100</v>
      </c>
      <c r="E30" s="79" t="s">
        <v>101</v>
      </c>
      <c r="F30" s="80" t="s">
        <v>46</v>
      </c>
      <c r="G30" s="80">
        <v>1.0</v>
      </c>
      <c r="H30" s="81"/>
      <c r="I30" s="82">
        <f t="shared" si="1"/>
        <v>0</v>
      </c>
      <c r="J30" s="83"/>
      <c r="K30" s="63"/>
      <c r="L30" s="63"/>
      <c r="M30" s="63"/>
      <c r="N30" s="63"/>
      <c r="O30" s="63"/>
      <c r="P30" s="63"/>
      <c r="Q30" s="63"/>
      <c r="R30" s="63"/>
      <c r="S30" s="63"/>
      <c r="T30" s="63"/>
      <c r="U30" s="63"/>
      <c r="V30" s="63"/>
      <c r="W30" s="63"/>
      <c r="X30" s="63"/>
      <c r="Y30" s="63"/>
      <c r="Z30" s="63"/>
    </row>
    <row r="31" ht="12.0" customHeight="1">
      <c r="A31" s="64" t="s">
        <v>102</v>
      </c>
      <c r="B31" s="65" t="s">
        <v>103</v>
      </c>
      <c r="C31" s="84">
        <v>1.0</v>
      </c>
      <c r="D31" s="77" t="s">
        <v>104</v>
      </c>
      <c r="E31" s="77" t="s">
        <v>105</v>
      </c>
      <c r="F31" s="84" t="s">
        <v>53</v>
      </c>
      <c r="G31" s="84">
        <v>1.5</v>
      </c>
      <c r="H31" s="85"/>
      <c r="I31" s="86">
        <f t="shared" si="1"/>
        <v>0</v>
      </c>
      <c r="J31" s="87"/>
      <c r="K31" s="63"/>
      <c r="L31" s="63"/>
      <c r="M31" s="63"/>
      <c r="N31" s="63"/>
      <c r="O31" s="63"/>
      <c r="P31" s="63"/>
      <c r="Q31" s="63"/>
      <c r="R31" s="63"/>
      <c r="S31" s="63"/>
      <c r="T31" s="63"/>
      <c r="U31" s="63"/>
      <c r="V31" s="63"/>
      <c r="W31" s="63"/>
      <c r="X31" s="63"/>
      <c r="Y31" s="63"/>
      <c r="Z31" s="63"/>
    </row>
    <row r="32" ht="12.0" customHeight="1">
      <c r="A32" s="64"/>
      <c r="B32" s="65"/>
      <c r="C32" s="71">
        <f t="shared" ref="C32:C49" si="3">C31+1</f>
        <v>2</v>
      </c>
      <c r="D32" s="72" t="s">
        <v>106</v>
      </c>
      <c r="E32" s="72" t="s">
        <v>107</v>
      </c>
      <c r="F32" s="71" t="s">
        <v>53</v>
      </c>
      <c r="G32" s="71">
        <v>1.5</v>
      </c>
      <c r="H32" s="73"/>
      <c r="I32" s="74">
        <f t="shared" si="1"/>
        <v>0</v>
      </c>
      <c r="J32" s="75"/>
      <c r="K32" s="63"/>
      <c r="L32" s="63"/>
      <c r="M32" s="63"/>
      <c r="N32" s="63"/>
      <c r="O32" s="63"/>
      <c r="P32" s="63"/>
      <c r="Q32" s="63"/>
      <c r="R32" s="63"/>
      <c r="S32" s="63"/>
      <c r="T32" s="63"/>
      <c r="U32" s="63"/>
      <c r="V32" s="63"/>
      <c r="W32" s="63"/>
      <c r="X32" s="63"/>
      <c r="Y32" s="63"/>
      <c r="Z32" s="63"/>
    </row>
    <row r="33" ht="12.0" customHeight="1">
      <c r="A33" s="64"/>
      <c r="B33" s="65"/>
      <c r="C33" s="71">
        <f t="shared" si="3"/>
        <v>3</v>
      </c>
      <c r="D33" s="72" t="s">
        <v>108</v>
      </c>
      <c r="E33" s="72" t="s">
        <v>109</v>
      </c>
      <c r="F33" s="71" t="s">
        <v>53</v>
      </c>
      <c r="G33" s="71">
        <v>1.5</v>
      </c>
      <c r="H33" s="73"/>
      <c r="I33" s="74">
        <f t="shared" si="1"/>
        <v>0</v>
      </c>
      <c r="J33" s="75"/>
      <c r="K33" s="63"/>
      <c r="L33" s="63"/>
      <c r="M33" s="63"/>
      <c r="N33" s="63"/>
      <c r="O33" s="63"/>
      <c r="P33" s="63"/>
      <c r="Q33" s="63"/>
      <c r="R33" s="63"/>
      <c r="S33" s="63"/>
      <c r="T33" s="63"/>
      <c r="U33" s="63"/>
      <c r="V33" s="63"/>
      <c r="W33" s="63"/>
      <c r="X33" s="63"/>
      <c r="Y33" s="63"/>
      <c r="Z33" s="63"/>
    </row>
    <row r="34" ht="12.0" customHeight="1">
      <c r="A34" s="64"/>
      <c r="B34" s="65"/>
      <c r="C34" s="71">
        <f t="shared" si="3"/>
        <v>4</v>
      </c>
      <c r="D34" s="72" t="s">
        <v>110</v>
      </c>
      <c r="E34" s="72" t="s">
        <v>109</v>
      </c>
      <c r="F34" s="71" t="s">
        <v>53</v>
      </c>
      <c r="G34" s="71">
        <v>1.5</v>
      </c>
      <c r="H34" s="73"/>
      <c r="I34" s="74">
        <f t="shared" si="1"/>
        <v>0</v>
      </c>
      <c r="J34" s="75"/>
      <c r="K34" s="63"/>
      <c r="L34" s="63"/>
      <c r="M34" s="63"/>
      <c r="N34" s="63"/>
      <c r="O34" s="63"/>
      <c r="P34" s="63"/>
      <c r="Q34" s="63"/>
      <c r="R34" s="63"/>
      <c r="S34" s="63"/>
      <c r="T34" s="63"/>
      <c r="U34" s="63"/>
      <c r="V34" s="63"/>
      <c r="W34" s="63"/>
      <c r="X34" s="63"/>
      <c r="Y34" s="63"/>
      <c r="Z34" s="63"/>
    </row>
    <row r="35" ht="12.0" customHeight="1">
      <c r="A35" s="64"/>
      <c r="B35" s="65"/>
      <c r="C35" s="71">
        <f t="shared" si="3"/>
        <v>5</v>
      </c>
      <c r="D35" s="72" t="s">
        <v>111</v>
      </c>
      <c r="E35" s="72" t="s">
        <v>109</v>
      </c>
      <c r="F35" s="71" t="s">
        <v>46</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64"/>
      <c r="B36" s="65"/>
      <c r="C36" s="71">
        <f t="shared" si="3"/>
        <v>6</v>
      </c>
      <c r="D36" s="72" t="s">
        <v>112</v>
      </c>
      <c r="E36" s="72" t="s">
        <v>113</v>
      </c>
      <c r="F36" s="71" t="s">
        <v>46</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64"/>
      <c r="B37" s="65"/>
      <c r="C37" s="71">
        <f t="shared" si="3"/>
        <v>7</v>
      </c>
      <c r="D37" s="72" t="s">
        <v>114</v>
      </c>
      <c r="E37" s="72" t="s">
        <v>115</v>
      </c>
      <c r="F37" s="71" t="s">
        <v>46</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64"/>
      <c r="B38" s="65"/>
      <c r="C38" s="71">
        <f t="shared" si="3"/>
        <v>8</v>
      </c>
      <c r="D38" s="72" t="s">
        <v>116</v>
      </c>
      <c r="E38" s="72" t="s">
        <v>117</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64"/>
      <c r="B39" s="65"/>
      <c r="C39" s="71">
        <f t="shared" si="3"/>
        <v>9</v>
      </c>
      <c r="D39" s="72" t="s">
        <v>118</v>
      </c>
      <c r="E39" s="72"/>
      <c r="F39" s="71"/>
      <c r="G39" s="71"/>
      <c r="H39" s="73"/>
      <c r="I39" s="74">
        <f t="shared" si="1"/>
        <v>0</v>
      </c>
      <c r="J39" s="75"/>
      <c r="K39" s="63"/>
      <c r="L39" s="63"/>
      <c r="M39" s="63"/>
      <c r="N39" s="63"/>
      <c r="O39" s="63"/>
      <c r="P39" s="63"/>
      <c r="Q39" s="63"/>
      <c r="R39" s="63"/>
      <c r="S39" s="63"/>
      <c r="T39" s="63"/>
      <c r="U39" s="63"/>
      <c r="V39" s="63"/>
      <c r="W39" s="63"/>
      <c r="X39" s="63"/>
      <c r="Y39" s="63"/>
      <c r="Z39" s="63"/>
    </row>
    <row r="40" ht="12.0" customHeight="1">
      <c r="A40" s="64"/>
      <c r="B40" s="65"/>
      <c r="C40" s="71">
        <f t="shared" si="3"/>
        <v>10</v>
      </c>
      <c r="D40" s="72" t="s">
        <v>119</v>
      </c>
      <c r="E40" s="72" t="s">
        <v>120</v>
      </c>
      <c r="F40" s="71" t="s">
        <v>46</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64"/>
      <c r="B41" s="65"/>
      <c r="C41" s="71">
        <f t="shared" si="3"/>
        <v>11</v>
      </c>
      <c r="D41" s="72" t="s">
        <v>121</v>
      </c>
      <c r="E41" s="72" t="s">
        <v>122</v>
      </c>
      <c r="F41" s="71" t="s">
        <v>46</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64"/>
      <c r="B42" s="65"/>
      <c r="C42" s="71">
        <f t="shared" si="3"/>
        <v>12</v>
      </c>
      <c r="D42" s="72" t="s">
        <v>123</v>
      </c>
      <c r="E42" s="72" t="s">
        <v>124</v>
      </c>
      <c r="F42" s="71" t="s">
        <v>69</v>
      </c>
      <c r="G42" s="71">
        <v>1.2</v>
      </c>
      <c r="H42" s="73"/>
      <c r="I42" s="74">
        <f t="shared" si="1"/>
        <v>0</v>
      </c>
      <c r="J42" s="75"/>
      <c r="K42" s="63"/>
      <c r="L42" s="63"/>
      <c r="M42" s="63"/>
      <c r="N42" s="63"/>
      <c r="O42" s="63"/>
      <c r="P42" s="63"/>
      <c r="Q42" s="63"/>
      <c r="R42" s="63"/>
      <c r="S42" s="63"/>
      <c r="T42" s="63"/>
      <c r="U42" s="63"/>
      <c r="V42" s="63"/>
      <c r="W42" s="63"/>
      <c r="X42" s="63"/>
      <c r="Y42" s="63"/>
      <c r="Z42" s="63"/>
    </row>
    <row r="43" ht="12.0" customHeight="1">
      <c r="A43" s="64"/>
      <c r="B43" s="65"/>
      <c r="C43" s="71">
        <f t="shared" si="3"/>
        <v>13</v>
      </c>
      <c r="D43" s="72" t="s">
        <v>125</v>
      </c>
      <c r="E43" s="72" t="s">
        <v>126</v>
      </c>
      <c r="F43" s="71" t="s">
        <v>69</v>
      </c>
      <c r="G43" s="71">
        <v>1.2</v>
      </c>
      <c r="H43" s="73"/>
      <c r="I43" s="74">
        <f t="shared" si="1"/>
        <v>0</v>
      </c>
      <c r="J43" s="75"/>
      <c r="K43" s="63"/>
      <c r="L43" s="63"/>
      <c r="M43" s="63"/>
      <c r="N43" s="63"/>
      <c r="O43" s="63"/>
      <c r="P43" s="63"/>
      <c r="Q43" s="63"/>
      <c r="R43" s="63"/>
      <c r="S43" s="63"/>
      <c r="T43" s="63"/>
      <c r="U43" s="63"/>
      <c r="V43" s="63"/>
      <c r="W43" s="63"/>
      <c r="X43" s="63"/>
      <c r="Y43" s="63"/>
      <c r="Z43" s="63"/>
    </row>
    <row r="44" ht="12.0" customHeight="1">
      <c r="A44" s="64"/>
      <c r="B44" s="65"/>
      <c r="C44" s="71">
        <f t="shared" si="3"/>
        <v>14</v>
      </c>
      <c r="D44" s="72" t="s">
        <v>127</v>
      </c>
      <c r="E44" s="72" t="s">
        <v>128</v>
      </c>
      <c r="F44" s="71" t="s">
        <v>53</v>
      </c>
      <c r="G44" s="71">
        <v>1.5</v>
      </c>
      <c r="H44" s="73"/>
      <c r="I44" s="74">
        <f t="shared" si="1"/>
        <v>0</v>
      </c>
      <c r="J44" s="75"/>
      <c r="K44" s="63"/>
      <c r="L44" s="63"/>
      <c r="M44" s="63"/>
      <c r="N44" s="63"/>
      <c r="O44" s="63"/>
      <c r="P44" s="63"/>
      <c r="Q44" s="63"/>
      <c r="R44" s="63"/>
      <c r="S44" s="63"/>
      <c r="T44" s="63"/>
      <c r="U44" s="63"/>
      <c r="V44" s="63"/>
      <c r="W44" s="63"/>
      <c r="X44" s="63"/>
      <c r="Y44" s="63"/>
      <c r="Z44" s="63"/>
    </row>
    <row r="45" ht="12.0" customHeight="1">
      <c r="A45" s="64"/>
      <c r="B45" s="65"/>
      <c r="C45" s="71">
        <f t="shared" si="3"/>
        <v>15</v>
      </c>
      <c r="D45" s="72" t="s">
        <v>129</v>
      </c>
      <c r="E45" s="72" t="s">
        <v>130</v>
      </c>
      <c r="F45" s="71" t="s">
        <v>53</v>
      </c>
      <c r="G45" s="71">
        <v>1.5</v>
      </c>
      <c r="H45" s="73"/>
      <c r="I45" s="74">
        <f t="shared" si="1"/>
        <v>0</v>
      </c>
      <c r="J45" s="75"/>
      <c r="K45" s="63"/>
      <c r="L45" s="63"/>
      <c r="M45" s="63"/>
      <c r="N45" s="63"/>
      <c r="O45" s="63"/>
      <c r="P45" s="63"/>
      <c r="Q45" s="63"/>
      <c r="R45" s="63"/>
      <c r="S45" s="63"/>
      <c r="T45" s="63"/>
      <c r="U45" s="63"/>
      <c r="V45" s="63"/>
      <c r="W45" s="63"/>
      <c r="X45" s="63"/>
      <c r="Y45" s="63"/>
      <c r="Z45" s="63"/>
    </row>
    <row r="46" ht="12.0" customHeight="1">
      <c r="A46" s="64"/>
      <c r="B46" s="65"/>
      <c r="C46" s="71">
        <f t="shared" si="3"/>
        <v>16</v>
      </c>
      <c r="D46" s="72" t="s">
        <v>131</v>
      </c>
      <c r="E46" s="72" t="s">
        <v>132</v>
      </c>
      <c r="F46" s="71" t="s">
        <v>53</v>
      </c>
      <c r="G46" s="71">
        <v>1.5</v>
      </c>
      <c r="H46" s="73"/>
      <c r="I46" s="74">
        <f t="shared" si="1"/>
        <v>0</v>
      </c>
      <c r="J46" s="75"/>
      <c r="K46" s="63"/>
      <c r="L46" s="63"/>
      <c r="M46" s="63"/>
      <c r="N46" s="63"/>
      <c r="O46" s="63"/>
      <c r="P46" s="63"/>
      <c r="Q46" s="63"/>
      <c r="R46" s="63"/>
      <c r="S46" s="63"/>
      <c r="T46" s="63"/>
      <c r="U46" s="63"/>
      <c r="V46" s="63"/>
      <c r="W46" s="63"/>
      <c r="X46" s="63"/>
      <c r="Y46" s="63"/>
      <c r="Z46" s="63"/>
    </row>
    <row r="47" ht="12.0" customHeight="1">
      <c r="A47" s="64"/>
      <c r="B47" s="65"/>
      <c r="C47" s="71">
        <f t="shared" si="3"/>
        <v>17</v>
      </c>
      <c r="D47" s="72" t="s">
        <v>133</v>
      </c>
      <c r="E47" s="72" t="s">
        <v>134</v>
      </c>
      <c r="F47" s="71" t="s">
        <v>53</v>
      </c>
      <c r="G47" s="71">
        <v>1.5</v>
      </c>
      <c r="H47" s="73"/>
      <c r="I47" s="74">
        <f t="shared" si="1"/>
        <v>0</v>
      </c>
      <c r="J47" s="75"/>
      <c r="K47" s="63"/>
      <c r="L47" s="63"/>
      <c r="M47" s="63"/>
      <c r="N47" s="63"/>
      <c r="O47" s="63"/>
      <c r="P47" s="63"/>
      <c r="Q47" s="63"/>
      <c r="R47" s="63"/>
      <c r="S47" s="63"/>
      <c r="T47" s="63"/>
      <c r="U47" s="63"/>
      <c r="V47" s="63"/>
      <c r="W47" s="63"/>
      <c r="X47" s="63"/>
      <c r="Y47" s="63"/>
      <c r="Z47" s="63"/>
    </row>
    <row r="48" ht="12.0" customHeight="1">
      <c r="A48" s="64"/>
      <c r="B48" s="65"/>
      <c r="C48" s="71">
        <f t="shared" si="3"/>
        <v>18</v>
      </c>
      <c r="D48" s="72" t="s">
        <v>135</v>
      </c>
      <c r="E48" s="72" t="s">
        <v>136</v>
      </c>
      <c r="F48" s="71" t="s">
        <v>53</v>
      </c>
      <c r="G48" s="71">
        <v>1.5</v>
      </c>
      <c r="H48" s="73"/>
      <c r="I48" s="74">
        <f t="shared" si="1"/>
        <v>0</v>
      </c>
      <c r="J48" s="75"/>
      <c r="K48" s="63"/>
      <c r="L48" s="63"/>
      <c r="M48" s="63"/>
      <c r="N48" s="63"/>
      <c r="O48" s="63"/>
      <c r="P48" s="63"/>
      <c r="Q48" s="63"/>
      <c r="R48" s="63"/>
      <c r="S48" s="63"/>
      <c r="T48" s="63"/>
      <c r="U48" s="63"/>
      <c r="V48" s="63"/>
      <c r="W48" s="63"/>
      <c r="X48" s="63"/>
      <c r="Y48" s="63"/>
      <c r="Z48" s="63"/>
    </row>
    <row r="49" ht="12.0" customHeight="1">
      <c r="A49" s="78"/>
      <c r="B49" s="79" t="s">
        <v>137</v>
      </c>
      <c r="C49" s="80">
        <f t="shared" si="3"/>
        <v>19</v>
      </c>
      <c r="D49" s="79" t="s">
        <v>138</v>
      </c>
      <c r="E49" s="79" t="s">
        <v>126</v>
      </c>
      <c r="F49" s="80" t="s">
        <v>53</v>
      </c>
      <c r="G49" s="80">
        <v>1.5</v>
      </c>
      <c r="H49" s="81"/>
      <c r="I49" s="82">
        <f t="shared" si="1"/>
        <v>0</v>
      </c>
      <c r="J49" s="83"/>
      <c r="K49" s="63"/>
      <c r="L49" s="63"/>
      <c r="M49" s="63"/>
      <c r="N49" s="63"/>
      <c r="O49" s="63"/>
      <c r="P49" s="63"/>
      <c r="Q49" s="63"/>
      <c r="R49" s="63"/>
      <c r="S49" s="63"/>
      <c r="T49" s="63"/>
      <c r="U49" s="63"/>
      <c r="V49" s="63"/>
      <c r="W49" s="63"/>
      <c r="X49" s="63"/>
      <c r="Y49" s="63"/>
      <c r="Z49" s="63"/>
    </row>
    <row r="50" ht="12.0" customHeight="1">
      <c r="A50" s="64" t="s">
        <v>139</v>
      </c>
      <c r="B50" s="65" t="s">
        <v>140</v>
      </c>
      <c r="C50" s="84">
        <v>1.0</v>
      </c>
      <c r="D50" s="77" t="s">
        <v>141</v>
      </c>
      <c r="E50" s="77" t="s">
        <v>142</v>
      </c>
      <c r="F50" s="84" t="s">
        <v>69</v>
      </c>
      <c r="G50" s="84">
        <v>1.2</v>
      </c>
      <c r="H50" s="85"/>
      <c r="I50" s="86">
        <f t="shared" si="1"/>
        <v>0</v>
      </c>
      <c r="J50" s="87"/>
      <c r="K50" s="63"/>
      <c r="L50" s="63"/>
      <c r="M50" s="63"/>
      <c r="N50" s="63"/>
      <c r="O50" s="63"/>
      <c r="P50" s="63"/>
      <c r="Q50" s="63"/>
      <c r="R50" s="63"/>
      <c r="S50" s="63"/>
      <c r="T50" s="63"/>
      <c r="U50" s="63"/>
      <c r="V50" s="63"/>
      <c r="W50" s="63"/>
      <c r="X50" s="63"/>
      <c r="Y50" s="63"/>
      <c r="Z50" s="63"/>
    </row>
    <row r="51" ht="12.0" customHeight="1">
      <c r="A51" s="64"/>
      <c r="B51" s="65"/>
      <c r="C51" s="71">
        <f t="shared" ref="C51:C59" si="4">C50+1</f>
        <v>2</v>
      </c>
      <c r="D51" s="72" t="s">
        <v>143</v>
      </c>
      <c r="E51" s="72" t="s">
        <v>144</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64"/>
      <c r="B52" s="65"/>
      <c r="C52" s="71">
        <f t="shared" si="4"/>
        <v>3</v>
      </c>
      <c r="D52" s="72" t="s">
        <v>145</v>
      </c>
      <c r="E52" s="72" t="s">
        <v>146</v>
      </c>
      <c r="F52" s="71" t="s">
        <v>69</v>
      </c>
      <c r="G52" s="71">
        <v>1.2</v>
      </c>
      <c r="H52" s="73"/>
      <c r="I52" s="74">
        <f t="shared" si="1"/>
        <v>0</v>
      </c>
      <c r="J52" s="75"/>
      <c r="K52" s="63"/>
      <c r="L52" s="63"/>
      <c r="M52" s="63"/>
      <c r="N52" s="63"/>
      <c r="O52" s="63"/>
      <c r="P52" s="63"/>
      <c r="Q52" s="63"/>
      <c r="R52" s="63"/>
      <c r="S52" s="63"/>
      <c r="T52" s="63"/>
      <c r="U52" s="63"/>
      <c r="V52" s="63"/>
      <c r="W52" s="63"/>
      <c r="X52" s="63"/>
      <c r="Y52" s="63"/>
      <c r="Z52" s="63"/>
    </row>
    <row r="53" ht="12.0" customHeight="1">
      <c r="A53" s="64"/>
      <c r="B53" s="76" t="s">
        <v>147</v>
      </c>
      <c r="C53" s="71">
        <f t="shared" si="4"/>
        <v>4</v>
      </c>
      <c r="D53" s="72" t="s">
        <v>148</v>
      </c>
      <c r="E53" s="72" t="s">
        <v>149</v>
      </c>
      <c r="F53" s="71" t="s">
        <v>46</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64"/>
      <c r="B54" s="65"/>
      <c r="C54" s="71">
        <f t="shared" si="4"/>
        <v>5</v>
      </c>
      <c r="D54" s="72" t="s">
        <v>150</v>
      </c>
      <c r="E54" s="72" t="s">
        <v>151</v>
      </c>
      <c r="F54" s="71" t="s">
        <v>46</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64"/>
      <c r="B55" s="65"/>
      <c r="C55" s="71">
        <f t="shared" si="4"/>
        <v>6</v>
      </c>
      <c r="D55" s="72" t="s">
        <v>152</v>
      </c>
      <c r="E55" s="72" t="s">
        <v>153</v>
      </c>
      <c r="F55" s="71" t="s">
        <v>46</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64"/>
      <c r="B56" s="77"/>
      <c r="C56" s="71">
        <f t="shared" si="4"/>
        <v>7</v>
      </c>
      <c r="D56" s="72" t="s">
        <v>154</v>
      </c>
      <c r="E56" s="72" t="s">
        <v>155</v>
      </c>
      <c r="F56" s="71" t="s">
        <v>46</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64"/>
      <c r="B57" s="65" t="s">
        <v>156</v>
      </c>
      <c r="C57" s="71">
        <f t="shared" si="4"/>
        <v>8</v>
      </c>
      <c r="D57" s="72" t="s">
        <v>157</v>
      </c>
      <c r="E57" s="72" t="s">
        <v>158</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64"/>
      <c r="B58" s="65"/>
      <c r="C58" s="71">
        <f t="shared" si="4"/>
        <v>9</v>
      </c>
      <c r="D58" s="72" t="s">
        <v>159</v>
      </c>
      <c r="E58" s="72" t="s">
        <v>160</v>
      </c>
      <c r="F58" s="71" t="s">
        <v>69</v>
      </c>
      <c r="G58" s="71">
        <v>1.2</v>
      </c>
      <c r="H58" s="73"/>
      <c r="I58" s="74">
        <f t="shared" si="1"/>
        <v>0</v>
      </c>
      <c r="J58" s="75"/>
      <c r="K58" s="63"/>
      <c r="L58" s="63"/>
      <c r="M58" s="63"/>
      <c r="N58" s="63"/>
      <c r="O58" s="63"/>
      <c r="P58" s="63"/>
      <c r="Q58" s="63"/>
      <c r="R58" s="63"/>
      <c r="S58" s="63"/>
      <c r="T58" s="63"/>
      <c r="U58" s="63"/>
      <c r="V58" s="63"/>
      <c r="W58" s="63"/>
      <c r="X58" s="63"/>
      <c r="Y58" s="63"/>
      <c r="Z58" s="63"/>
    </row>
    <row r="59" ht="12.0" customHeight="1">
      <c r="A59" s="78"/>
      <c r="B59" s="79" t="s">
        <v>161</v>
      </c>
      <c r="C59" s="80">
        <f t="shared" si="4"/>
        <v>10</v>
      </c>
      <c r="D59" s="79" t="s">
        <v>162</v>
      </c>
      <c r="E59" s="79" t="s">
        <v>163</v>
      </c>
      <c r="F59" s="80" t="s">
        <v>46</v>
      </c>
      <c r="G59" s="80">
        <v>1.0</v>
      </c>
      <c r="H59" s="81"/>
      <c r="I59" s="82">
        <f t="shared" si="1"/>
        <v>0</v>
      </c>
      <c r="J59" s="83"/>
      <c r="K59" s="63"/>
      <c r="L59" s="63"/>
      <c r="M59" s="63"/>
      <c r="N59" s="63"/>
      <c r="O59" s="63"/>
      <c r="P59" s="63"/>
      <c r="Q59" s="63"/>
      <c r="R59" s="63"/>
      <c r="S59" s="63"/>
      <c r="T59" s="63"/>
      <c r="U59" s="63"/>
      <c r="V59" s="63"/>
      <c r="W59" s="63"/>
      <c r="X59" s="63"/>
      <c r="Y59" s="63"/>
      <c r="Z59" s="63"/>
    </row>
    <row r="60" ht="12.0" customHeight="1">
      <c r="A60" s="64" t="s">
        <v>164</v>
      </c>
      <c r="B60" s="65" t="s">
        <v>165</v>
      </c>
      <c r="C60" s="84">
        <v>1.0</v>
      </c>
      <c r="D60" s="77" t="s">
        <v>166</v>
      </c>
      <c r="E60" s="77" t="s">
        <v>167</v>
      </c>
      <c r="F60" s="84" t="s">
        <v>53</v>
      </c>
      <c r="G60" s="84">
        <v>1.5</v>
      </c>
      <c r="H60" s="85"/>
      <c r="I60" s="86">
        <f t="shared" si="1"/>
        <v>0</v>
      </c>
      <c r="J60" s="87"/>
      <c r="K60" s="63"/>
      <c r="L60" s="63"/>
      <c r="M60" s="63"/>
      <c r="N60" s="63"/>
      <c r="O60" s="63"/>
      <c r="P60" s="63"/>
      <c r="Q60" s="63"/>
      <c r="R60" s="63"/>
      <c r="S60" s="63"/>
      <c r="T60" s="63"/>
      <c r="U60" s="63"/>
      <c r="V60" s="63"/>
      <c r="W60" s="63"/>
      <c r="X60" s="63"/>
      <c r="Y60" s="63"/>
      <c r="Z60" s="63"/>
    </row>
    <row r="61" ht="12.0" customHeight="1">
      <c r="A61" s="64"/>
      <c r="B61" s="65"/>
      <c r="C61" s="71">
        <f t="shared" ref="C61:C64" si="5">C60+1</f>
        <v>2</v>
      </c>
      <c r="D61" s="72" t="s">
        <v>168</v>
      </c>
      <c r="E61" s="72" t="s">
        <v>169</v>
      </c>
      <c r="F61" s="71" t="s">
        <v>53</v>
      </c>
      <c r="G61" s="71">
        <v>1.5</v>
      </c>
      <c r="H61" s="73"/>
      <c r="I61" s="74">
        <f t="shared" si="1"/>
        <v>0</v>
      </c>
      <c r="J61" s="75"/>
      <c r="K61" s="63"/>
      <c r="L61" s="63"/>
      <c r="M61" s="63"/>
      <c r="N61" s="63"/>
      <c r="O61" s="63"/>
      <c r="P61" s="63"/>
      <c r="Q61" s="63"/>
      <c r="R61" s="63"/>
      <c r="S61" s="63"/>
      <c r="T61" s="63"/>
      <c r="U61" s="63"/>
      <c r="V61" s="63"/>
      <c r="W61" s="63"/>
      <c r="X61" s="63"/>
      <c r="Y61" s="63"/>
      <c r="Z61" s="63"/>
    </row>
    <row r="62" ht="12.0" customHeight="1">
      <c r="A62" s="64"/>
      <c r="B62" s="72" t="s">
        <v>170</v>
      </c>
      <c r="C62" s="71">
        <f t="shared" si="5"/>
        <v>3</v>
      </c>
      <c r="D62" s="72" t="s">
        <v>171</v>
      </c>
      <c r="E62" s="72" t="s">
        <v>172</v>
      </c>
      <c r="F62" s="71" t="s">
        <v>53</v>
      </c>
      <c r="G62" s="71">
        <v>1.5</v>
      </c>
      <c r="H62" s="73"/>
      <c r="I62" s="74">
        <f t="shared" si="1"/>
        <v>0</v>
      </c>
      <c r="J62" s="75"/>
      <c r="K62" s="63"/>
      <c r="L62" s="63"/>
      <c r="M62" s="63"/>
      <c r="N62" s="63"/>
      <c r="O62" s="63"/>
      <c r="P62" s="63"/>
      <c r="Q62" s="63"/>
      <c r="R62" s="63"/>
      <c r="S62" s="63"/>
      <c r="T62" s="63"/>
      <c r="U62" s="63"/>
      <c r="V62" s="63"/>
      <c r="W62" s="63"/>
      <c r="X62" s="63"/>
      <c r="Y62" s="63"/>
      <c r="Z62" s="63"/>
    </row>
    <row r="63" ht="12.0" customHeight="1">
      <c r="A63" s="64"/>
      <c r="B63" s="72" t="s">
        <v>173</v>
      </c>
      <c r="C63" s="71">
        <f t="shared" si="5"/>
        <v>4</v>
      </c>
      <c r="D63" s="72" t="s">
        <v>174</v>
      </c>
      <c r="E63" s="72" t="s">
        <v>172</v>
      </c>
      <c r="F63" s="71" t="s">
        <v>46</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78"/>
      <c r="B64" s="79" t="s">
        <v>175</v>
      </c>
      <c r="C64" s="80">
        <f t="shared" si="5"/>
        <v>5</v>
      </c>
      <c r="D64" s="79" t="s">
        <v>176</v>
      </c>
      <c r="E64" s="79" t="s">
        <v>177</v>
      </c>
      <c r="F64" s="80" t="s">
        <v>46</v>
      </c>
      <c r="G64" s="80">
        <v>1.0</v>
      </c>
      <c r="H64" s="81"/>
      <c r="I64" s="82">
        <f t="shared" si="1"/>
        <v>0</v>
      </c>
      <c r="J64" s="83"/>
      <c r="K64" s="63"/>
      <c r="L64" s="63"/>
      <c r="M64" s="63"/>
      <c r="N64" s="63"/>
      <c r="O64" s="63"/>
      <c r="P64" s="63"/>
      <c r="Q64" s="63"/>
      <c r="R64" s="63"/>
      <c r="S64" s="63"/>
      <c r="T64" s="63"/>
      <c r="U64" s="63"/>
      <c r="V64" s="63"/>
      <c r="W64" s="63"/>
      <c r="X64" s="63"/>
      <c r="Y64" s="63"/>
      <c r="Z64" s="63"/>
    </row>
    <row r="65" ht="12.0" customHeight="1">
      <c r="A65" s="64" t="s">
        <v>178</v>
      </c>
      <c r="B65" s="65" t="s">
        <v>179</v>
      </c>
      <c r="C65" s="84">
        <v>1.0</v>
      </c>
      <c r="D65" s="77" t="s">
        <v>180</v>
      </c>
      <c r="E65" s="77" t="s">
        <v>181</v>
      </c>
      <c r="F65" s="84" t="s">
        <v>53</v>
      </c>
      <c r="G65" s="84">
        <v>1.5</v>
      </c>
      <c r="H65" s="85"/>
      <c r="I65" s="86">
        <f t="shared" si="1"/>
        <v>0</v>
      </c>
      <c r="J65" s="87"/>
      <c r="K65" s="63"/>
      <c r="L65" s="63"/>
      <c r="M65" s="63"/>
      <c r="N65" s="63"/>
      <c r="O65" s="63"/>
      <c r="P65" s="63"/>
      <c r="Q65" s="63"/>
      <c r="R65" s="63"/>
      <c r="S65" s="63"/>
      <c r="T65" s="63"/>
      <c r="U65" s="63"/>
      <c r="V65" s="63"/>
      <c r="W65" s="63"/>
      <c r="X65" s="63"/>
      <c r="Y65" s="63"/>
      <c r="Z65" s="63"/>
    </row>
    <row r="66" ht="12.0" customHeight="1">
      <c r="A66" s="64"/>
      <c r="B66" s="65"/>
      <c r="C66" s="71">
        <f t="shared" ref="C66:C73" si="6">C65+1</f>
        <v>2</v>
      </c>
      <c r="D66" s="72" t="s">
        <v>182</v>
      </c>
      <c r="E66" s="72" t="s">
        <v>183</v>
      </c>
      <c r="F66" s="71" t="s">
        <v>53</v>
      </c>
      <c r="G66" s="71">
        <v>1.5</v>
      </c>
      <c r="H66" s="73"/>
      <c r="I66" s="74">
        <f t="shared" si="1"/>
        <v>0</v>
      </c>
      <c r="J66" s="75"/>
      <c r="K66" s="63"/>
      <c r="L66" s="63"/>
      <c r="M66" s="63"/>
      <c r="N66" s="63"/>
      <c r="O66" s="63"/>
      <c r="P66" s="63"/>
      <c r="Q66" s="63"/>
      <c r="R66" s="63"/>
      <c r="S66" s="63"/>
      <c r="T66" s="63"/>
      <c r="U66" s="63"/>
      <c r="V66" s="63"/>
      <c r="W66" s="63"/>
      <c r="X66" s="63"/>
      <c r="Y66" s="63"/>
      <c r="Z66" s="63"/>
    </row>
    <row r="67" ht="12.0" customHeight="1">
      <c r="A67" s="64"/>
      <c r="B67" s="72" t="s">
        <v>184</v>
      </c>
      <c r="C67" s="71">
        <f t="shared" si="6"/>
        <v>3</v>
      </c>
      <c r="D67" s="72" t="s">
        <v>185</v>
      </c>
      <c r="E67" s="72" t="s">
        <v>186</v>
      </c>
      <c r="F67" s="71" t="s">
        <v>53</v>
      </c>
      <c r="G67" s="71">
        <v>1.5</v>
      </c>
      <c r="H67" s="73"/>
      <c r="I67" s="74">
        <f t="shared" si="1"/>
        <v>0</v>
      </c>
      <c r="J67" s="75"/>
      <c r="K67" s="63"/>
      <c r="L67" s="63"/>
      <c r="M67" s="63"/>
      <c r="N67" s="63"/>
      <c r="O67" s="63"/>
      <c r="P67" s="63"/>
      <c r="Q67" s="63"/>
      <c r="R67" s="63"/>
      <c r="S67" s="63"/>
      <c r="T67" s="63"/>
      <c r="U67" s="63"/>
      <c r="V67" s="63"/>
      <c r="W67" s="63"/>
      <c r="X67" s="63"/>
      <c r="Y67" s="63"/>
      <c r="Z67" s="63"/>
    </row>
    <row r="68" ht="12.0" customHeight="1">
      <c r="A68" s="64"/>
      <c r="B68" s="65" t="s">
        <v>187</v>
      </c>
      <c r="C68" s="71">
        <f t="shared" si="6"/>
        <v>4</v>
      </c>
      <c r="D68" s="72" t="s">
        <v>188</v>
      </c>
      <c r="E68" s="72" t="s">
        <v>189</v>
      </c>
      <c r="F68" s="71" t="s">
        <v>69</v>
      </c>
      <c r="G68" s="71">
        <v>1.2</v>
      </c>
      <c r="H68" s="73"/>
      <c r="I68" s="74">
        <f t="shared" si="1"/>
        <v>0</v>
      </c>
      <c r="J68" s="75"/>
      <c r="K68" s="63"/>
      <c r="L68" s="63"/>
      <c r="M68" s="63"/>
      <c r="N68" s="63"/>
      <c r="O68" s="63"/>
      <c r="P68" s="63"/>
      <c r="Q68" s="63"/>
      <c r="R68" s="63"/>
      <c r="S68" s="63"/>
      <c r="T68" s="63"/>
      <c r="U68" s="63"/>
      <c r="V68" s="63"/>
      <c r="W68" s="63"/>
      <c r="X68" s="63"/>
      <c r="Y68" s="63"/>
      <c r="Z68" s="63"/>
    </row>
    <row r="69" ht="12.0" customHeight="1">
      <c r="A69" s="64"/>
      <c r="B69" s="65"/>
      <c r="C69" s="71">
        <f t="shared" si="6"/>
        <v>5</v>
      </c>
      <c r="D69" s="72" t="s">
        <v>190</v>
      </c>
      <c r="E69" s="72" t="s">
        <v>191</v>
      </c>
      <c r="F69" s="71" t="s">
        <v>53</v>
      </c>
      <c r="G69" s="71">
        <v>1.5</v>
      </c>
      <c r="H69" s="73"/>
      <c r="I69" s="74">
        <f t="shared" si="1"/>
        <v>0</v>
      </c>
      <c r="J69" s="75"/>
      <c r="K69" s="63"/>
      <c r="L69" s="63"/>
      <c r="M69" s="63"/>
      <c r="N69" s="63"/>
      <c r="O69" s="63"/>
      <c r="P69" s="63"/>
      <c r="Q69" s="63"/>
      <c r="R69" s="63"/>
      <c r="S69" s="63"/>
      <c r="T69" s="63"/>
      <c r="U69" s="63"/>
      <c r="V69" s="63"/>
      <c r="W69" s="63"/>
      <c r="X69" s="63"/>
      <c r="Y69" s="63"/>
      <c r="Z69" s="63"/>
    </row>
    <row r="70" ht="12.0" customHeight="1">
      <c r="A70" s="64"/>
      <c r="B70" s="72" t="s">
        <v>192</v>
      </c>
      <c r="C70" s="71">
        <f t="shared" si="6"/>
        <v>6</v>
      </c>
      <c r="D70" s="72" t="s">
        <v>193</v>
      </c>
      <c r="E70" s="72" t="s">
        <v>194</v>
      </c>
      <c r="F70" s="71" t="s">
        <v>53</v>
      </c>
      <c r="G70" s="71">
        <v>1.5</v>
      </c>
      <c r="H70" s="73"/>
      <c r="I70" s="74">
        <f t="shared" si="1"/>
        <v>0</v>
      </c>
      <c r="J70" s="75"/>
      <c r="K70" s="63"/>
      <c r="L70" s="63"/>
      <c r="M70" s="63"/>
      <c r="N70" s="63"/>
      <c r="O70" s="63"/>
      <c r="P70" s="63"/>
      <c r="Q70" s="63"/>
      <c r="R70" s="63"/>
      <c r="S70" s="63"/>
      <c r="T70" s="63"/>
      <c r="U70" s="63"/>
      <c r="V70" s="63"/>
      <c r="W70" s="63"/>
      <c r="X70" s="63"/>
      <c r="Y70" s="63"/>
      <c r="Z70" s="63"/>
    </row>
    <row r="71" ht="12.0" customHeight="1">
      <c r="A71" s="64"/>
      <c r="B71" s="65" t="s">
        <v>195</v>
      </c>
      <c r="C71" s="71">
        <f t="shared" si="6"/>
        <v>7</v>
      </c>
      <c r="D71" s="72" t="s">
        <v>196</v>
      </c>
      <c r="E71" s="72" t="s">
        <v>197</v>
      </c>
      <c r="F71" s="71" t="s">
        <v>53</v>
      </c>
      <c r="G71" s="71">
        <v>1.5</v>
      </c>
      <c r="H71" s="73"/>
      <c r="I71" s="74">
        <f t="shared" si="1"/>
        <v>0</v>
      </c>
      <c r="J71" s="75"/>
      <c r="K71" s="63"/>
      <c r="L71" s="63"/>
      <c r="M71" s="63"/>
      <c r="N71" s="63"/>
      <c r="O71" s="63"/>
      <c r="P71" s="63"/>
      <c r="Q71" s="63"/>
      <c r="R71" s="63"/>
      <c r="S71" s="63"/>
      <c r="T71" s="63"/>
      <c r="U71" s="63"/>
      <c r="V71" s="63"/>
      <c r="W71" s="63"/>
      <c r="X71" s="63"/>
      <c r="Y71" s="63"/>
      <c r="Z71" s="63"/>
    </row>
    <row r="72" ht="12.0" customHeight="1">
      <c r="A72" s="64"/>
      <c r="B72" s="77"/>
      <c r="C72" s="71">
        <f t="shared" si="6"/>
        <v>8</v>
      </c>
      <c r="D72" s="72" t="s">
        <v>198</v>
      </c>
      <c r="E72" s="72" t="s">
        <v>197</v>
      </c>
      <c r="F72" s="71" t="s">
        <v>46</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78"/>
      <c r="B73" s="88" t="s">
        <v>99</v>
      </c>
      <c r="C73" s="80">
        <f t="shared" si="6"/>
        <v>9</v>
      </c>
      <c r="D73" s="79" t="s">
        <v>199</v>
      </c>
      <c r="E73" s="79" t="s">
        <v>200</v>
      </c>
      <c r="F73" s="80" t="s">
        <v>46</v>
      </c>
      <c r="G73" s="80">
        <v>1.0</v>
      </c>
      <c r="H73" s="81"/>
      <c r="I73" s="82">
        <f t="shared" si="1"/>
        <v>0</v>
      </c>
      <c r="J73" s="83"/>
      <c r="K73" s="63"/>
      <c r="L73" s="63"/>
      <c r="M73" s="63"/>
      <c r="N73" s="63"/>
      <c r="O73" s="63"/>
      <c r="P73" s="63"/>
      <c r="Q73" s="63"/>
      <c r="R73" s="63"/>
      <c r="S73" s="63"/>
      <c r="T73" s="63"/>
      <c r="U73" s="63"/>
      <c r="V73" s="63"/>
      <c r="W73" s="63"/>
      <c r="X73" s="63"/>
      <c r="Y73" s="63"/>
      <c r="Z73" s="63"/>
    </row>
    <row r="74" ht="12.0" customHeight="1">
      <c r="A74" s="64" t="s">
        <v>201</v>
      </c>
      <c r="B74" s="65" t="s">
        <v>202</v>
      </c>
      <c r="C74" s="84">
        <v>1.0</v>
      </c>
      <c r="D74" s="77" t="s">
        <v>203</v>
      </c>
      <c r="E74" s="77" t="s">
        <v>204</v>
      </c>
      <c r="F74" s="84" t="s">
        <v>46</v>
      </c>
      <c r="G74" s="84">
        <v>1.0</v>
      </c>
      <c r="H74" s="85"/>
      <c r="I74" s="86">
        <f t="shared" si="1"/>
        <v>0</v>
      </c>
      <c r="J74" s="87"/>
      <c r="K74" s="63"/>
      <c r="L74" s="63"/>
      <c r="M74" s="63"/>
      <c r="N74" s="63"/>
      <c r="O74" s="63"/>
      <c r="P74" s="63"/>
      <c r="Q74" s="63"/>
      <c r="R74" s="63"/>
      <c r="S74" s="63"/>
      <c r="T74" s="63"/>
      <c r="U74" s="63"/>
      <c r="V74" s="63"/>
      <c r="W74" s="63"/>
      <c r="X74" s="63"/>
      <c r="Y74" s="63"/>
      <c r="Z74" s="63"/>
    </row>
    <row r="75" ht="12.0" customHeight="1">
      <c r="A75" s="64"/>
      <c r="B75" s="65"/>
      <c r="C75" s="71">
        <f t="shared" ref="C75:C87" si="7">C74+1</f>
        <v>2</v>
      </c>
      <c r="D75" s="72" t="s">
        <v>205</v>
      </c>
      <c r="E75" s="72" t="s">
        <v>206</v>
      </c>
      <c r="F75" s="71" t="s">
        <v>46</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64"/>
      <c r="B76" s="65"/>
      <c r="C76" s="71">
        <f t="shared" si="7"/>
        <v>3</v>
      </c>
      <c r="D76" s="72" t="s">
        <v>207</v>
      </c>
      <c r="E76" s="72" t="s">
        <v>204</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64"/>
      <c r="B77" s="65"/>
      <c r="C77" s="71">
        <f t="shared" si="7"/>
        <v>4</v>
      </c>
      <c r="D77" s="72" t="s">
        <v>208</v>
      </c>
      <c r="E77" s="72" t="s">
        <v>209</v>
      </c>
      <c r="F77" s="71" t="s">
        <v>46</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64"/>
      <c r="B78" s="65"/>
      <c r="C78" s="71">
        <f t="shared" si="7"/>
        <v>5</v>
      </c>
      <c r="D78" s="72" t="s">
        <v>210</v>
      </c>
      <c r="E78" s="72" t="s">
        <v>209</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64"/>
      <c r="B79" s="65"/>
      <c r="C79" s="71">
        <f t="shared" si="7"/>
        <v>6</v>
      </c>
      <c r="D79" s="72" t="s">
        <v>211</v>
      </c>
      <c r="E79" s="72" t="s">
        <v>212</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64"/>
      <c r="B80" s="76" t="s">
        <v>213</v>
      </c>
      <c r="C80" s="71">
        <f t="shared" si="7"/>
        <v>7</v>
      </c>
      <c r="D80" s="72" t="s">
        <v>214</v>
      </c>
      <c r="E80" s="72" t="s">
        <v>215</v>
      </c>
      <c r="F80" s="71" t="s">
        <v>46</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64"/>
      <c r="B81" s="65"/>
      <c r="C81" s="71">
        <f t="shared" si="7"/>
        <v>8</v>
      </c>
      <c r="D81" s="72" t="s">
        <v>216</v>
      </c>
      <c r="E81" s="72" t="s">
        <v>217</v>
      </c>
      <c r="F81" s="71" t="s">
        <v>46</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64"/>
      <c r="B82" s="77"/>
      <c r="C82" s="71">
        <f t="shared" si="7"/>
        <v>9</v>
      </c>
      <c r="D82" s="72" t="s">
        <v>218</v>
      </c>
      <c r="E82" s="72" t="s">
        <v>219</v>
      </c>
      <c r="F82" s="71" t="s">
        <v>46</v>
      </c>
      <c r="G82" s="71">
        <v>1.0</v>
      </c>
      <c r="H82" s="73"/>
      <c r="I82" s="74">
        <f t="shared" si="1"/>
        <v>0</v>
      </c>
      <c r="J82" s="75"/>
      <c r="K82" s="63"/>
      <c r="L82" s="63"/>
      <c r="M82" s="63"/>
      <c r="N82" s="63"/>
      <c r="O82" s="63"/>
      <c r="P82" s="63"/>
      <c r="Q82" s="63"/>
      <c r="R82" s="63"/>
      <c r="S82" s="63"/>
      <c r="T82" s="63"/>
      <c r="U82" s="63"/>
      <c r="V82" s="63"/>
      <c r="W82" s="63"/>
      <c r="X82" s="63"/>
      <c r="Y82" s="63"/>
      <c r="Z82" s="63"/>
    </row>
    <row r="83" ht="12.0" customHeight="1">
      <c r="A83" s="64"/>
      <c r="B83" s="65" t="s">
        <v>220</v>
      </c>
      <c r="C83" s="71">
        <f t="shared" si="7"/>
        <v>10</v>
      </c>
      <c r="D83" s="72" t="s">
        <v>221</v>
      </c>
      <c r="E83" s="72" t="s">
        <v>222</v>
      </c>
      <c r="F83" s="71" t="s">
        <v>46</v>
      </c>
      <c r="G83" s="71">
        <v>1.0</v>
      </c>
      <c r="H83" s="73"/>
      <c r="I83" s="74">
        <f t="shared" si="1"/>
        <v>0</v>
      </c>
      <c r="J83" s="75"/>
      <c r="K83" s="63"/>
      <c r="L83" s="63"/>
      <c r="M83" s="63"/>
      <c r="N83" s="63"/>
      <c r="O83" s="63"/>
      <c r="P83" s="63"/>
      <c r="Q83" s="63"/>
      <c r="R83" s="63"/>
      <c r="S83" s="63"/>
      <c r="T83" s="63"/>
      <c r="U83" s="63"/>
      <c r="V83" s="63"/>
      <c r="W83" s="63"/>
      <c r="X83" s="63"/>
      <c r="Y83" s="63"/>
      <c r="Z83" s="63"/>
    </row>
    <row r="84" ht="12.0" customHeight="1">
      <c r="A84" s="64"/>
      <c r="B84" s="65"/>
      <c r="C84" s="71">
        <f t="shared" si="7"/>
        <v>11</v>
      </c>
      <c r="D84" s="72" t="s">
        <v>223</v>
      </c>
      <c r="E84" s="72" t="s">
        <v>224</v>
      </c>
      <c r="F84" s="71" t="s">
        <v>46</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64"/>
      <c r="B85" s="76" t="s">
        <v>225</v>
      </c>
      <c r="C85" s="71">
        <f t="shared" si="7"/>
        <v>12</v>
      </c>
      <c r="D85" s="72" t="s">
        <v>226</v>
      </c>
      <c r="E85" s="72" t="s">
        <v>227</v>
      </c>
      <c r="F85" s="71" t="s">
        <v>46</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64"/>
      <c r="B86" s="77"/>
      <c r="C86" s="71">
        <f t="shared" si="7"/>
        <v>13</v>
      </c>
      <c r="D86" s="72" t="s">
        <v>228</v>
      </c>
      <c r="E86" s="72" t="s">
        <v>229</v>
      </c>
      <c r="F86" s="71" t="s">
        <v>46</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78"/>
      <c r="B87" s="88" t="s">
        <v>99</v>
      </c>
      <c r="C87" s="80">
        <f t="shared" si="7"/>
        <v>14</v>
      </c>
      <c r="D87" s="79" t="s">
        <v>230</v>
      </c>
      <c r="E87" s="79" t="s">
        <v>200</v>
      </c>
      <c r="F87" s="80" t="s">
        <v>46</v>
      </c>
      <c r="G87" s="80">
        <v>1.0</v>
      </c>
      <c r="H87" s="81"/>
      <c r="I87" s="82">
        <f t="shared" si="1"/>
        <v>0</v>
      </c>
      <c r="J87" s="83"/>
      <c r="K87" s="63"/>
      <c r="L87" s="63"/>
      <c r="M87" s="63"/>
      <c r="N87" s="63"/>
      <c r="O87" s="63"/>
      <c r="P87" s="63"/>
      <c r="Q87" s="63"/>
      <c r="R87" s="63"/>
      <c r="S87" s="63"/>
      <c r="T87" s="63"/>
      <c r="U87" s="63"/>
      <c r="V87" s="63"/>
      <c r="W87" s="63"/>
      <c r="X87" s="63"/>
      <c r="Y87" s="63"/>
      <c r="Z87" s="63"/>
    </row>
    <row r="88" ht="12.0" customHeight="1">
      <c r="A88" s="64" t="s">
        <v>231</v>
      </c>
      <c r="B88" s="65" t="s">
        <v>232</v>
      </c>
      <c r="C88" s="84">
        <v>1.0</v>
      </c>
      <c r="D88" s="77" t="s">
        <v>233</v>
      </c>
      <c r="E88" s="77" t="s">
        <v>234</v>
      </c>
      <c r="F88" s="84" t="s">
        <v>53</v>
      </c>
      <c r="G88" s="84">
        <v>1.5</v>
      </c>
      <c r="H88" s="85"/>
      <c r="I88" s="86">
        <f t="shared" si="1"/>
        <v>0</v>
      </c>
      <c r="J88" s="87"/>
      <c r="K88" s="63"/>
      <c r="L88" s="63"/>
      <c r="M88" s="63"/>
      <c r="N88" s="63"/>
      <c r="O88" s="63"/>
      <c r="P88" s="63"/>
      <c r="Q88" s="63"/>
      <c r="R88" s="63"/>
      <c r="S88" s="63"/>
      <c r="T88" s="63"/>
      <c r="U88" s="63"/>
      <c r="V88" s="63"/>
      <c r="W88" s="63"/>
      <c r="X88" s="63"/>
      <c r="Y88" s="63"/>
      <c r="Z88" s="63"/>
    </row>
    <row r="89" ht="12.0" customHeight="1">
      <c r="A89" s="64"/>
      <c r="B89" s="65"/>
      <c r="C89" s="71">
        <f t="shared" ref="C89:C98" si="8">C88+1</f>
        <v>2</v>
      </c>
      <c r="D89" s="72" t="s">
        <v>235</v>
      </c>
      <c r="E89" s="72" t="s">
        <v>236</v>
      </c>
      <c r="F89" s="71" t="s">
        <v>69</v>
      </c>
      <c r="G89" s="71">
        <v>1.2</v>
      </c>
      <c r="H89" s="73"/>
      <c r="I89" s="74">
        <f t="shared" si="1"/>
        <v>0</v>
      </c>
      <c r="J89" s="75"/>
      <c r="K89" s="63"/>
      <c r="L89" s="63"/>
      <c r="M89" s="63"/>
      <c r="N89" s="63"/>
      <c r="O89" s="63"/>
      <c r="P89" s="63"/>
      <c r="Q89" s="63"/>
      <c r="R89" s="63"/>
      <c r="S89" s="63"/>
      <c r="T89" s="63"/>
      <c r="U89" s="63"/>
      <c r="V89" s="63"/>
      <c r="W89" s="63"/>
      <c r="X89" s="63"/>
      <c r="Y89" s="63"/>
      <c r="Z89" s="63"/>
    </row>
    <row r="90" ht="12.0" customHeight="1">
      <c r="A90" s="64"/>
      <c r="B90" s="65"/>
      <c r="C90" s="71">
        <f t="shared" si="8"/>
        <v>3</v>
      </c>
      <c r="D90" s="72" t="s">
        <v>237</v>
      </c>
      <c r="E90" s="72" t="s">
        <v>236</v>
      </c>
      <c r="F90" s="71" t="s">
        <v>53</v>
      </c>
      <c r="G90" s="71">
        <v>1.5</v>
      </c>
      <c r="H90" s="73"/>
      <c r="I90" s="74">
        <f t="shared" si="1"/>
        <v>0</v>
      </c>
      <c r="J90" s="75"/>
      <c r="K90" s="63"/>
      <c r="L90" s="63"/>
      <c r="M90" s="63"/>
      <c r="N90" s="63"/>
      <c r="O90" s="63"/>
      <c r="P90" s="63"/>
      <c r="Q90" s="63"/>
      <c r="R90" s="63"/>
      <c r="S90" s="63"/>
      <c r="T90" s="63"/>
      <c r="U90" s="63"/>
      <c r="V90" s="63"/>
      <c r="W90" s="63"/>
      <c r="X90" s="63"/>
      <c r="Y90" s="63"/>
      <c r="Z90" s="63"/>
    </row>
    <row r="91" ht="12.0" customHeight="1">
      <c r="A91" s="64"/>
      <c r="B91" s="76" t="s">
        <v>238</v>
      </c>
      <c r="C91" s="71">
        <f t="shared" si="8"/>
        <v>4</v>
      </c>
      <c r="D91" s="72" t="s">
        <v>239</v>
      </c>
      <c r="E91" s="72" t="s">
        <v>240</v>
      </c>
      <c r="F91" s="71" t="s">
        <v>46</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64"/>
      <c r="B92" s="65"/>
      <c r="C92" s="71">
        <f t="shared" si="8"/>
        <v>5</v>
      </c>
      <c r="D92" s="72" t="s">
        <v>241</v>
      </c>
      <c r="E92" s="72" t="s">
        <v>242</v>
      </c>
      <c r="F92" s="71" t="s">
        <v>46</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64"/>
      <c r="B93" s="65"/>
      <c r="C93" s="71">
        <f t="shared" si="8"/>
        <v>6</v>
      </c>
      <c r="D93" s="72" t="s">
        <v>243</v>
      </c>
      <c r="E93" s="72" t="s">
        <v>242</v>
      </c>
      <c r="F93" s="71" t="s">
        <v>53</v>
      </c>
      <c r="G93" s="71">
        <v>1.5</v>
      </c>
      <c r="H93" s="73"/>
      <c r="I93" s="74">
        <f t="shared" si="1"/>
        <v>0</v>
      </c>
      <c r="J93" s="75"/>
      <c r="K93" s="63"/>
      <c r="L93" s="63"/>
      <c r="M93" s="63"/>
      <c r="N93" s="63"/>
      <c r="O93" s="63"/>
      <c r="P93" s="63"/>
      <c r="Q93" s="63"/>
      <c r="R93" s="63"/>
      <c r="S93" s="63"/>
      <c r="T93" s="63"/>
      <c r="U93" s="63"/>
      <c r="V93" s="63"/>
      <c r="W93" s="63"/>
      <c r="X93" s="63"/>
      <c r="Y93" s="63"/>
      <c r="Z93" s="63"/>
    </row>
    <row r="94" ht="12.0" customHeight="1">
      <c r="A94" s="64"/>
      <c r="B94" s="77"/>
      <c r="C94" s="71">
        <f t="shared" si="8"/>
        <v>7</v>
      </c>
      <c r="D94" s="72" t="s">
        <v>244</v>
      </c>
      <c r="E94" s="72" t="s">
        <v>245</v>
      </c>
      <c r="F94" s="71" t="s">
        <v>53</v>
      </c>
      <c r="G94" s="71">
        <v>1.5</v>
      </c>
      <c r="H94" s="73"/>
      <c r="I94" s="74">
        <f t="shared" si="1"/>
        <v>0</v>
      </c>
      <c r="J94" s="75"/>
      <c r="K94" s="63"/>
      <c r="L94" s="63"/>
      <c r="M94" s="63"/>
      <c r="N94" s="63"/>
      <c r="O94" s="63"/>
      <c r="P94" s="63"/>
      <c r="Q94" s="63"/>
      <c r="R94" s="63"/>
      <c r="S94" s="63"/>
      <c r="T94" s="63"/>
      <c r="U94" s="63"/>
      <c r="V94" s="63"/>
      <c r="W94" s="63"/>
      <c r="X94" s="63"/>
      <c r="Y94" s="63"/>
      <c r="Z94" s="63"/>
    </row>
    <row r="95" ht="12.0" customHeight="1">
      <c r="A95" s="64"/>
      <c r="B95" s="65" t="s">
        <v>246</v>
      </c>
      <c r="C95" s="71">
        <f t="shared" si="8"/>
        <v>8</v>
      </c>
      <c r="D95" s="72" t="s">
        <v>247</v>
      </c>
      <c r="E95" s="72" t="s">
        <v>248</v>
      </c>
      <c r="F95" s="71" t="s">
        <v>46</v>
      </c>
      <c r="G95" s="71">
        <v>1.0</v>
      </c>
      <c r="H95" s="73"/>
      <c r="I95" s="74">
        <f t="shared" si="1"/>
        <v>0</v>
      </c>
      <c r="J95" s="75"/>
      <c r="K95" s="63"/>
      <c r="L95" s="63"/>
      <c r="M95" s="63"/>
      <c r="N95" s="63"/>
      <c r="O95" s="63"/>
      <c r="P95" s="63"/>
      <c r="Q95" s="63"/>
      <c r="R95" s="63"/>
      <c r="S95" s="63"/>
      <c r="T95" s="63"/>
      <c r="U95" s="63"/>
      <c r="V95" s="63"/>
      <c r="W95" s="63"/>
      <c r="X95" s="63"/>
      <c r="Y95" s="63"/>
      <c r="Z95" s="63"/>
    </row>
    <row r="96" ht="12.0" customHeight="1">
      <c r="A96" s="64"/>
      <c r="B96" s="72" t="s">
        <v>249</v>
      </c>
      <c r="C96" s="71">
        <f t="shared" si="8"/>
        <v>9</v>
      </c>
      <c r="D96" s="72" t="s">
        <v>250</v>
      </c>
      <c r="E96" s="72" t="s">
        <v>251</v>
      </c>
      <c r="F96" s="71" t="s">
        <v>69</v>
      </c>
      <c r="G96" s="71">
        <v>1.2</v>
      </c>
      <c r="H96" s="73"/>
      <c r="I96" s="74">
        <f t="shared" si="1"/>
        <v>0</v>
      </c>
      <c r="J96" s="75"/>
      <c r="K96" s="63"/>
      <c r="L96" s="63"/>
      <c r="M96" s="63"/>
      <c r="N96" s="63"/>
      <c r="O96" s="63"/>
      <c r="P96" s="63"/>
      <c r="Q96" s="63"/>
      <c r="R96" s="63"/>
      <c r="S96" s="63"/>
      <c r="T96" s="63"/>
      <c r="U96" s="63"/>
      <c r="V96" s="63"/>
      <c r="W96" s="63"/>
      <c r="X96" s="63"/>
      <c r="Y96" s="63"/>
      <c r="Z96" s="63"/>
    </row>
    <row r="97" ht="12.0" customHeight="1">
      <c r="A97" s="64"/>
      <c r="B97" s="72" t="s">
        <v>252</v>
      </c>
      <c r="C97" s="71">
        <f t="shared" si="8"/>
        <v>10</v>
      </c>
      <c r="D97" s="72" t="s">
        <v>253</v>
      </c>
      <c r="E97" s="72" t="s">
        <v>251</v>
      </c>
      <c r="F97" s="71" t="s">
        <v>53</v>
      </c>
      <c r="G97" s="71">
        <v>1.5</v>
      </c>
      <c r="H97" s="73"/>
      <c r="I97" s="74">
        <f t="shared" si="1"/>
        <v>0</v>
      </c>
      <c r="J97" s="75"/>
      <c r="K97" s="63"/>
      <c r="L97" s="63"/>
      <c r="M97" s="63"/>
      <c r="N97" s="63"/>
      <c r="O97" s="63"/>
      <c r="P97" s="63"/>
      <c r="Q97" s="63"/>
      <c r="R97" s="63"/>
      <c r="S97" s="63"/>
      <c r="T97" s="63"/>
      <c r="U97" s="63"/>
      <c r="V97" s="63"/>
      <c r="W97" s="63"/>
      <c r="X97" s="63"/>
      <c r="Y97" s="63"/>
      <c r="Z97" s="63"/>
    </row>
    <row r="98" ht="12.0" customHeight="1">
      <c r="A98" s="78"/>
      <c r="B98" s="79" t="s">
        <v>99</v>
      </c>
      <c r="C98" s="80">
        <f t="shared" si="8"/>
        <v>11</v>
      </c>
      <c r="D98" s="79" t="s">
        <v>254</v>
      </c>
      <c r="E98" s="79" t="s">
        <v>200</v>
      </c>
      <c r="F98" s="80" t="s">
        <v>46</v>
      </c>
      <c r="G98" s="80">
        <v>1.0</v>
      </c>
      <c r="H98" s="81"/>
      <c r="I98" s="82">
        <f t="shared" si="1"/>
        <v>0</v>
      </c>
      <c r="J98" s="83"/>
      <c r="K98" s="63"/>
      <c r="L98" s="63"/>
      <c r="M98" s="63"/>
      <c r="N98" s="63"/>
      <c r="O98" s="63"/>
      <c r="P98" s="63"/>
      <c r="Q98" s="63"/>
      <c r="R98" s="63"/>
      <c r="S98" s="63"/>
      <c r="T98" s="63"/>
      <c r="U98" s="63"/>
      <c r="V98" s="63"/>
      <c r="W98" s="63"/>
      <c r="X98" s="63"/>
      <c r="Y98" s="63"/>
      <c r="Z98" s="63"/>
    </row>
    <row r="99" ht="12.0" customHeight="1">
      <c r="A99" s="64" t="s">
        <v>255</v>
      </c>
      <c r="B99" s="65" t="s">
        <v>256</v>
      </c>
      <c r="C99" s="84">
        <v>1.0</v>
      </c>
      <c r="D99" s="77" t="s">
        <v>257</v>
      </c>
      <c r="E99" s="77" t="s">
        <v>258</v>
      </c>
      <c r="F99" s="84" t="s">
        <v>53</v>
      </c>
      <c r="G99" s="84">
        <v>1.5</v>
      </c>
      <c r="H99" s="85"/>
      <c r="I99" s="86">
        <f t="shared" si="1"/>
        <v>0</v>
      </c>
      <c r="J99" s="87"/>
      <c r="K99" s="63"/>
      <c r="L99" s="63"/>
      <c r="M99" s="63"/>
      <c r="N99" s="63"/>
      <c r="O99" s="63"/>
      <c r="P99" s="63"/>
      <c r="Q99" s="63"/>
      <c r="R99" s="63"/>
      <c r="S99" s="63"/>
      <c r="T99" s="63"/>
      <c r="U99" s="63"/>
      <c r="V99" s="63"/>
      <c r="W99" s="63"/>
      <c r="X99" s="63"/>
      <c r="Y99" s="63"/>
      <c r="Z99" s="63"/>
    </row>
    <row r="100" ht="12.0" customHeight="1">
      <c r="A100" s="64"/>
      <c r="B100" s="65"/>
      <c r="C100" s="71">
        <f t="shared" ref="C100:C103" si="9">C99+1</f>
        <v>2</v>
      </c>
      <c r="D100" s="72" t="s">
        <v>259</v>
      </c>
      <c r="E100" s="72" t="s">
        <v>260</v>
      </c>
      <c r="F100" s="71" t="s">
        <v>53</v>
      </c>
      <c r="G100" s="71">
        <v>1.5</v>
      </c>
      <c r="H100" s="73"/>
      <c r="I100" s="74">
        <f t="shared" si="1"/>
        <v>0</v>
      </c>
      <c r="J100" s="75"/>
      <c r="K100" s="63"/>
      <c r="L100" s="63"/>
      <c r="M100" s="63"/>
      <c r="N100" s="63"/>
      <c r="O100" s="63"/>
      <c r="P100" s="63"/>
      <c r="Q100" s="63"/>
      <c r="R100" s="63"/>
      <c r="S100" s="63"/>
      <c r="T100" s="63"/>
      <c r="U100" s="63"/>
      <c r="V100" s="63"/>
      <c r="W100" s="63"/>
      <c r="X100" s="63"/>
      <c r="Y100" s="63"/>
      <c r="Z100" s="63"/>
    </row>
    <row r="101" ht="12.0" customHeight="1">
      <c r="A101" s="64"/>
      <c r="B101" s="76" t="s">
        <v>261</v>
      </c>
      <c r="C101" s="71">
        <f t="shared" si="9"/>
        <v>3</v>
      </c>
      <c r="D101" s="72" t="s">
        <v>262</v>
      </c>
      <c r="E101" s="72" t="s">
        <v>260</v>
      </c>
      <c r="F101" s="71" t="s">
        <v>53</v>
      </c>
      <c r="G101" s="71">
        <v>1.5</v>
      </c>
      <c r="H101" s="73"/>
      <c r="I101" s="74">
        <f t="shared" si="1"/>
        <v>0</v>
      </c>
      <c r="J101" s="75"/>
      <c r="K101" s="63"/>
      <c r="L101" s="63"/>
      <c r="M101" s="63"/>
      <c r="N101" s="63"/>
      <c r="O101" s="63"/>
      <c r="P101" s="63"/>
      <c r="Q101" s="63"/>
      <c r="R101" s="63"/>
      <c r="S101" s="63"/>
      <c r="T101" s="63"/>
      <c r="U101" s="63"/>
      <c r="V101" s="63"/>
      <c r="W101" s="63"/>
      <c r="X101" s="63"/>
      <c r="Y101" s="63"/>
      <c r="Z101" s="63"/>
    </row>
    <row r="102" ht="12.0" customHeight="1">
      <c r="A102" s="64"/>
      <c r="B102" s="77"/>
      <c r="C102" s="71">
        <f t="shared" si="9"/>
        <v>4</v>
      </c>
      <c r="D102" s="72" t="s">
        <v>263</v>
      </c>
      <c r="E102" s="72" t="s">
        <v>260</v>
      </c>
      <c r="F102" s="71" t="s">
        <v>53</v>
      </c>
      <c r="G102" s="71">
        <v>1.5</v>
      </c>
      <c r="H102" s="73"/>
      <c r="I102" s="74">
        <f t="shared" si="1"/>
        <v>0</v>
      </c>
      <c r="J102" s="75"/>
      <c r="K102" s="63"/>
      <c r="L102" s="63"/>
      <c r="M102" s="63"/>
      <c r="N102" s="63"/>
      <c r="O102" s="63"/>
      <c r="P102" s="63"/>
      <c r="Q102" s="63"/>
      <c r="R102" s="63"/>
      <c r="S102" s="63"/>
      <c r="T102" s="63"/>
      <c r="U102" s="63"/>
      <c r="V102" s="63"/>
      <c r="W102" s="63"/>
      <c r="X102" s="63"/>
      <c r="Y102" s="63"/>
      <c r="Z102" s="63"/>
    </row>
    <row r="103" ht="12.0" customHeight="1">
      <c r="A103" s="78"/>
      <c r="B103" s="88" t="s">
        <v>99</v>
      </c>
      <c r="C103" s="80">
        <f t="shared" si="9"/>
        <v>5</v>
      </c>
      <c r="D103" s="79" t="s">
        <v>264</v>
      </c>
      <c r="E103" s="79" t="s">
        <v>200</v>
      </c>
      <c r="F103" s="80" t="s">
        <v>46</v>
      </c>
      <c r="G103" s="80">
        <v>1.0</v>
      </c>
      <c r="H103" s="81"/>
      <c r="I103" s="82">
        <f t="shared" si="1"/>
        <v>0</v>
      </c>
      <c r="J103" s="83"/>
      <c r="K103" s="63"/>
      <c r="L103" s="63"/>
      <c r="M103" s="63"/>
      <c r="N103" s="63"/>
      <c r="O103" s="63"/>
      <c r="P103" s="63"/>
      <c r="Q103" s="63"/>
      <c r="R103" s="63"/>
      <c r="S103" s="63"/>
      <c r="T103" s="63"/>
      <c r="U103" s="63"/>
      <c r="V103" s="63"/>
      <c r="W103" s="63"/>
      <c r="X103" s="63"/>
      <c r="Y103" s="63"/>
      <c r="Z103" s="63"/>
    </row>
    <row r="104" ht="12.0" customHeight="1">
      <c r="A104" s="64" t="s">
        <v>265</v>
      </c>
      <c r="B104" s="65" t="s">
        <v>266</v>
      </c>
      <c r="C104" s="84">
        <v>1.0</v>
      </c>
      <c r="D104" s="77" t="s">
        <v>267</v>
      </c>
      <c r="E104" s="77" t="s">
        <v>268</v>
      </c>
      <c r="F104" s="84" t="s">
        <v>53</v>
      </c>
      <c r="G104" s="84">
        <v>1.5</v>
      </c>
      <c r="H104" s="85"/>
      <c r="I104" s="86">
        <f t="shared" si="1"/>
        <v>0</v>
      </c>
      <c r="J104" s="87"/>
      <c r="K104" s="63"/>
      <c r="L104" s="63"/>
      <c r="M104" s="63"/>
      <c r="N104" s="63"/>
      <c r="O104" s="63"/>
      <c r="P104" s="63"/>
      <c r="Q104" s="63"/>
      <c r="R104" s="63"/>
      <c r="S104" s="63"/>
      <c r="T104" s="63"/>
      <c r="U104" s="63"/>
      <c r="V104" s="63"/>
      <c r="W104" s="63"/>
      <c r="X104" s="63"/>
      <c r="Y104" s="63"/>
      <c r="Z104" s="63"/>
    </row>
    <row r="105" ht="12.0" customHeight="1">
      <c r="A105" s="64"/>
      <c r="B105" s="65"/>
      <c r="C105" s="71">
        <f t="shared" ref="C105:C112" si="10">C104+1</f>
        <v>2</v>
      </c>
      <c r="D105" s="72" t="s">
        <v>269</v>
      </c>
      <c r="E105" s="72" t="s">
        <v>270</v>
      </c>
      <c r="F105" s="71" t="s">
        <v>53</v>
      </c>
      <c r="G105" s="71">
        <v>1.5</v>
      </c>
      <c r="H105" s="73"/>
      <c r="I105" s="74">
        <f t="shared" si="1"/>
        <v>0</v>
      </c>
      <c r="J105" s="75"/>
      <c r="K105" s="63"/>
      <c r="L105" s="63"/>
      <c r="M105" s="63"/>
      <c r="N105" s="63"/>
      <c r="O105" s="63"/>
      <c r="P105" s="63"/>
      <c r="Q105" s="63"/>
      <c r="R105" s="63"/>
      <c r="S105" s="63"/>
      <c r="T105" s="63"/>
      <c r="U105" s="63"/>
      <c r="V105" s="63"/>
      <c r="W105" s="63"/>
      <c r="X105" s="63"/>
      <c r="Y105" s="63"/>
      <c r="Z105" s="63"/>
    </row>
    <row r="106" ht="12.0" customHeight="1">
      <c r="A106" s="64"/>
      <c r="B106" s="65"/>
      <c r="C106" s="71">
        <f t="shared" si="10"/>
        <v>3</v>
      </c>
      <c r="D106" s="72" t="s">
        <v>271</v>
      </c>
      <c r="E106" s="72" t="s">
        <v>268</v>
      </c>
      <c r="F106" s="71" t="s">
        <v>69</v>
      </c>
      <c r="G106" s="71">
        <v>1.2</v>
      </c>
      <c r="H106" s="73"/>
      <c r="I106" s="74">
        <f t="shared" si="1"/>
        <v>0</v>
      </c>
      <c r="J106" s="75"/>
      <c r="K106" s="63"/>
      <c r="L106" s="63"/>
      <c r="M106" s="63"/>
      <c r="N106" s="63"/>
      <c r="O106" s="63"/>
      <c r="P106" s="63"/>
      <c r="Q106" s="63"/>
      <c r="R106" s="63"/>
      <c r="S106" s="63"/>
      <c r="T106" s="63"/>
      <c r="U106" s="63"/>
      <c r="V106" s="63"/>
      <c r="W106" s="63"/>
      <c r="X106" s="63"/>
      <c r="Y106" s="63"/>
      <c r="Z106" s="63"/>
    </row>
    <row r="107" ht="12.0" customHeight="1">
      <c r="A107" s="64"/>
      <c r="B107" s="72" t="s">
        <v>272</v>
      </c>
      <c r="C107" s="71">
        <f t="shared" si="10"/>
        <v>4</v>
      </c>
      <c r="D107" s="72" t="s">
        <v>273</v>
      </c>
      <c r="E107" s="72" t="s">
        <v>274</v>
      </c>
      <c r="F107" s="71" t="s">
        <v>53</v>
      </c>
      <c r="G107" s="71">
        <v>1.5</v>
      </c>
      <c r="H107" s="73"/>
      <c r="I107" s="74">
        <f t="shared" si="1"/>
        <v>0</v>
      </c>
      <c r="J107" s="75"/>
      <c r="K107" s="63"/>
      <c r="L107" s="63"/>
      <c r="M107" s="63"/>
      <c r="N107" s="63"/>
      <c r="O107" s="63"/>
      <c r="P107" s="63"/>
      <c r="Q107" s="63"/>
      <c r="R107" s="63"/>
      <c r="S107" s="63"/>
      <c r="T107" s="63"/>
      <c r="U107" s="63"/>
      <c r="V107" s="63"/>
      <c r="W107" s="63"/>
      <c r="X107" s="63"/>
      <c r="Y107" s="63"/>
      <c r="Z107" s="63"/>
    </row>
    <row r="108" ht="12.0" customHeight="1">
      <c r="A108" s="64"/>
      <c r="B108" s="65" t="s">
        <v>275</v>
      </c>
      <c r="C108" s="71">
        <f t="shared" si="10"/>
        <v>5</v>
      </c>
      <c r="D108" s="72" t="s">
        <v>276</v>
      </c>
      <c r="E108" s="72" t="s">
        <v>277</v>
      </c>
      <c r="F108" s="71" t="s">
        <v>53</v>
      </c>
      <c r="G108" s="71">
        <v>1.5</v>
      </c>
      <c r="H108" s="73"/>
      <c r="I108" s="74">
        <f t="shared" si="1"/>
        <v>0</v>
      </c>
      <c r="J108" s="75"/>
      <c r="K108" s="63"/>
      <c r="L108" s="63"/>
      <c r="M108" s="63"/>
      <c r="N108" s="63"/>
      <c r="O108" s="63"/>
      <c r="P108" s="63"/>
      <c r="Q108" s="63"/>
      <c r="R108" s="63"/>
      <c r="S108" s="63"/>
      <c r="T108" s="63"/>
      <c r="U108" s="63"/>
      <c r="V108" s="63"/>
      <c r="W108" s="63"/>
      <c r="X108" s="63"/>
      <c r="Y108" s="63"/>
      <c r="Z108" s="63"/>
    </row>
    <row r="109" ht="12.0" customHeight="1">
      <c r="A109" s="64"/>
      <c r="B109" s="65"/>
      <c r="C109" s="71">
        <f t="shared" si="10"/>
        <v>6</v>
      </c>
      <c r="D109" s="72" t="s">
        <v>278</v>
      </c>
      <c r="E109" s="72" t="s">
        <v>279</v>
      </c>
      <c r="F109" s="71" t="s">
        <v>53</v>
      </c>
      <c r="G109" s="71">
        <v>1.5</v>
      </c>
      <c r="H109" s="73"/>
      <c r="I109" s="74">
        <f t="shared" si="1"/>
        <v>0</v>
      </c>
      <c r="J109" s="75"/>
      <c r="K109" s="63"/>
      <c r="L109" s="63"/>
      <c r="M109" s="63"/>
      <c r="N109" s="63"/>
      <c r="O109" s="63"/>
      <c r="P109" s="63"/>
      <c r="Q109" s="63"/>
      <c r="R109" s="63"/>
      <c r="S109" s="63"/>
      <c r="T109" s="63"/>
      <c r="U109" s="63"/>
      <c r="V109" s="63"/>
      <c r="W109" s="63"/>
      <c r="X109" s="63"/>
      <c r="Y109" s="63"/>
      <c r="Z109" s="63"/>
    </row>
    <row r="110" ht="12.0" customHeight="1">
      <c r="A110" s="64"/>
      <c r="B110" s="65"/>
      <c r="C110" s="71">
        <f t="shared" si="10"/>
        <v>7</v>
      </c>
      <c r="D110" s="72" t="s">
        <v>280</v>
      </c>
      <c r="E110" s="72" t="s">
        <v>279</v>
      </c>
      <c r="F110" s="71" t="s">
        <v>53</v>
      </c>
      <c r="G110" s="71">
        <v>1.5</v>
      </c>
      <c r="H110" s="73"/>
      <c r="I110" s="74">
        <f t="shared" si="1"/>
        <v>0</v>
      </c>
      <c r="J110" s="75"/>
      <c r="K110" s="63"/>
      <c r="L110" s="63"/>
      <c r="M110" s="63"/>
      <c r="N110" s="63"/>
      <c r="O110" s="63"/>
      <c r="P110" s="63"/>
      <c r="Q110" s="63"/>
      <c r="R110" s="63"/>
      <c r="S110" s="63"/>
      <c r="T110" s="63"/>
      <c r="U110" s="63"/>
      <c r="V110" s="63"/>
      <c r="W110" s="63"/>
      <c r="X110" s="63"/>
      <c r="Y110" s="63"/>
      <c r="Z110" s="63"/>
    </row>
    <row r="111" ht="12.0" customHeight="1">
      <c r="A111" s="64"/>
      <c r="B111" s="65"/>
      <c r="C111" s="71">
        <f t="shared" si="10"/>
        <v>8</v>
      </c>
      <c r="D111" s="72" t="s">
        <v>281</v>
      </c>
      <c r="E111" s="72" t="s">
        <v>282</v>
      </c>
      <c r="F111" s="71" t="s">
        <v>69</v>
      </c>
      <c r="G111" s="71">
        <v>1.2</v>
      </c>
      <c r="H111" s="73"/>
      <c r="I111" s="74">
        <f t="shared" si="1"/>
        <v>0</v>
      </c>
      <c r="J111" s="75"/>
      <c r="K111" s="63"/>
      <c r="L111" s="63"/>
      <c r="M111" s="63"/>
      <c r="N111" s="63"/>
      <c r="O111" s="63"/>
      <c r="P111" s="63"/>
      <c r="Q111" s="63"/>
      <c r="R111" s="63"/>
      <c r="S111" s="63"/>
      <c r="T111" s="63"/>
      <c r="U111" s="63"/>
      <c r="V111" s="63"/>
      <c r="W111" s="63"/>
      <c r="X111" s="63"/>
      <c r="Y111" s="63"/>
      <c r="Z111" s="63"/>
    </row>
    <row r="112" ht="12.0" customHeight="1">
      <c r="A112" s="78"/>
      <c r="B112" s="79" t="s">
        <v>99</v>
      </c>
      <c r="C112" s="80">
        <f t="shared" si="10"/>
        <v>9</v>
      </c>
      <c r="D112" s="79" t="s">
        <v>283</v>
      </c>
      <c r="E112" s="79" t="s">
        <v>200</v>
      </c>
      <c r="F112" s="80" t="s">
        <v>46</v>
      </c>
      <c r="G112" s="80">
        <v>1.0</v>
      </c>
      <c r="H112" s="81"/>
      <c r="I112" s="82">
        <f t="shared" si="1"/>
        <v>0</v>
      </c>
      <c r="J112" s="83"/>
      <c r="K112" s="63"/>
      <c r="L112" s="63"/>
      <c r="M112" s="63"/>
      <c r="N112" s="63"/>
      <c r="O112" s="63"/>
      <c r="P112" s="63"/>
      <c r="Q112" s="63"/>
      <c r="R112" s="63"/>
      <c r="S112" s="63"/>
      <c r="T112" s="63"/>
      <c r="U112" s="63"/>
      <c r="V112" s="63"/>
      <c r="W112" s="63"/>
      <c r="X112" s="63"/>
      <c r="Y112" s="63"/>
      <c r="Z112" s="63"/>
    </row>
    <row r="113" ht="12.0" customHeight="1">
      <c r="A113" s="64" t="s">
        <v>284</v>
      </c>
      <c r="B113" s="65" t="s">
        <v>285</v>
      </c>
      <c r="C113" s="84">
        <v>1.0</v>
      </c>
      <c r="D113" s="77" t="s">
        <v>286</v>
      </c>
      <c r="E113" s="77" t="s">
        <v>287</v>
      </c>
      <c r="F113" s="84" t="s">
        <v>46</v>
      </c>
      <c r="G113" s="84">
        <v>1.0</v>
      </c>
      <c r="H113" s="85"/>
      <c r="I113" s="86">
        <f t="shared" si="1"/>
        <v>0</v>
      </c>
      <c r="J113" s="87"/>
      <c r="K113" s="63"/>
      <c r="L113" s="63"/>
      <c r="M113" s="63"/>
      <c r="N113" s="63"/>
      <c r="O113" s="63"/>
      <c r="P113" s="63"/>
      <c r="Q113" s="63"/>
      <c r="R113" s="63"/>
      <c r="S113" s="63"/>
      <c r="T113" s="63"/>
      <c r="U113" s="63"/>
      <c r="V113" s="63"/>
      <c r="W113" s="63"/>
      <c r="X113" s="63"/>
      <c r="Y113" s="63"/>
      <c r="Z113" s="63"/>
    </row>
    <row r="114" ht="12.0" customHeight="1">
      <c r="A114" s="64"/>
      <c r="B114" s="65"/>
      <c r="C114" s="71">
        <f t="shared" ref="C114:C125" si="11">C113+1</f>
        <v>2</v>
      </c>
      <c r="D114" s="72" t="s">
        <v>288</v>
      </c>
      <c r="E114" s="72" t="s">
        <v>289</v>
      </c>
      <c r="F114" s="71" t="s">
        <v>46</v>
      </c>
      <c r="G114" s="71">
        <v>1.0</v>
      </c>
      <c r="H114" s="73"/>
      <c r="I114" s="74">
        <f t="shared" si="1"/>
        <v>0</v>
      </c>
      <c r="J114" s="75"/>
      <c r="K114" s="63"/>
      <c r="L114" s="63"/>
      <c r="M114" s="63"/>
      <c r="N114" s="63"/>
      <c r="O114" s="63"/>
      <c r="P114" s="63"/>
      <c r="Q114" s="63"/>
      <c r="R114" s="63"/>
      <c r="S114" s="63"/>
      <c r="T114" s="63"/>
      <c r="U114" s="63"/>
      <c r="V114" s="63"/>
      <c r="W114" s="63"/>
      <c r="X114" s="63"/>
      <c r="Y114" s="63"/>
      <c r="Z114" s="63"/>
    </row>
    <row r="115" ht="12.0" customHeight="1">
      <c r="A115" s="64"/>
      <c r="B115" s="65"/>
      <c r="C115" s="71">
        <f t="shared" si="11"/>
        <v>3</v>
      </c>
      <c r="D115" s="72" t="s">
        <v>290</v>
      </c>
      <c r="E115" s="72" t="s">
        <v>291</v>
      </c>
      <c r="F115" s="71" t="s">
        <v>46</v>
      </c>
      <c r="G115" s="71">
        <v>1.0</v>
      </c>
      <c r="H115" s="73"/>
      <c r="I115" s="74">
        <f t="shared" si="1"/>
        <v>0</v>
      </c>
      <c r="J115" s="75"/>
      <c r="K115" s="63"/>
      <c r="L115" s="63"/>
      <c r="M115" s="63"/>
      <c r="N115" s="63"/>
      <c r="O115" s="63"/>
      <c r="P115" s="63"/>
      <c r="Q115" s="63"/>
      <c r="R115" s="63"/>
      <c r="S115" s="63"/>
      <c r="T115" s="63"/>
      <c r="U115" s="63"/>
      <c r="V115" s="63"/>
      <c r="W115" s="63"/>
      <c r="X115" s="63"/>
      <c r="Y115" s="63"/>
      <c r="Z115" s="63"/>
    </row>
    <row r="116" ht="12.0" customHeight="1">
      <c r="A116" s="64"/>
      <c r="B116" s="76" t="s">
        <v>292</v>
      </c>
      <c r="C116" s="71">
        <f t="shared" si="11"/>
        <v>4</v>
      </c>
      <c r="D116" s="72" t="s">
        <v>293</v>
      </c>
      <c r="E116" s="72" t="s">
        <v>58</v>
      </c>
      <c r="F116" s="71" t="s">
        <v>46</v>
      </c>
      <c r="G116" s="71">
        <v>1.0</v>
      </c>
      <c r="H116" s="73"/>
      <c r="I116" s="74">
        <f t="shared" si="1"/>
        <v>0</v>
      </c>
      <c r="J116" s="75"/>
      <c r="K116" s="63"/>
      <c r="L116" s="63"/>
      <c r="M116" s="63"/>
      <c r="N116" s="63"/>
      <c r="O116" s="63"/>
      <c r="P116" s="63"/>
      <c r="Q116" s="63"/>
      <c r="R116" s="63"/>
      <c r="S116" s="63"/>
      <c r="T116" s="63"/>
      <c r="U116" s="63"/>
      <c r="V116" s="63"/>
      <c r="W116" s="63"/>
      <c r="X116" s="63"/>
      <c r="Y116" s="63"/>
      <c r="Z116" s="63"/>
    </row>
    <row r="117" ht="12.0" customHeight="1">
      <c r="A117" s="64"/>
      <c r="B117" s="65"/>
      <c r="C117" s="71">
        <f t="shared" si="11"/>
        <v>5</v>
      </c>
      <c r="D117" s="72" t="s">
        <v>294</v>
      </c>
      <c r="E117" s="72" t="s">
        <v>91</v>
      </c>
      <c r="F117" s="71" t="s">
        <v>46</v>
      </c>
      <c r="G117" s="71">
        <v>1.0</v>
      </c>
      <c r="H117" s="73"/>
      <c r="I117" s="74">
        <f t="shared" si="1"/>
        <v>0</v>
      </c>
      <c r="J117" s="75"/>
      <c r="K117" s="63"/>
      <c r="L117" s="63"/>
      <c r="M117" s="63"/>
      <c r="N117" s="63"/>
      <c r="O117" s="63"/>
      <c r="P117" s="63"/>
      <c r="Q117" s="63"/>
      <c r="R117" s="63"/>
      <c r="S117" s="63"/>
      <c r="T117" s="63"/>
      <c r="U117" s="63"/>
      <c r="V117" s="63"/>
      <c r="W117" s="63"/>
      <c r="X117" s="63"/>
      <c r="Y117" s="63"/>
      <c r="Z117" s="63"/>
    </row>
    <row r="118" ht="12.0" customHeight="1">
      <c r="A118" s="64"/>
      <c r="B118" s="65"/>
      <c r="C118" s="71">
        <f t="shared" si="11"/>
        <v>6</v>
      </c>
      <c r="D118" s="72" t="s">
        <v>295</v>
      </c>
      <c r="E118" s="72" t="s">
        <v>296</v>
      </c>
      <c r="F118" s="71" t="s">
        <v>46</v>
      </c>
      <c r="G118" s="71">
        <v>1.0</v>
      </c>
      <c r="H118" s="73"/>
      <c r="I118" s="74">
        <f t="shared" si="1"/>
        <v>0</v>
      </c>
      <c r="J118" s="75"/>
      <c r="K118" s="63"/>
      <c r="L118" s="63"/>
      <c r="M118" s="63"/>
      <c r="N118" s="63"/>
      <c r="O118" s="63"/>
      <c r="P118" s="63"/>
      <c r="Q118" s="63"/>
      <c r="R118" s="63"/>
      <c r="S118" s="63"/>
      <c r="T118" s="63"/>
      <c r="U118" s="63"/>
      <c r="V118" s="63"/>
      <c r="W118" s="63"/>
      <c r="X118" s="63"/>
      <c r="Y118" s="63"/>
      <c r="Z118" s="63"/>
    </row>
    <row r="119" ht="12.0" customHeight="1">
      <c r="A119" s="64"/>
      <c r="B119" s="77"/>
      <c r="C119" s="71">
        <f t="shared" si="11"/>
        <v>7</v>
      </c>
      <c r="D119" s="72" t="s">
        <v>297</v>
      </c>
      <c r="E119" s="72" t="s">
        <v>130</v>
      </c>
      <c r="F119" s="71" t="s">
        <v>46</v>
      </c>
      <c r="G119" s="71">
        <v>1.0</v>
      </c>
      <c r="H119" s="73"/>
      <c r="I119" s="74">
        <f t="shared" si="1"/>
        <v>0</v>
      </c>
      <c r="J119" s="75"/>
      <c r="K119" s="63"/>
      <c r="L119" s="63"/>
      <c r="M119" s="63"/>
      <c r="N119" s="63"/>
      <c r="O119" s="63"/>
      <c r="P119" s="63"/>
      <c r="Q119" s="63"/>
      <c r="R119" s="63"/>
      <c r="S119" s="63"/>
      <c r="T119" s="63"/>
      <c r="U119" s="63"/>
      <c r="V119" s="63"/>
      <c r="W119" s="63"/>
      <c r="X119" s="63"/>
      <c r="Y119" s="63"/>
      <c r="Z119" s="63"/>
    </row>
    <row r="120" ht="12.0" customHeight="1">
      <c r="A120" s="64"/>
      <c r="B120" s="65" t="s">
        <v>298</v>
      </c>
      <c r="C120" s="71">
        <f t="shared" si="11"/>
        <v>8</v>
      </c>
      <c r="D120" s="72" t="s">
        <v>299</v>
      </c>
      <c r="E120" s="72" t="s">
        <v>300</v>
      </c>
      <c r="F120" s="71" t="s">
        <v>46</v>
      </c>
      <c r="G120" s="71">
        <v>1.0</v>
      </c>
      <c r="H120" s="73"/>
      <c r="I120" s="74">
        <f t="shared" si="1"/>
        <v>0</v>
      </c>
      <c r="J120" s="75"/>
      <c r="K120" s="63"/>
      <c r="L120" s="63"/>
      <c r="M120" s="63"/>
      <c r="N120" s="63"/>
      <c r="O120" s="63"/>
      <c r="P120" s="63"/>
      <c r="Q120" s="63"/>
      <c r="R120" s="63"/>
      <c r="S120" s="63"/>
      <c r="T120" s="63"/>
      <c r="U120" s="63"/>
      <c r="V120" s="63"/>
      <c r="W120" s="63"/>
      <c r="X120" s="63"/>
      <c r="Y120" s="63"/>
      <c r="Z120" s="63"/>
    </row>
    <row r="121" ht="12.0" customHeight="1">
      <c r="A121" s="64"/>
      <c r="B121" s="65"/>
      <c r="C121" s="71">
        <f t="shared" si="11"/>
        <v>9</v>
      </c>
      <c r="D121" s="72" t="s">
        <v>301</v>
      </c>
      <c r="E121" s="72" t="s">
        <v>302</v>
      </c>
      <c r="F121" s="71" t="s">
        <v>46</v>
      </c>
      <c r="G121" s="71">
        <v>1.0</v>
      </c>
      <c r="H121" s="73"/>
      <c r="I121" s="74">
        <f t="shared" si="1"/>
        <v>0</v>
      </c>
      <c r="J121" s="75"/>
      <c r="K121" s="63"/>
      <c r="L121" s="63"/>
      <c r="M121" s="63"/>
      <c r="N121" s="63"/>
      <c r="O121" s="63"/>
      <c r="P121" s="63"/>
      <c r="Q121" s="63"/>
      <c r="R121" s="63"/>
      <c r="S121" s="63"/>
      <c r="T121" s="63"/>
      <c r="U121" s="63"/>
      <c r="V121" s="63"/>
      <c r="W121" s="63"/>
      <c r="X121" s="63"/>
      <c r="Y121" s="63"/>
      <c r="Z121" s="63"/>
    </row>
    <row r="122" ht="12.0" customHeight="1">
      <c r="A122" s="64"/>
      <c r="B122" s="65"/>
      <c r="C122" s="71">
        <f t="shared" si="11"/>
        <v>10</v>
      </c>
      <c r="D122" s="72" t="s">
        <v>303</v>
      </c>
      <c r="E122" s="72" t="s">
        <v>304</v>
      </c>
      <c r="F122" s="71" t="s">
        <v>46</v>
      </c>
      <c r="G122" s="71">
        <v>1.0</v>
      </c>
      <c r="H122" s="73"/>
      <c r="I122" s="74">
        <f t="shared" si="1"/>
        <v>0</v>
      </c>
      <c r="J122" s="75"/>
      <c r="K122" s="63"/>
      <c r="L122" s="63"/>
      <c r="M122" s="63"/>
      <c r="N122" s="63"/>
      <c r="O122" s="63"/>
      <c r="P122" s="63"/>
      <c r="Q122" s="63"/>
      <c r="R122" s="63"/>
      <c r="S122" s="63"/>
      <c r="T122" s="63"/>
      <c r="U122" s="63"/>
      <c r="V122" s="63"/>
      <c r="W122" s="63"/>
      <c r="X122" s="63"/>
      <c r="Y122" s="63"/>
      <c r="Z122" s="63"/>
    </row>
    <row r="123" ht="12.0" customHeight="1">
      <c r="A123" s="64"/>
      <c r="B123" s="65"/>
      <c r="C123" s="71">
        <f t="shared" si="11"/>
        <v>11</v>
      </c>
      <c r="D123" s="72" t="s">
        <v>305</v>
      </c>
      <c r="E123" s="72" t="s">
        <v>306</v>
      </c>
      <c r="F123" s="71" t="s">
        <v>46</v>
      </c>
      <c r="G123" s="71">
        <v>1.0</v>
      </c>
      <c r="H123" s="73"/>
      <c r="I123" s="74">
        <f t="shared" si="1"/>
        <v>0</v>
      </c>
      <c r="J123" s="75"/>
      <c r="K123" s="63"/>
      <c r="L123" s="63"/>
      <c r="M123" s="63"/>
      <c r="N123" s="63"/>
      <c r="O123" s="63"/>
      <c r="P123" s="63"/>
      <c r="Q123" s="63"/>
      <c r="R123" s="63"/>
      <c r="S123" s="63"/>
      <c r="T123" s="63"/>
      <c r="U123" s="63"/>
      <c r="V123" s="63"/>
      <c r="W123" s="63"/>
      <c r="X123" s="63"/>
      <c r="Y123" s="63"/>
      <c r="Z123" s="63"/>
    </row>
    <row r="124" ht="12.0" customHeight="1">
      <c r="A124" s="64"/>
      <c r="B124" s="65"/>
      <c r="C124" s="71">
        <f t="shared" si="11"/>
        <v>12</v>
      </c>
      <c r="D124" s="72" t="s">
        <v>307</v>
      </c>
      <c r="E124" s="72" t="s">
        <v>151</v>
      </c>
      <c r="F124" s="71" t="s">
        <v>46</v>
      </c>
      <c r="G124" s="71">
        <v>1.0</v>
      </c>
      <c r="H124" s="73"/>
      <c r="I124" s="74">
        <f t="shared" si="1"/>
        <v>0</v>
      </c>
      <c r="J124" s="75"/>
      <c r="K124" s="63"/>
      <c r="L124" s="63"/>
      <c r="M124" s="63"/>
      <c r="N124" s="63"/>
      <c r="O124" s="63"/>
      <c r="P124" s="63"/>
      <c r="Q124" s="63"/>
      <c r="R124" s="63"/>
      <c r="S124" s="63"/>
      <c r="T124" s="63"/>
      <c r="U124" s="63"/>
      <c r="V124" s="63"/>
      <c r="W124" s="63"/>
      <c r="X124" s="63"/>
      <c r="Y124" s="63"/>
      <c r="Z124" s="63"/>
    </row>
    <row r="125" ht="12.0" customHeight="1">
      <c r="A125" s="78"/>
      <c r="B125" s="79" t="s">
        <v>99</v>
      </c>
      <c r="C125" s="80">
        <f t="shared" si="11"/>
        <v>13</v>
      </c>
      <c r="D125" s="79" t="s">
        <v>308</v>
      </c>
      <c r="E125" s="79" t="s">
        <v>200</v>
      </c>
      <c r="F125" s="80" t="s">
        <v>46</v>
      </c>
      <c r="G125" s="80">
        <v>1.0</v>
      </c>
      <c r="H125" s="81"/>
      <c r="I125" s="82">
        <f t="shared" si="1"/>
        <v>0</v>
      </c>
      <c r="J125" s="83"/>
      <c r="K125" s="63"/>
      <c r="L125" s="63"/>
      <c r="M125" s="63"/>
      <c r="N125" s="63"/>
      <c r="O125" s="63"/>
      <c r="P125" s="63"/>
      <c r="Q125" s="63"/>
      <c r="R125" s="63"/>
      <c r="S125" s="63"/>
      <c r="T125" s="63"/>
      <c r="U125" s="63"/>
      <c r="V125" s="63"/>
      <c r="W125" s="63"/>
      <c r="X125" s="63"/>
      <c r="Y125" s="63"/>
      <c r="Z125" s="63"/>
    </row>
    <row r="126" ht="12.0" customHeight="1">
      <c r="A126" s="64" t="s">
        <v>309</v>
      </c>
      <c r="B126" s="65" t="s">
        <v>310</v>
      </c>
      <c r="C126" s="84">
        <v>1.0</v>
      </c>
      <c r="D126" s="77" t="s">
        <v>311</v>
      </c>
      <c r="E126" s="77" t="s">
        <v>56</v>
      </c>
      <c r="F126" s="84" t="s">
        <v>46</v>
      </c>
      <c r="G126" s="84">
        <v>1.0</v>
      </c>
      <c r="H126" s="85"/>
      <c r="I126" s="86">
        <f t="shared" si="1"/>
        <v>0</v>
      </c>
      <c r="J126" s="87"/>
      <c r="K126" s="63"/>
      <c r="L126" s="63"/>
      <c r="M126" s="63"/>
      <c r="N126" s="63"/>
      <c r="O126" s="63"/>
      <c r="P126" s="63"/>
      <c r="Q126" s="63"/>
      <c r="R126" s="63"/>
      <c r="S126" s="63"/>
      <c r="T126" s="63"/>
      <c r="U126" s="63"/>
      <c r="V126" s="63"/>
      <c r="W126" s="63"/>
      <c r="X126" s="63"/>
      <c r="Y126" s="63"/>
      <c r="Z126" s="63"/>
    </row>
    <row r="127" ht="12.0" customHeight="1">
      <c r="A127" s="64"/>
      <c r="B127" s="65"/>
      <c r="C127" s="71">
        <f t="shared" ref="C127:C175" si="12">C126+1</f>
        <v>2</v>
      </c>
      <c r="D127" s="72" t="s">
        <v>312</v>
      </c>
      <c r="E127" s="72" t="s">
        <v>313</v>
      </c>
      <c r="F127" s="71" t="s">
        <v>46</v>
      </c>
      <c r="G127" s="71">
        <v>1.0</v>
      </c>
      <c r="H127" s="73"/>
      <c r="I127" s="74">
        <f t="shared" si="1"/>
        <v>0</v>
      </c>
      <c r="J127" s="75"/>
      <c r="K127" s="63"/>
      <c r="L127" s="63"/>
      <c r="M127" s="63"/>
      <c r="N127" s="63"/>
      <c r="O127" s="63"/>
      <c r="P127" s="63"/>
      <c r="Q127" s="63"/>
      <c r="R127" s="63"/>
      <c r="S127" s="63"/>
      <c r="T127" s="63"/>
      <c r="U127" s="63"/>
      <c r="V127" s="63"/>
      <c r="W127" s="63"/>
      <c r="X127" s="63"/>
      <c r="Y127" s="63"/>
      <c r="Z127" s="63"/>
    </row>
    <row r="128" ht="12.0" customHeight="1">
      <c r="A128" s="64"/>
      <c r="B128" s="65"/>
      <c r="C128" s="71">
        <f t="shared" si="12"/>
        <v>3</v>
      </c>
      <c r="D128" s="72" t="s">
        <v>314</v>
      </c>
      <c r="E128" s="72" t="s">
        <v>315</v>
      </c>
      <c r="F128" s="71" t="s">
        <v>46</v>
      </c>
      <c r="G128" s="71">
        <v>1.0</v>
      </c>
      <c r="H128" s="73"/>
      <c r="I128" s="74">
        <f t="shared" si="1"/>
        <v>0</v>
      </c>
      <c r="J128" s="75"/>
      <c r="K128" s="63"/>
      <c r="L128" s="63"/>
      <c r="M128" s="63"/>
      <c r="N128" s="63"/>
      <c r="O128" s="63"/>
      <c r="P128" s="63"/>
      <c r="Q128" s="63"/>
      <c r="R128" s="63"/>
      <c r="S128" s="63"/>
      <c r="T128" s="63"/>
      <c r="U128" s="63"/>
      <c r="V128" s="63"/>
      <c r="W128" s="63"/>
      <c r="X128" s="63"/>
      <c r="Y128" s="63"/>
      <c r="Z128" s="63"/>
    </row>
    <row r="129" ht="12.0" customHeight="1">
      <c r="A129" s="64"/>
      <c r="B129" s="76" t="s">
        <v>316</v>
      </c>
      <c r="C129" s="71">
        <f t="shared" si="12"/>
        <v>4</v>
      </c>
      <c r="D129" s="72" t="s">
        <v>317</v>
      </c>
      <c r="E129" s="72" t="s">
        <v>260</v>
      </c>
      <c r="F129" s="71" t="s">
        <v>46</v>
      </c>
      <c r="G129" s="71">
        <v>1.0</v>
      </c>
      <c r="H129" s="73"/>
      <c r="I129" s="74">
        <f t="shared" si="1"/>
        <v>0</v>
      </c>
      <c r="J129" s="75"/>
      <c r="K129" s="63"/>
      <c r="L129" s="63"/>
      <c r="M129" s="63"/>
      <c r="N129" s="63"/>
      <c r="O129" s="63"/>
      <c r="P129" s="63"/>
      <c r="Q129" s="63"/>
      <c r="R129" s="63"/>
      <c r="S129" s="63"/>
      <c r="T129" s="63"/>
      <c r="U129" s="63"/>
      <c r="V129" s="63"/>
      <c r="W129" s="63"/>
      <c r="X129" s="63"/>
      <c r="Y129" s="63"/>
      <c r="Z129" s="63"/>
    </row>
    <row r="130" ht="12.0" customHeight="1">
      <c r="A130" s="64"/>
      <c r="B130" s="65"/>
      <c r="C130" s="71">
        <f t="shared" si="12"/>
        <v>5</v>
      </c>
      <c r="D130" s="72" t="s">
        <v>318</v>
      </c>
      <c r="E130" s="72" t="s">
        <v>319</v>
      </c>
      <c r="F130" s="71" t="s">
        <v>46</v>
      </c>
      <c r="G130" s="71">
        <v>1.0</v>
      </c>
      <c r="H130" s="73"/>
      <c r="I130" s="74">
        <f t="shared" si="1"/>
        <v>0</v>
      </c>
      <c r="J130" s="75"/>
      <c r="K130" s="63"/>
      <c r="L130" s="63"/>
      <c r="M130" s="63"/>
      <c r="N130" s="63"/>
      <c r="O130" s="63"/>
      <c r="P130" s="63"/>
      <c r="Q130" s="63"/>
      <c r="R130" s="63"/>
      <c r="S130" s="63"/>
      <c r="T130" s="63"/>
      <c r="U130" s="63"/>
      <c r="V130" s="63"/>
      <c r="W130" s="63"/>
      <c r="X130" s="63"/>
      <c r="Y130" s="63"/>
      <c r="Z130" s="63"/>
    </row>
    <row r="131" ht="12.0" customHeight="1">
      <c r="A131" s="64"/>
      <c r="B131" s="65"/>
      <c r="C131" s="71">
        <f t="shared" si="12"/>
        <v>6</v>
      </c>
      <c r="D131" s="72" t="s">
        <v>320</v>
      </c>
      <c r="E131" s="72" t="s">
        <v>321</v>
      </c>
      <c r="F131" s="71" t="s">
        <v>46</v>
      </c>
      <c r="G131" s="71">
        <v>1.0</v>
      </c>
      <c r="H131" s="73"/>
      <c r="I131" s="74">
        <f t="shared" si="1"/>
        <v>0</v>
      </c>
      <c r="J131" s="75"/>
      <c r="K131" s="63"/>
      <c r="L131" s="63"/>
      <c r="M131" s="63"/>
      <c r="N131" s="63"/>
      <c r="O131" s="63"/>
      <c r="P131" s="63"/>
      <c r="Q131" s="63"/>
      <c r="R131" s="63"/>
      <c r="S131" s="63"/>
      <c r="T131" s="63"/>
      <c r="U131" s="63"/>
      <c r="V131" s="63"/>
      <c r="W131" s="63"/>
      <c r="X131" s="63"/>
      <c r="Y131" s="63"/>
      <c r="Z131" s="63"/>
    </row>
    <row r="132" ht="12.0" customHeight="1">
      <c r="A132" s="64"/>
      <c r="B132" s="65"/>
      <c r="C132" s="71">
        <f t="shared" si="12"/>
        <v>7</v>
      </c>
      <c r="D132" s="72" t="s">
        <v>322</v>
      </c>
      <c r="E132" s="72" t="s">
        <v>323</v>
      </c>
      <c r="F132" s="71" t="s">
        <v>46</v>
      </c>
      <c r="G132" s="71">
        <v>1.0</v>
      </c>
      <c r="H132" s="73"/>
      <c r="I132" s="74">
        <f t="shared" si="1"/>
        <v>0</v>
      </c>
      <c r="J132" s="75"/>
      <c r="K132" s="63"/>
      <c r="L132" s="63"/>
      <c r="M132" s="63"/>
      <c r="N132" s="63"/>
      <c r="O132" s="63"/>
      <c r="P132" s="63"/>
      <c r="Q132" s="63"/>
      <c r="R132" s="63"/>
      <c r="S132" s="63"/>
      <c r="T132" s="63"/>
      <c r="U132" s="63"/>
      <c r="V132" s="63"/>
      <c r="W132" s="63"/>
      <c r="X132" s="63"/>
      <c r="Y132" s="63"/>
      <c r="Z132" s="63"/>
    </row>
    <row r="133" ht="12.0" customHeight="1">
      <c r="A133" s="64"/>
      <c r="B133" s="65"/>
      <c r="C133" s="71">
        <f t="shared" si="12"/>
        <v>8</v>
      </c>
      <c r="D133" s="72" t="s">
        <v>324</v>
      </c>
      <c r="E133" s="72" t="s">
        <v>325</v>
      </c>
      <c r="F133" s="71" t="s">
        <v>46</v>
      </c>
      <c r="G133" s="71">
        <v>1.0</v>
      </c>
      <c r="H133" s="73"/>
      <c r="I133" s="74">
        <f t="shared" si="1"/>
        <v>0</v>
      </c>
      <c r="J133" s="75"/>
      <c r="K133" s="63"/>
      <c r="L133" s="63"/>
      <c r="M133" s="63"/>
      <c r="N133" s="63"/>
      <c r="O133" s="63"/>
      <c r="P133" s="63"/>
      <c r="Q133" s="63"/>
      <c r="R133" s="63"/>
      <c r="S133" s="63"/>
      <c r="T133" s="63"/>
      <c r="U133" s="63"/>
      <c r="V133" s="63"/>
      <c r="W133" s="63"/>
      <c r="X133" s="63"/>
      <c r="Y133" s="63"/>
      <c r="Z133" s="63"/>
    </row>
    <row r="134" ht="12.0" customHeight="1">
      <c r="A134" s="64"/>
      <c r="B134" s="65"/>
      <c r="C134" s="71">
        <f t="shared" si="12"/>
        <v>9</v>
      </c>
      <c r="D134" s="72" t="s">
        <v>326</v>
      </c>
      <c r="E134" s="72" t="s">
        <v>327</v>
      </c>
      <c r="F134" s="71" t="s">
        <v>46</v>
      </c>
      <c r="G134" s="71">
        <v>1.0</v>
      </c>
      <c r="H134" s="73"/>
      <c r="I134" s="74">
        <f t="shared" si="1"/>
        <v>0</v>
      </c>
      <c r="J134" s="75"/>
      <c r="K134" s="63"/>
      <c r="L134" s="63"/>
      <c r="M134" s="63"/>
      <c r="N134" s="63"/>
      <c r="O134" s="63"/>
      <c r="P134" s="63"/>
      <c r="Q134" s="63"/>
      <c r="R134" s="63"/>
      <c r="S134" s="63"/>
      <c r="T134" s="63"/>
      <c r="U134" s="63"/>
      <c r="V134" s="63"/>
      <c r="W134" s="63"/>
      <c r="X134" s="63"/>
      <c r="Y134" s="63"/>
      <c r="Z134" s="63"/>
    </row>
    <row r="135" ht="12.0" customHeight="1">
      <c r="A135" s="64"/>
      <c r="B135" s="65"/>
      <c r="C135" s="71">
        <f t="shared" si="12"/>
        <v>10</v>
      </c>
      <c r="D135" s="72" t="s">
        <v>328</v>
      </c>
      <c r="E135" s="72" t="s">
        <v>327</v>
      </c>
      <c r="F135" s="71" t="s">
        <v>46</v>
      </c>
      <c r="G135" s="71">
        <v>1.0</v>
      </c>
      <c r="H135" s="73"/>
      <c r="I135" s="74">
        <f t="shared" si="1"/>
        <v>0</v>
      </c>
      <c r="J135" s="75"/>
      <c r="K135" s="63"/>
      <c r="L135" s="63"/>
      <c r="M135" s="63"/>
      <c r="N135" s="63"/>
      <c r="O135" s="63"/>
      <c r="P135" s="63"/>
      <c r="Q135" s="63"/>
      <c r="R135" s="63"/>
      <c r="S135" s="63"/>
      <c r="T135" s="63"/>
      <c r="U135" s="63"/>
      <c r="V135" s="63"/>
      <c r="W135" s="63"/>
      <c r="X135" s="63"/>
      <c r="Y135" s="63"/>
      <c r="Z135" s="63"/>
    </row>
    <row r="136" ht="12.0" customHeight="1">
      <c r="A136" s="64"/>
      <c r="B136" s="65"/>
      <c r="C136" s="71">
        <f t="shared" si="12"/>
        <v>11</v>
      </c>
      <c r="D136" s="72" t="s">
        <v>329</v>
      </c>
      <c r="E136" s="72" t="s">
        <v>327</v>
      </c>
      <c r="F136" s="71" t="s">
        <v>46</v>
      </c>
      <c r="G136" s="71">
        <v>1.0</v>
      </c>
      <c r="H136" s="73"/>
      <c r="I136" s="74">
        <f t="shared" si="1"/>
        <v>0</v>
      </c>
      <c r="J136" s="75"/>
      <c r="K136" s="63"/>
      <c r="L136" s="63"/>
      <c r="M136" s="63"/>
      <c r="N136" s="63"/>
      <c r="O136" s="63"/>
      <c r="P136" s="63"/>
      <c r="Q136" s="63"/>
      <c r="R136" s="63"/>
      <c r="S136" s="63"/>
      <c r="T136" s="63"/>
      <c r="U136" s="63"/>
      <c r="V136" s="63"/>
      <c r="W136" s="63"/>
      <c r="X136" s="63"/>
      <c r="Y136" s="63"/>
      <c r="Z136" s="63"/>
    </row>
    <row r="137" ht="12.0" customHeight="1">
      <c r="A137" s="64"/>
      <c r="B137" s="65"/>
      <c r="C137" s="71">
        <f t="shared" si="12"/>
        <v>12</v>
      </c>
      <c r="D137" s="72" t="s">
        <v>330</v>
      </c>
      <c r="E137" s="72" t="s">
        <v>327</v>
      </c>
      <c r="F137" s="71" t="s">
        <v>46</v>
      </c>
      <c r="G137" s="71">
        <v>1.0</v>
      </c>
      <c r="H137" s="73"/>
      <c r="I137" s="74">
        <f t="shared" si="1"/>
        <v>0</v>
      </c>
      <c r="J137" s="75"/>
      <c r="K137" s="63"/>
      <c r="L137" s="63"/>
      <c r="M137" s="63"/>
      <c r="N137" s="63"/>
      <c r="O137" s="63"/>
      <c r="P137" s="63"/>
      <c r="Q137" s="63"/>
      <c r="R137" s="63"/>
      <c r="S137" s="63"/>
      <c r="T137" s="63"/>
      <c r="U137" s="63"/>
      <c r="V137" s="63"/>
      <c r="W137" s="63"/>
      <c r="X137" s="63"/>
      <c r="Y137" s="63"/>
      <c r="Z137" s="63"/>
    </row>
    <row r="138" ht="12.0" customHeight="1">
      <c r="A138" s="64"/>
      <c r="B138" s="65"/>
      <c r="C138" s="71">
        <f t="shared" si="12"/>
        <v>13</v>
      </c>
      <c r="D138" s="72" t="s">
        <v>331</v>
      </c>
      <c r="E138" s="72" t="s">
        <v>327</v>
      </c>
      <c r="F138" s="71" t="s">
        <v>46</v>
      </c>
      <c r="G138" s="71">
        <v>1.0</v>
      </c>
      <c r="H138" s="73"/>
      <c r="I138" s="74">
        <f t="shared" si="1"/>
        <v>0</v>
      </c>
      <c r="J138" s="75"/>
      <c r="K138" s="63"/>
      <c r="L138" s="63"/>
      <c r="M138" s="63"/>
      <c r="N138" s="63"/>
      <c r="O138" s="63"/>
      <c r="P138" s="63"/>
      <c r="Q138" s="63"/>
      <c r="R138" s="63"/>
      <c r="S138" s="63"/>
      <c r="T138" s="63"/>
      <c r="U138" s="63"/>
      <c r="V138" s="63"/>
      <c r="W138" s="63"/>
      <c r="X138" s="63"/>
      <c r="Y138" s="63"/>
      <c r="Z138" s="63"/>
    </row>
    <row r="139" ht="12.0" customHeight="1">
      <c r="A139" s="64"/>
      <c r="B139" s="77"/>
      <c r="C139" s="71">
        <f t="shared" si="12"/>
        <v>14</v>
      </c>
      <c r="D139" s="72" t="s">
        <v>332</v>
      </c>
      <c r="E139" s="72" t="s">
        <v>327</v>
      </c>
      <c r="F139" s="71" t="s">
        <v>46</v>
      </c>
      <c r="G139" s="71">
        <v>1.0</v>
      </c>
      <c r="H139" s="73"/>
      <c r="I139" s="74">
        <f t="shared" si="1"/>
        <v>0</v>
      </c>
      <c r="J139" s="75"/>
      <c r="K139" s="63"/>
      <c r="L139" s="63"/>
      <c r="M139" s="63"/>
      <c r="N139" s="63"/>
      <c r="O139" s="63"/>
      <c r="P139" s="63"/>
      <c r="Q139" s="63"/>
      <c r="R139" s="63"/>
      <c r="S139" s="63"/>
      <c r="T139" s="63"/>
      <c r="U139" s="63"/>
      <c r="V139" s="63"/>
      <c r="W139" s="63"/>
      <c r="X139" s="63"/>
      <c r="Y139" s="63"/>
      <c r="Z139" s="63"/>
    </row>
    <row r="140" ht="12.0" customHeight="1">
      <c r="A140" s="64"/>
      <c r="B140" s="65" t="s">
        <v>333</v>
      </c>
      <c r="C140" s="71">
        <f t="shared" si="12"/>
        <v>15</v>
      </c>
      <c r="D140" s="72" t="s">
        <v>334</v>
      </c>
      <c r="E140" s="72" t="s">
        <v>335</v>
      </c>
      <c r="F140" s="71" t="s">
        <v>46</v>
      </c>
      <c r="G140" s="71">
        <v>1.0</v>
      </c>
      <c r="H140" s="73"/>
      <c r="I140" s="74">
        <f t="shared" si="1"/>
        <v>0</v>
      </c>
      <c r="J140" s="75"/>
      <c r="K140" s="63"/>
      <c r="L140" s="63"/>
      <c r="M140" s="63"/>
      <c r="N140" s="63"/>
      <c r="O140" s="63"/>
      <c r="P140" s="63"/>
      <c r="Q140" s="63"/>
      <c r="R140" s="63"/>
      <c r="S140" s="63"/>
      <c r="T140" s="63"/>
      <c r="U140" s="63"/>
      <c r="V140" s="63"/>
      <c r="W140" s="63"/>
      <c r="X140" s="63"/>
      <c r="Y140" s="63"/>
      <c r="Z140" s="63"/>
    </row>
    <row r="141" ht="12.0" customHeight="1">
      <c r="A141" s="64"/>
      <c r="B141" s="65"/>
      <c r="C141" s="71">
        <f t="shared" si="12"/>
        <v>16</v>
      </c>
      <c r="D141" s="72" t="s">
        <v>336</v>
      </c>
      <c r="E141" s="72" t="s">
        <v>335</v>
      </c>
      <c r="F141" s="71" t="s">
        <v>46</v>
      </c>
      <c r="G141" s="71">
        <v>1.0</v>
      </c>
      <c r="H141" s="73"/>
      <c r="I141" s="74">
        <f t="shared" si="1"/>
        <v>0</v>
      </c>
      <c r="J141" s="75"/>
      <c r="K141" s="63"/>
      <c r="L141" s="63"/>
      <c r="M141" s="63"/>
      <c r="N141" s="63"/>
      <c r="O141" s="63"/>
      <c r="P141" s="63"/>
      <c r="Q141" s="63"/>
      <c r="R141" s="63"/>
      <c r="S141" s="63"/>
      <c r="T141" s="63"/>
      <c r="U141" s="63"/>
      <c r="V141" s="63"/>
      <c r="W141" s="63"/>
      <c r="X141" s="63"/>
      <c r="Y141" s="63"/>
      <c r="Z141" s="63"/>
    </row>
    <row r="142" ht="12.0" customHeight="1">
      <c r="A142" s="64"/>
      <c r="B142" s="65"/>
      <c r="C142" s="71">
        <f t="shared" si="12"/>
        <v>17</v>
      </c>
      <c r="D142" s="72" t="s">
        <v>337</v>
      </c>
      <c r="E142" s="72" t="s">
        <v>335</v>
      </c>
      <c r="F142" s="71" t="s">
        <v>46</v>
      </c>
      <c r="G142" s="71">
        <v>1.0</v>
      </c>
      <c r="H142" s="73"/>
      <c r="I142" s="74">
        <f t="shared" si="1"/>
        <v>0</v>
      </c>
      <c r="J142" s="75"/>
      <c r="K142" s="63"/>
      <c r="L142" s="63"/>
      <c r="M142" s="63"/>
      <c r="N142" s="63"/>
      <c r="O142" s="63"/>
      <c r="P142" s="63"/>
      <c r="Q142" s="63"/>
      <c r="R142" s="63"/>
      <c r="S142" s="63"/>
      <c r="T142" s="63"/>
      <c r="U142" s="63"/>
      <c r="V142" s="63"/>
      <c r="W142" s="63"/>
      <c r="X142" s="63"/>
      <c r="Y142" s="63"/>
      <c r="Z142" s="63"/>
    </row>
    <row r="143" ht="12.0" customHeight="1">
      <c r="A143" s="64"/>
      <c r="B143" s="65"/>
      <c r="C143" s="71">
        <f t="shared" si="12"/>
        <v>18</v>
      </c>
      <c r="D143" s="72" t="s">
        <v>338</v>
      </c>
      <c r="E143" s="72" t="s">
        <v>335</v>
      </c>
      <c r="F143" s="71" t="s">
        <v>46</v>
      </c>
      <c r="G143" s="71">
        <v>1.0</v>
      </c>
      <c r="H143" s="73"/>
      <c r="I143" s="74">
        <f t="shared" si="1"/>
        <v>0</v>
      </c>
      <c r="J143" s="75"/>
      <c r="K143" s="63"/>
      <c r="L143" s="63"/>
      <c r="M143" s="63"/>
      <c r="N143" s="63"/>
      <c r="O143" s="63"/>
      <c r="P143" s="63"/>
      <c r="Q143" s="63"/>
      <c r="R143" s="63"/>
      <c r="S143" s="63"/>
      <c r="T143" s="63"/>
      <c r="U143" s="63"/>
      <c r="V143" s="63"/>
      <c r="W143" s="63"/>
      <c r="X143" s="63"/>
      <c r="Y143" s="63"/>
      <c r="Z143" s="63"/>
    </row>
    <row r="144" ht="12.0" customHeight="1">
      <c r="A144" s="64"/>
      <c r="B144" s="65"/>
      <c r="C144" s="71">
        <f t="shared" si="12"/>
        <v>19</v>
      </c>
      <c r="D144" s="72" t="s">
        <v>339</v>
      </c>
      <c r="E144" s="72" t="s">
        <v>335</v>
      </c>
      <c r="F144" s="71" t="s">
        <v>46</v>
      </c>
      <c r="G144" s="71">
        <v>1.0</v>
      </c>
      <c r="H144" s="73"/>
      <c r="I144" s="74">
        <f t="shared" si="1"/>
        <v>0</v>
      </c>
      <c r="J144" s="75"/>
      <c r="K144" s="63"/>
      <c r="L144" s="63"/>
      <c r="M144" s="63"/>
      <c r="N144" s="63"/>
      <c r="O144" s="63"/>
      <c r="P144" s="63"/>
      <c r="Q144" s="63"/>
      <c r="R144" s="63"/>
      <c r="S144" s="63"/>
      <c r="T144" s="63"/>
      <c r="U144" s="63"/>
      <c r="V144" s="63"/>
      <c r="W144" s="63"/>
      <c r="X144" s="63"/>
      <c r="Y144" s="63"/>
      <c r="Z144" s="63"/>
    </row>
    <row r="145" ht="12.0" customHeight="1">
      <c r="A145" s="64"/>
      <c r="B145" s="76" t="s">
        <v>340</v>
      </c>
      <c r="C145" s="71">
        <f t="shared" si="12"/>
        <v>20</v>
      </c>
      <c r="D145" s="72" t="s">
        <v>341</v>
      </c>
      <c r="E145" s="72" t="s">
        <v>342</v>
      </c>
      <c r="F145" s="71" t="s">
        <v>46</v>
      </c>
      <c r="G145" s="71">
        <v>1.0</v>
      </c>
      <c r="H145" s="73"/>
      <c r="I145" s="74">
        <f t="shared" si="1"/>
        <v>0</v>
      </c>
      <c r="J145" s="75"/>
      <c r="K145" s="63"/>
      <c r="L145" s="63"/>
      <c r="M145" s="63"/>
      <c r="N145" s="63"/>
      <c r="O145" s="63"/>
      <c r="P145" s="63"/>
      <c r="Q145" s="63"/>
      <c r="R145" s="63"/>
      <c r="S145" s="63"/>
      <c r="T145" s="63"/>
      <c r="U145" s="63"/>
      <c r="V145" s="63"/>
      <c r="W145" s="63"/>
      <c r="X145" s="63"/>
      <c r="Y145" s="63"/>
      <c r="Z145" s="63"/>
    </row>
    <row r="146" ht="12.0" customHeight="1">
      <c r="A146" s="64"/>
      <c r="B146" s="65"/>
      <c r="C146" s="71">
        <f t="shared" si="12"/>
        <v>21</v>
      </c>
      <c r="D146" s="72" t="s">
        <v>343</v>
      </c>
      <c r="E146" s="72" t="s">
        <v>327</v>
      </c>
      <c r="F146" s="71" t="s">
        <v>46</v>
      </c>
      <c r="G146" s="71">
        <v>1.0</v>
      </c>
      <c r="H146" s="73"/>
      <c r="I146" s="74">
        <f t="shared" si="1"/>
        <v>0</v>
      </c>
      <c r="J146" s="75"/>
      <c r="K146" s="63"/>
      <c r="L146" s="63"/>
      <c r="M146" s="63"/>
      <c r="N146" s="63"/>
      <c r="O146" s="63"/>
      <c r="P146" s="63"/>
      <c r="Q146" s="63"/>
      <c r="R146" s="63"/>
      <c r="S146" s="63"/>
      <c r="T146" s="63"/>
      <c r="U146" s="63"/>
      <c r="V146" s="63"/>
      <c r="W146" s="63"/>
      <c r="X146" s="63"/>
      <c r="Y146" s="63"/>
      <c r="Z146" s="63"/>
    </row>
    <row r="147" ht="12.0" customHeight="1">
      <c r="A147" s="64"/>
      <c r="B147" s="65"/>
      <c r="C147" s="71">
        <f t="shared" si="12"/>
        <v>22</v>
      </c>
      <c r="D147" s="72" t="s">
        <v>344</v>
      </c>
      <c r="E147" s="72" t="s">
        <v>345</v>
      </c>
      <c r="F147" s="71" t="s">
        <v>46</v>
      </c>
      <c r="G147" s="71">
        <v>1.0</v>
      </c>
      <c r="H147" s="73"/>
      <c r="I147" s="74">
        <f t="shared" si="1"/>
        <v>0</v>
      </c>
      <c r="J147" s="75"/>
      <c r="K147" s="63"/>
      <c r="L147" s="63"/>
      <c r="M147" s="63"/>
      <c r="N147" s="63"/>
      <c r="O147" s="63"/>
      <c r="P147" s="63"/>
      <c r="Q147" s="63"/>
      <c r="R147" s="63"/>
      <c r="S147" s="63"/>
      <c r="T147" s="63"/>
      <c r="U147" s="63"/>
      <c r="V147" s="63"/>
      <c r="W147" s="63"/>
      <c r="X147" s="63"/>
      <c r="Y147" s="63"/>
      <c r="Z147" s="63"/>
    </row>
    <row r="148" ht="12.0" customHeight="1">
      <c r="A148" s="64"/>
      <c r="B148" s="65"/>
      <c r="C148" s="71">
        <f t="shared" si="12"/>
        <v>23</v>
      </c>
      <c r="D148" s="72" t="s">
        <v>346</v>
      </c>
      <c r="E148" s="72" t="s">
        <v>335</v>
      </c>
      <c r="F148" s="71" t="s">
        <v>46</v>
      </c>
      <c r="G148" s="71">
        <v>1.0</v>
      </c>
      <c r="H148" s="73"/>
      <c r="I148" s="74">
        <f t="shared" si="1"/>
        <v>0</v>
      </c>
      <c r="J148" s="75"/>
      <c r="K148" s="63"/>
      <c r="L148" s="63"/>
      <c r="M148" s="63"/>
      <c r="N148" s="63"/>
      <c r="O148" s="63"/>
      <c r="P148" s="63"/>
      <c r="Q148" s="63"/>
      <c r="R148" s="63"/>
      <c r="S148" s="63"/>
      <c r="T148" s="63"/>
      <c r="U148" s="63"/>
      <c r="V148" s="63"/>
      <c r="W148" s="63"/>
      <c r="X148" s="63"/>
      <c r="Y148" s="63"/>
      <c r="Z148" s="63"/>
    </row>
    <row r="149" ht="12.0" customHeight="1">
      <c r="A149" s="64"/>
      <c r="B149" s="77"/>
      <c r="C149" s="71">
        <f t="shared" si="12"/>
        <v>24</v>
      </c>
      <c r="D149" s="72" t="s">
        <v>347</v>
      </c>
      <c r="E149" s="72" t="s">
        <v>348</v>
      </c>
      <c r="F149" s="71" t="s">
        <v>46</v>
      </c>
      <c r="G149" s="71">
        <v>1.0</v>
      </c>
      <c r="H149" s="73"/>
      <c r="I149" s="74">
        <f t="shared" si="1"/>
        <v>0</v>
      </c>
      <c r="J149" s="75"/>
      <c r="K149" s="63"/>
      <c r="L149" s="63"/>
      <c r="M149" s="63"/>
      <c r="N149" s="63"/>
      <c r="O149" s="63"/>
      <c r="P149" s="63"/>
      <c r="Q149" s="63"/>
      <c r="R149" s="63"/>
      <c r="S149" s="63"/>
      <c r="T149" s="63"/>
      <c r="U149" s="63"/>
      <c r="V149" s="63"/>
      <c r="W149" s="63"/>
      <c r="X149" s="63"/>
      <c r="Y149" s="63"/>
      <c r="Z149" s="63"/>
    </row>
    <row r="150" ht="12.0" customHeight="1">
      <c r="A150" s="64"/>
      <c r="B150" s="65" t="s">
        <v>349</v>
      </c>
      <c r="C150" s="71">
        <f t="shared" si="12"/>
        <v>25</v>
      </c>
      <c r="D150" s="72" t="s">
        <v>350</v>
      </c>
      <c r="E150" s="72" t="s">
        <v>351</v>
      </c>
      <c r="F150" s="71" t="s">
        <v>46</v>
      </c>
      <c r="G150" s="71">
        <v>1.0</v>
      </c>
      <c r="H150" s="73"/>
      <c r="I150" s="74">
        <f t="shared" si="1"/>
        <v>0</v>
      </c>
      <c r="J150" s="75"/>
      <c r="K150" s="63"/>
      <c r="L150" s="63"/>
      <c r="M150" s="63"/>
      <c r="N150" s="63"/>
      <c r="O150" s="63"/>
      <c r="P150" s="63"/>
      <c r="Q150" s="63"/>
      <c r="R150" s="63"/>
      <c r="S150" s="63"/>
      <c r="T150" s="63"/>
      <c r="U150" s="63"/>
      <c r="V150" s="63"/>
      <c r="W150" s="63"/>
      <c r="X150" s="63"/>
      <c r="Y150" s="63"/>
      <c r="Z150" s="63"/>
    </row>
    <row r="151" ht="12.0" customHeight="1">
      <c r="A151" s="64"/>
      <c r="B151" s="65" t="s">
        <v>352</v>
      </c>
      <c r="C151" s="71">
        <f t="shared" si="12"/>
        <v>26</v>
      </c>
      <c r="D151" s="72" t="s">
        <v>353</v>
      </c>
      <c r="E151" s="72" t="s">
        <v>351</v>
      </c>
      <c r="F151" s="71" t="s">
        <v>46</v>
      </c>
      <c r="G151" s="71">
        <v>1.0</v>
      </c>
      <c r="H151" s="73"/>
      <c r="I151" s="74">
        <f t="shared" si="1"/>
        <v>0</v>
      </c>
      <c r="J151" s="75"/>
      <c r="K151" s="63"/>
      <c r="L151" s="63"/>
      <c r="M151" s="63"/>
      <c r="N151" s="63"/>
      <c r="O151" s="63"/>
      <c r="P151" s="63"/>
      <c r="Q151" s="63"/>
      <c r="R151" s="63"/>
      <c r="S151" s="63"/>
      <c r="T151" s="63"/>
      <c r="U151" s="63"/>
      <c r="V151" s="63"/>
      <c r="W151" s="63"/>
      <c r="X151" s="63"/>
      <c r="Y151" s="63"/>
      <c r="Z151" s="63"/>
    </row>
    <row r="152" ht="12.0" customHeight="1">
      <c r="A152" s="64"/>
      <c r="B152" s="65" t="s">
        <v>354</v>
      </c>
      <c r="C152" s="71">
        <f t="shared" si="12"/>
        <v>27</v>
      </c>
      <c r="D152" s="72" t="s">
        <v>355</v>
      </c>
      <c r="E152" s="72" t="s">
        <v>351</v>
      </c>
      <c r="F152" s="71" t="s">
        <v>46</v>
      </c>
      <c r="G152" s="71">
        <v>1.0</v>
      </c>
      <c r="H152" s="73"/>
      <c r="I152" s="74">
        <f t="shared" si="1"/>
        <v>0</v>
      </c>
      <c r="J152" s="75"/>
      <c r="K152" s="63"/>
      <c r="L152" s="63"/>
      <c r="M152" s="63"/>
      <c r="N152" s="63"/>
      <c r="O152" s="63"/>
      <c r="P152" s="63"/>
      <c r="Q152" s="63"/>
      <c r="R152" s="63"/>
      <c r="S152" s="63"/>
      <c r="T152" s="63"/>
      <c r="U152" s="63"/>
      <c r="V152" s="63"/>
      <c r="W152" s="63"/>
      <c r="X152" s="63"/>
      <c r="Y152" s="63"/>
      <c r="Z152" s="63"/>
    </row>
    <row r="153" ht="12.0" customHeight="1">
      <c r="A153" s="64"/>
      <c r="B153" s="65" t="s">
        <v>356</v>
      </c>
      <c r="C153" s="71">
        <f t="shared" si="12"/>
        <v>28</v>
      </c>
      <c r="D153" s="72" t="s">
        <v>357</v>
      </c>
      <c r="E153" s="72" t="s">
        <v>351</v>
      </c>
      <c r="F153" s="71" t="s">
        <v>46</v>
      </c>
      <c r="G153" s="71">
        <v>1.0</v>
      </c>
      <c r="H153" s="73"/>
      <c r="I153" s="74">
        <f t="shared" si="1"/>
        <v>0</v>
      </c>
      <c r="J153" s="75"/>
      <c r="K153" s="63"/>
      <c r="L153" s="63"/>
      <c r="M153" s="63"/>
      <c r="N153" s="63"/>
      <c r="O153" s="63"/>
      <c r="P153" s="63"/>
      <c r="Q153" s="63"/>
      <c r="R153" s="63"/>
      <c r="S153" s="63"/>
      <c r="T153" s="63"/>
      <c r="U153" s="63"/>
      <c r="V153" s="63"/>
      <c r="W153" s="63"/>
      <c r="X153" s="63"/>
      <c r="Y153" s="63"/>
      <c r="Z153" s="63"/>
    </row>
    <row r="154" ht="12.0" customHeight="1">
      <c r="A154" s="64"/>
      <c r="B154" s="65"/>
      <c r="C154" s="71">
        <f t="shared" si="12"/>
        <v>29</v>
      </c>
      <c r="D154" s="72" t="s">
        <v>358</v>
      </c>
      <c r="E154" s="72" t="s">
        <v>351</v>
      </c>
      <c r="F154" s="71" t="s">
        <v>46</v>
      </c>
      <c r="G154" s="71">
        <v>1.0</v>
      </c>
      <c r="H154" s="73"/>
      <c r="I154" s="74">
        <f t="shared" si="1"/>
        <v>0</v>
      </c>
      <c r="J154" s="75"/>
      <c r="K154" s="63"/>
      <c r="L154" s="63"/>
      <c r="M154" s="63"/>
      <c r="N154" s="63"/>
      <c r="O154" s="63"/>
      <c r="P154" s="63"/>
      <c r="Q154" s="63"/>
      <c r="R154" s="63"/>
      <c r="S154" s="63"/>
      <c r="T154" s="63"/>
      <c r="U154" s="63"/>
      <c r="V154" s="63"/>
      <c r="W154" s="63"/>
      <c r="X154" s="63"/>
      <c r="Y154" s="63"/>
      <c r="Z154" s="63"/>
    </row>
    <row r="155" ht="12.0" customHeight="1">
      <c r="A155" s="64"/>
      <c r="B155" s="65"/>
      <c r="C155" s="71">
        <f t="shared" si="12"/>
        <v>30</v>
      </c>
      <c r="D155" s="72" t="s">
        <v>359</v>
      </c>
      <c r="E155" s="72" t="s">
        <v>351</v>
      </c>
      <c r="F155" s="71" t="s">
        <v>46</v>
      </c>
      <c r="G155" s="71">
        <v>1.0</v>
      </c>
      <c r="H155" s="73"/>
      <c r="I155" s="74">
        <f t="shared" si="1"/>
        <v>0</v>
      </c>
      <c r="J155" s="75"/>
      <c r="K155" s="63"/>
      <c r="L155" s="63"/>
      <c r="M155" s="63"/>
      <c r="N155" s="63"/>
      <c r="O155" s="63"/>
      <c r="P155" s="63"/>
      <c r="Q155" s="63"/>
      <c r="R155" s="63"/>
      <c r="S155" s="63"/>
      <c r="T155" s="63"/>
      <c r="U155" s="63"/>
      <c r="V155" s="63"/>
      <c r="W155" s="63"/>
      <c r="X155" s="63"/>
      <c r="Y155" s="63"/>
      <c r="Z155" s="63"/>
    </row>
    <row r="156" ht="12.0" customHeight="1">
      <c r="A156" s="64"/>
      <c r="B156" s="65"/>
      <c r="C156" s="71">
        <f t="shared" si="12"/>
        <v>31</v>
      </c>
      <c r="D156" s="72" t="s">
        <v>360</v>
      </c>
      <c r="E156" s="72" t="s">
        <v>351</v>
      </c>
      <c r="F156" s="71" t="s">
        <v>46</v>
      </c>
      <c r="G156" s="71">
        <v>1.0</v>
      </c>
      <c r="H156" s="73"/>
      <c r="I156" s="74">
        <f t="shared" si="1"/>
        <v>0</v>
      </c>
      <c r="J156" s="75"/>
      <c r="K156" s="63"/>
      <c r="L156" s="63"/>
      <c r="M156" s="63"/>
      <c r="N156" s="63"/>
      <c r="O156" s="63"/>
      <c r="P156" s="63"/>
      <c r="Q156" s="63"/>
      <c r="R156" s="63"/>
      <c r="S156" s="63"/>
      <c r="T156" s="63"/>
      <c r="U156" s="63"/>
      <c r="V156" s="63"/>
      <c r="W156" s="63"/>
      <c r="X156" s="63"/>
      <c r="Y156" s="63"/>
      <c r="Z156" s="63"/>
    </row>
    <row r="157" ht="12.0" customHeight="1">
      <c r="A157" s="64"/>
      <c r="B157" s="65"/>
      <c r="C157" s="71">
        <f t="shared" si="12"/>
        <v>32</v>
      </c>
      <c r="D157" s="72" t="s">
        <v>361</v>
      </c>
      <c r="E157" s="72" t="s">
        <v>351</v>
      </c>
      <c r="F157" s="71" t="s">
        <v>46</v>
      </c>
      <c r="G157" s="71">
        <v>1.0</v>
      </c>
      <c r="H157" s="73"/>
      <c r="I157" s="74">
        <f t="shared" si="1"/>
        <v>0</v>
      </c>
      <c r="J157" s="75"/>
      <c r="K157" s="63"/>
      <c r="L157" s="63"/>
      <c r="M157" s="63"/>
      <c r="N157" s="63"/>
      <c r="O157" s="63"/>
      <c r="P157" s="63"/>
      <c r="Q157" s="63"/>
      <c r="R157" s="63"/>
      <c r="S157" s="63"/>
      <c r="T157" s="63"/>
      <c r="U157" s="63"/>
      <c r="V157" s="63"/>
      <c r="W157" s="63"/>
      <c r="X157" s="63"/>
      <c r="Y157" s="63"/>
      <c r="Z157" s="63"/>
    </row>
    <row r="158" ht="12.0" customHeight="1">
      <c r="A158" s="64"/>
      <c r="B158" s="65"/>
      <c r="C158" s="71">
        <f t="shared" si="12"/>
        <v>33</v>
      </c>
      <c r="D158" s="72" t="s">
        <v>362</v>
      </c>
      <c r="E158" s="72" t="s">
        <v>351</v>
      </c>
      <c r="F158" s="71" t="s">
        <v>46</v>
      </c>
      <c r="G158" s="71">
        <v>1.0</v>
      </c>
      <c r="H158" s="73"/>
      <c r="I158" s="74">
        <f t="shared" si="1"/>
        <v>0</v>
      </c>
      <c r="J158" s="75"/>
      <c r="K158" s="63"/>
      <c r="L158" s="63"/>
      <c r="M158" s="63"/>
      <c r="N158" s="63"/>
      <c r="O158" s="63"/>
      <c r="P158" s="63"/>
      <c r="Q158" s="63"/>
      <c r="R158" s="63"/>
      <c r="S158" s="63"/>
      <c r="T158" s="63"/>
      <c r="U158" s="63"/>
      <c r="V158" s="63"/>
      <c r="W158" s="63"/>
      <c r="X158" s="63"/>
      <c r="Y158" s="63"/>
      <c r="Z158" s="63"/>
    </row>
    <row r="159" ht="12.0" customHeight="1">
      <c r="A159" s="64"/>
      <c r="B159" s="65"/>
      <c r="C159" s="71">
        <f t="shared" si="12"/>
        <v>34</v>
      </c>
      <c r="D159" s="72" t="s">
        <v>363</v>
      </c>
      <c r="E159" s="72" t="s">
        <v>351</v>
      </c>
      <c r="F159" s="71" t="s">
        <v>46</v>
      </c>
      <c r="G159" s="71">
        <v>1.0</v>
      </c>
      <c r="H159" s="73"/>
      <c r="I159" s="74">
        <f t="shared" si="1"/>
        <v>0</v>
      </c>
      <c r="J159" s="75"/>
      <c r="K159" s="63"/>
      <c r="L159" s="63"/>
      <c r="M159" s="63"/>
      <c r="N159" s="63"/>
      <c r="O159" s="63"/>
      <c r="P159" s="63"/>
      <c r="Q159" s="63"/>
      <c r="R159" s="63"/>
      <c r="S159" s="63"/>
      <c r="T159" s="63"/>
      <c r="U159" s="63"/>
      <c r="V159" s="63"/>
      <c r="W159" s="63"/>
      <c r="X159" s="63"/>
      <c r="Y159" s="63"/>
      <c r="Z159" s="63"/>
    </row>
    <row r="160" ht="12.0" customHeight="1">
      <c r="A160" s="64"/>
      <c r="B160" s="65"/>
      <c r="C160" s="71">
        <f t="shared" si="12"/>
        <v>35</v>
      </c>
      <c r="D160" s="72" t="s">
        <v>364</v>
      </c>
      <c r="E160" s="72" t="s">
        <v>351</v>
      </c>
      <c r="F160" s="71" t="s">
        <v>46</v>
      </c>
      <c r="G160" s="71">
        <v>1.0</v>
      </c>
      <c r="H160" s="73"/>
      <c r="I160" s="74">
        <f t="shared" si="1"/>
        <v>0</v>
      </c>
      <c r="J160" s="75"/>
      <c r="K160" s="63"/>
      <c r="L160" s="63"/>
      <c r="M160" s="63"/>
      <c r="N160" s="63"/>
      <c r="O160" s="63"/>
      <c r="P160" s="63"/>
      <c r="Q160" s="63"/>
      <c r="R160" s="63"/>
      <c r="S160" s="63"/>
      <c r="T160" s="63"/>
      <c r="U160" s="63"/>
      <c r="V160" s="63"/>
      <c r="W160" s="63"/>
      <c r="X160" s="63"/>
      <c r="Y160" s="63"/>
      <c r="Z160" s="63"/>
    </row>
    <row r="161" ht="12.0" customHeight="1">
      <c r="A161" s="64"/>
      <c r="B161" s="65"/>
      <c r="C161" s="71">
        <f t="shared" si="12"/>
        <v>36</v>
      </c>
      <c r="D161" s="72" t="s">
        <v>365</v>
      </c>
      <c r="E161" s="72" t="s">
        <v>351</v>
      </c>
      <c r="F161" s="71" t="s">
        <v>46</v>
      </c>
      <c r="G161" s="71">
        <v>1.0</v>
      </c>
      <c r="H161" s="73"/>
      <c r="I161" s="74">
        <f t="shared" si="1"/>
        <v>0</v>
      </c>
      <c r="J161" s="75"/>
      <c r="K161" s="63"/>
      <c r="L161" s="63"/>
      <c r="M161" s="63"/>
      <c r="N161" s="63"/>
      <c r="O161" s="63"/>
      <c r="P161" s="63"/>
      <c r="Q161" s="63"/>
      <c r="R161" s="63"/>
      <c r="S161" s="63"/>
      <c r="T161" s="63"/>
      <c r="U161" s="63"/>
      <c r="V161" s="63"/>
      <c r="W161" s="63"/>
      <c r="X161" s="63"/>
      <c r="Y161" s="63"/>
      <c r="Z161" s="63"/>
    </row>
    <row r="162" ht="12.0" customHeight="1">
      <c r="A162" s="64"/>
      <c r="B162" s="65"/>
      <c r="C162" s="71">
        <f t="shared" si="12"/>
        <v>37</v>
      </c>
      <c r="D162" s="72" t="s">
        <v>366</v>
      </c>
      <c r="E162" s="72" t="s">
        <v>351</v>
      </c>
      <c r="F162" s="71" t="s">
        <v>46</v>
      </c>
      <c r="G162" s="71">
        <v>1.0</v>
      </c>
      <c r="H162" s="73"/>
      <c r="I162" s="74">
        <f t="shared" si="1"/>
        <v>0</v>
      </c>
      <c r="J162" s="75"/>
      <c r="K162" s="63"/>
      <c r="L162" s="63"/>
      <c r="M162" s="63"/>
      <c r="N162" s="63"/>
      <c r="O162" s="63"/>
      <c r="P162" s="63"/>
      <c r="Q162" s="63"/>
      <c r="R162" s="63"/>
      <c r="S162" s="63"/>
      <c r="T162" s="63"/>
      <c r="U162" s="63"/>
      <c r="V162" s="63"/>
      <c r="W162" s="63"/>
      <c r="X162" s="63"/>
      <c r="Y162" s="63"/>
      <c r="Z162" s="63"/>
    </row>
    <row r="163" ht="12.0" customHeight="1">
      <c r="A163" s="64"/>
      <c r="B163" s="65"/>
      <c r="C163" s="71">
        <f t="shared" si="12"/>
        <v>38</v>
      </c>
      <c r="D163" s="72" t="s">
        <v>367</v>
      </c>
      <c r="E163" s="72" t="s">
        <v>351</v>
      </c>
      <c r="F163" s="71" t="s">
        <v>46</v>
      </c>
      <c r="G163" s="71">
        <v>1.0</v>
      </c>
      <c r="H163" s="73"/>
      <c r="I163" s="74">
        <f t="shared" si="1"/>
        <v>0</v>
      </c>
      <c r="J163" s="75"/>
      <c r="K163" s="63"/>
      <c r="L163" s="63"/>
      <c r="M163" s="63"/>
      <c r="N163" s="63"/>
      <c r="O163" s="63"/>
      <c r="P163" s="63"/>
      <c r="Q163" s="63"/>
      <c r="R163" s="63"/>
      <c r="S163" s="63"/>
      <c r="T163" s="63"/>
      <c r="U163" s="63"/>
      <c r="V163" s="63"/>
      <c r="W163" s="63"/>
      <c r="X163" s="63"/>
      <c r="Y163" s="63"/>
      <c r="Z163" s="63"/>
    </row>
    <row r="164" ht="12.0" customHeight="1">
      <c r="A164" s="64"/>
      <c r="B164" s="65"/>
      <c r="C164" s="71">
        <f t="shared" si="12"/>
        <v>39</v>
      </c>
      <c r="D164" s="72" t="s">
        <v>368</v>
      </c>
      <c r="E164" s="72" t="s">
        <v>351</v>
      </c>
      <c r="F164" s="71" t="s">
        <v>46</v>
      </c>
      <c r="G164" s="71">
        <v>1.0</v>
      </c>
      <c r="H164" s="73"/>
      <c r="I164" s="74">
        <f t="shared" si="1"/>
        <v>0</v>
      </c>
      <c r="J164" s="75"/>
      <c r="K164" s="63"/>
      <c r="L164" s="63"/>
      <c r="M164" s="63"/>
      <c r="N164" s="63"/>
      <c r="O164" s="63"/>
      <c r="P164" s="63"/>
      <c r="Q164" s="63"/>
      <c r="R164" s="63"/>
      <c r="S164" s="63"/>
      <c r="T164" s="63"/>
      <c r="U164" s="63"/>
      <c r="V164" s="63"/>
      <c r="W164" s="63"/>
      <c r="X164" s="63"/>
      <c r="Y164" s="63"/>
      <c r="Z164" s="63"/>
    </row>
    <row r="165" ht="12.0" customHeight="1">
      <c r="A165" s="64"/>
      <c r="B165" s="65"/>
      <c r="C165" s="71">
        <f t="shared" si="12"/>
        <v>40</v>
      </c>
      <c r="D165" s="72" t="s">
        <v>369</v>
      </c>
      <c r="E165" s="72" t="s">
        <v>351</v>
      </c>
      <c r="F165" s="71" t="s">
        <v>46</v>
      </c>
      <c r="G165" s="71">
        <v>1.0</v>
      </c>
      <c r="H165" s="73"/>
      <c r="I165" s="74">
        <f t="shared" si="1"/>
        <v>0</v>
      </c>
      <c r="J165" s="75"/>
      <c r="K165" s="63"/>
      <c r="L165" s="63"/>
      <c r="M165" s="63"/>
      <c r="N165" s="63"/>
      <c r="O165" s="63"/>
      <c r="P165" s="63"/>
      <c r="Q165" s="63"/>
      <c r="R165" s="63"/>
      <c r="S165" s="63"/>
      <c r="T165" s="63"/>
      <c r="U165" s="63"/>
      <c r="V165" s="63"/>
      <c r="W165" s="63"/>
      <c r="X165" s="63"/>
      <c r="Y165" s="63"/>
      <c r="Z165" s="63"/>
    </row>
    <row r="166" ht="12.0" customHeight="1">
      <c r="A166" s="64"/>
      <c r="B166" s="65"/>
      <c r="C166" s="71">
        <f t="shared" si="12"/>
        <v>41</v>
      </c>
      <c r="D166" s="72" t="s">
        <v>370</v>
      </c>
      <c r="E166" s="72" t="s">
        <v>351</v>
      </c>
      <c r="F166" s="71" t="s">
        <v>46</v>
      </c>
      <c r="G166" s="71">
        <v>1.0</v>
      </c>
      <c r="H166" s="73"/>
      <c r="I166" s="74">
        <f t="shared" si="1"/>
        <v>0</v>
      </c>
      <c r="J166" s="75"/>
      <c r="K166" s="63"/>
      <c r="L166" s="63"/>
      <c r="M166" s="63"/>
      <c r="N166" s="63"/>
      <c r="O166" s="63"/>
      <c r="P166" s="63"/>
      <c r="Q166" s="63"/>
      <c r="R166" s="63"/>
      <c r="S166" s="63"/>
      <c r="T166" s="63"/>
      <c r="U166" s="63"/>
      <c r="V166" s="63"/>
      <c r="W166" s="63"/>
      <c r="X166" s="63"/>
      <c r="Y166" s="63"/>
      <c r="Z166" s="63"/>
    </row>
    <row r="167" ht="12.0" customHeight="1">
      <c r="A167" s="64"/>
      <c r="B167" s="65"/>
      <c r="C167" s="71">
        <f t="shared" si="12"/>
        <v>42</v>
      </c>
      <c r="D167" s="72" t="s">
        <v>371</v>
      </c>
      <c r="E167" s="72" t="s">
        <v>351</v>
      </c>
      <c r="F167" s="71" t="s">
        <v>46</v>
      </c>
      <c r="G167" s="71">
        <v>1.0</v>
      </c>
      <c r="H167" s="73"/>
      <c r="I167" s="74">
        <f t="shared" si="1"/>
        <v>0</v>
      </c>
      <c r="J167" s="75"/>
      <c r="K167" s="63"/>
      <c r="L167" s="63"/>
      <c r="M167" s="63"/>
      <c r="N167" s="63"/>
      <c r="O167" s="63"/>
      <c r="P167" s="63"/>
      <c r="Q167" s="63"/>
      <c r="R167" s="63"/>
      <c r="S167" s="63"/>
      <c r="T167" s="63"/>
      <c r="U167" s="63"/>
      <c r="V167" s="63"/>
      <c r="W167" s="63"/>
      <c r="X167" s="63"/>
      <c r="Y167" s="63"/>
      <c r="Z167" s="63"/>
    </row>
    <row r="168" ht="12.0" customHeight="1">
      <c r="A168" s="64"/>
      <c r="B168" s="65"/>
      <c r="C168" s="71">
        <f t="shared" si="12"/>
        <v>43</v>
      </c>
      <c r="D168" s="72" t="s">
        <v>372</v>
      </c>
      <c r="E168" s="72" t="s">
        <v>351</v>
      </c>
      <c r="F168" s="71" t="s">
        <v>46</v>
      </c>
      <c r="G168" s="71">
        <v>1.0</v>
      </c>
      <c r="H168" s="73"/>
      <c r="I168" s="74">
        <f t="shared" si="1"/>
        <v>0</v>
      </c>
      <c r="J168" s="75"/>
      <c r="K168" s="63"/>
      <c r="L168" s="63"/>
      <c r="M168" s="63"/>
      <c r="N168" s="63"/>
      <c r="O168" s="63"/>
      <c r="P168" s="63"/>
      <c r="Q168" s="63"/>
      <c r="R168" s="63"/>
      <c r="S168" s="63"/>
      <c r="T168" s="63"/>
      <c r="U168" s="63"/>
      <c r="V168" s="63"/>
      <c r="W168" s="63"/>
      <c r="X168" s="63"/>
      <c r="Y168" s="63"/>
      <c r="Z168" s="63"/>
    </row>
    <row r="169" ht="12.0" customHeight="1">
      <c r="A169" s="64"/>
      <c r="B169" s="65"/>
      <c r="C169" s="71">
        <f t="shared" si="12"/>
        <v>44</v>
      </c>
      <c r="D169" s="72" t="s">
        <v>373</v>
      </c>
      <c r="E169" s="72" t="s">
        <v>351</v>
      </c>
      <c r="F169" s="71" t="s">
        <v>46</v>
      </c>
      <c r="G169" s="71">
        <v>1.0</v>
      </c>
      <c r="H169" s="73"/>
      <c r="I169" s="74">
        <f t="shared" si="1"/>
        <v>0</v>
      </c>
      <c r="J169" s="75"/>
      <c r="K169" s="63"/>
      <c r="L169" s="63"/>
      <c r="M169" s="63"/>
      <c r="N169" s="63"/>
      <c r="O169" s="63"/>
      <c r="P169" s="63"/>
      <c r="Q169" s="63"/>
      <c r="R169" s="63"/>
      <c r="S169" s="63"/>
      <c r="T169" s="63"/>
      <c r="U169" s="63"/>
      <c r="V169" s="63"/>
      <c r="W169" s="63"/>
      <c r="X169" s="63"/>
      <c r="Y169" s="63"/>
      <c r="Z169" s="63"/>
    </row>
    <row r="170" ht="12.0" customHeight="1">
      <c r="A170" s="64"/>
      <c r="B170" s="65"/>
      <c r="C170" s="71">
        <f t="shared" si="12"/>
        <v>45</v>
      </c>
      <c r="D170" s="72" t="s">
        <v>374</v>
      </c>
      <c r="E170" s="72" t="s">
        <v>351</v>
      </c>
      <c r="F170" s="71" t="s">
        <v>46</v>
      </c>
      <c r="G170" s="71">
        <v>1.0</v>
      </c>
      <c r="H170" s="73"/>
      <c r="I170" s="74">
        <f t="shared" si="1"/>
        <v>0</v>
      </c>
      <c r="J170" s="75"/>
      <c r="K170" s="63"/>
      <c r="L170" s="63"/>
      <c r="M170" s="63"/>
      <c r="N170" s="63"/>
      <c r="O170" s="63"/>
      <c r="P170" s="63"/>
      <c r="Q170" s="63"/>
      <c r="R170" s="63"/>
      <c r="S170" s="63"/>
      <c r="T170" s="63"/>
      <c r="U170" s="63"/>
      <c r="V170" s="63"/>
      <c r="W170" s="63"/>
      <c r="X170" s="63"/>
      <c r="Y170" s="63"/>
      <c r="Z170" s="63"/>
    </row>
    <row r="171" ht="12.0" customHeight="1">
      <c r="A171" s="64"/>
      <c r="B171" s="65"/>
      <c r="C171" s="71">
        <f t="shared" si="12"/>
        <v>46</v>
      </c>
      <c r="D171" s="72" t="s">
        <v>375</v>
      </c>
      <c r="E171" s="72" t="s">
        <v>351</v>
      </c>
      <c r="F171" s="71" t="s">
        <v>46</v>
      </c>
      <c r="G171" s="71">
        <v>1.0</v>
      </c>
      <c r="H171" s="73"/>
      <c r="I171" s="74">
        <f t="shared" si="1"/>
        <v>0</v>
      </c>
      <c r="J171" s="75"/>
      <c r="K171" s="63"/>
      <c r="L171" s="63"/>
      <c r="M171" s="63"/>
      <c r="N171" s="63"/>
      <c r="O171" s="63"/>
      <c r="P171" s="63"/>
      <c r="Q171" s="63"/>
      <c r="R171" s="63"/>
      <c r="S171" s="63"/>
      <c r="T171" s="63"/>
      <c r="U171" s="63"/>
      <c r="V171" s="63"/>
      <c r="W171" s="63"/>
      <c r="X171" s="63"/>
      <c r="Y171" s="63"/>
      <c r="Z171" s="63"/>
    </row>
    <row r="172" ht="12.0" customHeight="1">
      <c r="A172" s="64"/>
      <c r="B172" s="65"/>
      <c r="C172" s="71">
        <f t="shared" si="12"/>
        <v>47</v>
      </c>
      <c r="D172" s="72" t="s">
        <v>376</v>
      </c>
      <c r="E172" s="72" t="s">
        <v>351</v>
      </c>
      <c r="F172" s="71" t="s">
        <v>46</v>
      </c>
      <c r="G172" s="71">
        <v>1.0</v>
      </c>
      <c r="H172" s="73"/>
      <c r="I172" s="74">
        <f t="shared" si="1"/>
        <v>0</v>
      </c>
      <c r="J172" s="75"/>
      <c r="K172" s="63"/>
      <c r="L172" s="63"/>
      <c r="M172" s="63"/>
      <c r="N172" s="63"/>
      <c r="O172" s="63"/>
      <c r="P172" s="63"/>
      <c r="Q172" s="63"/>
      <c r="R172" s="63"/>
      <c r="S172" s="63"/>
      <c r="T172" s="63"/>
      <c r="U172" s="63"/>
      <c r="V172" s="63"/>
      <c r="W172" s="63"/>
      <c r="X172" s="63"/>
      <c r="Y172" s="63"/>
      <c r="Z172" s="63"/>
    </row>
    <row r="173" ht="12.0" customHeight="1">
      <c r="A173" s="64"/>
      <c r="B173" s="65"/>
      <c r="C173" s="71">
        <f t="shared" si="12"/>
        <v>48</v>
      </c>
      <c r="D173" s="72" t="s">
        <v>377</v>
      </c>
      <c r="E173" s="72" t="s">
        <v>351</v>
      </c>
      <c r="F173" s="71" t="s">
        <v>46</v>
      </c>
      <c r="G173" s="71">
        <v>1.0</v>
      </c>
      <c r="H173" s="73"/>
      <c r="I173" s="74">
        <f t="shared" si="1"/>
        <v>0</v>
      </c>
      <c r="J173" s="75"/>
      <c r="K173" s="63"/>
      <c r="L173" s="63"/>
      <c r="M173" s="63"/>
      <c r="N173" s="63"/>
      <c r="O173" s="63"/>
      <c r="P173" s="63"/>
      <c r="Q173" s="63"/>
      <c r="R173" s="63"/>
      <c r="S173" s="63"/>
      <c r="T173" s="63"/>
      <c r="U173" s="63"/>
      <c r="V173" s="63"/>
      <c r="W173" s="63"/>
      <c r="X173" s="63"/>
      <c r="Y173" s="63"/>
      <c r="Z173" s="63"/>
    </row>
    <row r="174" ht="12.0" customHeight="1">
      <c r="A174" s="64"/>
      <c r="B174" s="65"/>
      <c r="C174" s="71">
        <f t="shared" si="12"/>
        <v>49</v>
      </c>
      <c r="D174" s="72" t="s">
        <v>378</v>
      </c>
      <c r="E174" s="72" t="s">
        <v>351</v>
      </c>
      <c r="F174" s="71" t="s">
        <v>46</v>
      </c>
      <c r="G174" s="71">
        <v>1.0</v>
      </c>
      <c r="H174" s="73"/>
      <c r="I174" s="74">
        <f t="shared" si="1"/>
        <v>0</v>
      </c>
      <c r="J174" s="75"/>
      <c r="K174" s="63"/>
      <c r="L174" s="63"/>
      <c r="M174" s="63"/>
      <c r="N174" s="63"/>
      <c r="O174" s="63"/>
      <c r="P174" s="63"/>
      <c r="Q174" s="63"/>
      <c r="R174" s="63"/>
      <c r="S174" s="63"/>
      <c r="T174" s="63"/>
      <c r="U174" s="63"/>
      <c r="V174" s="63"/>
      <c r="W174" s="63"/>
      <c r="X174" s="63"/>
      <c r="Y174" s="63"/>
      <c r="Z174" s="63"/>
    </row>
    <row r="175" ht="12.0" customHeight="1">
      <c r="A175" s="78"/>
      <c r="B175" s="88"/>
      <c r="C175" s="80">
        <f t="shared" si="12"/>
        <v>50</v>
      </c>
      <c r="D175" s="79" t="s">
        <v>379</v>
      </c>
      <c r="E175" s="79" t="s">
        <v>351</v>
      </c>
      <c r="F175" s="80" t="s">
        <v>46</v>
      </c>
      <c r="G175" s="80">
        <v>1.0</v>
      </c>
      <c r="H175" s="81"/>
      <c r="I175" s="82">
        <f t="shared" si="1"/>
        <v>0</v>
      </c>
      <c r="J175" s="83"/>
      <c r="K175" s="63"/>
      <c r="L175" s="63"/>
      <c r="M175" s="63"/>
      <c r="N175" s="63"/>
      <c r="O175" s="63"/>
      <c r="P175" s="63"/>
      <c r="Q175" s="63"/>
      <c r="R175" s="63"/>
      <c r="S175" s="63"/>
      <c r="T175" s="63"/>
      <c r="U175" s="63"/>
      <c r="V175" s="63"/>
      <c r="W175" s="63"/>
      <c r="X175" s="63"/>
      <c r="Y175" s="63"/>
      <c r="Z175" s="63"/>
    </row>
    <row r="176" ht="12.0" customHeight="1">
      <c r="A176" s="63"/>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63"/>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63"/>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63"/>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63"/>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63"/>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63"/>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63"/>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63"/>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63"/>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63"/>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63"/>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63"/>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63"/>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63"/>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63"/>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63"/>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63"/>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63"/>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63"/>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63"/>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63"/>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63"/>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63"/>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63"/>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63"/>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63"/>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63"/>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63"/>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63"/>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63"/>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63"/>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63"/>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63"/>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63"/>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63"/>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63"/>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63"/>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63"/>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63"/>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63"/>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63"/>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63"/>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63"/>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63"/>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63"/>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63"/>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63"/>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63"/>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63"/>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63"/>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63"/>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63"/>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63"/>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63"/>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63"/>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63"/>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63"/>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63"/>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63"/>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63"/>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63"/>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63"/>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63"/>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63"/>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63"/>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63"/>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63"/>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63"/>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63"/>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63"/>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63"/>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63"/>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63"/>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63"/>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63"/>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63"/>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63"/>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63"/>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63"/>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63"/>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63"/>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63"/>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63"/>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63"/>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63"/>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63"/>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63"/>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63"/>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63"/>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63"/>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63"/>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63"/>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63"/>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63"/>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63"/>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63"/>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63"/>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63"/>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63"/>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63"/>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63"/>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63"/>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63"/>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63"/>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63"/>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63"/>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63"/>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63"/>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63"/>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63"/>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63"/>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63"/>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63"/>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63"/>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63"/>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63"/>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63"/>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63"/>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63"/>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63"/>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63"/>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63"/>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63"/>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63"/>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63"/>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63"/>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63"/>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63"/>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63"/>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63"/>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63"/>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63"/>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63"/>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63"/>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63"/>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63"/>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63"/>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63"/>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63"/>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63"/>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63"/>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63"/>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63"/>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63"/>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63"/>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63"/>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63"/>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63"/>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63"/>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63"/>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63"/>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63"/>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63"/>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63"/>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63"/>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63"/>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63"/>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63"/>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63"/>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63"/>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63"/>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63"/>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63"/>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63"/>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63"/>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63"/>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63"/>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63"/>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63"/>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63"/>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63"/>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63"/>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63"/>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63"/>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63"/>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63"/>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63"/>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63"/>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63"/>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63"/>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63"/>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63"/>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63"/>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63"/>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63"/>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63"/>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63"/>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63"/>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63"/>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63"/>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63"/>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63"/>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63"/>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63"/>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63"/>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63"/>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63"/>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63"/>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63"/>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63"/>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63"/>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63"/>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63"/>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63"/>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63"/>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63"/>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63"/>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63"/>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63"/>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63"/>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63"/>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63"/>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63"/>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63"/>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63"/>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63"/>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63"/>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63"/>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63"/>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63"/>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63"/>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63"/>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63"/>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63"/>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63"/>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63"/>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63"/>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63"/>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63"/>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63"/>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63"/>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63"/>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63"/>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63"/>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63"/>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63"/>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63"/>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63"/>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63"/>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63"/>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63"/>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63"/>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63"/>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63"/>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63"/>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63"/>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63"/>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63"/>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63"/>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63"/>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63"/>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63"/>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63"/>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63"/>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63"/>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63"/>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63"/>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63"/>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63"/>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63"/>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63"/>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63"/>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63"/>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63"/>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63"/>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63"/>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63"/>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63"/>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63"/>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63"/>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63"/>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63"/>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63"/>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63"/>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63"/>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63"/>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63"/>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63"/>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63"/>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63"/>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63"/>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63"/>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63"/>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63"/>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63"/>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63"/>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63"/>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63"/>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63"/>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63"/>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63"/>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63"/>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63"/>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63"/>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63"/>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63"/>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63"/>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63"/>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63"/>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63"/>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63"/>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63"/>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63"/>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63"/>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63"/>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63"/>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63"/>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63"/>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63"/>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63"/>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63"/>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63"/>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63"/>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63"/>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63"/>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63"/>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63"/>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63"/>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63"/>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63"/>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63"/>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63"/>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63"/>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63"/>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63"/>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63"/>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63"/>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63"/>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63"/>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63"/>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63"/>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63"/>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63"/>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63"/>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63"/>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63"/>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63"/>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63"/>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63"/>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63"/>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63"/>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63"/>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63"/>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63"/>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63"/>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63"/>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63"/>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63"/>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63"/>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63"/>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63"/>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63"/>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63"/>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63"/>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63"/>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63"/>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63"/>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63"/>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63"/>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63"/>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63"/>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63"/>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63"/>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63"/>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63"/>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63"/>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63"/>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63"/>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63"/>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63"/>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63"/>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63"/>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63"/>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63"/>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63"/>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63"/>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63"/>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63"/>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63"/>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63"/>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63"/>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63"/>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63"/>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63"/>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63"/>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63"/>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63"/>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63"/>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63"/>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63"/>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63"/>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63"/>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63"/>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63"/>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63"/>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63"/>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63"/>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63"/>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63"/>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63"/>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63"/>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63"/>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63"/>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63"/>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63"/>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63"/>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63"/>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63"/>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63"/>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63"/>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63"/>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63"/>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63"/>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63"/>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63"/>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63"/>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63"/>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63"/>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63"/>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63"/>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63"/>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63"/>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63"/>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63"/>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63"/>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63"/>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63"/>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63"/>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63"/>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63"/>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63"/>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63"/>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63"/>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63"/>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63"/>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63"/>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63"/>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63"/>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63"/>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63"/>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63"/>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63"/>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63"/>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63"/>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63"/>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63"/>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63"/>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63"/>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63"/>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63"/>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63"/>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63"/>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63"/>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63"/>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63"/>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63"/>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63"/>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63"/>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63"/>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63"/>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63"/>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63"/>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63"/>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63"/>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63"/>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63"/>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63"/>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63"/>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63"/>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63"/>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63"/>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63"/>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63"/>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63"/>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63"/>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63"/>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63"/>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63"/>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63"/>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63"/>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63"/>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63"/>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63"/>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63"/>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63"/>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63"/>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63"/>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63"/>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63"/>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63"/>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63"/>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63"/>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63"/>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63"/>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63"/>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63"/>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63"/>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63"/>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63"/>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63"/>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63"/>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63"/>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63"/>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63"/>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63"/>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63"/>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63"/>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63"/>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63"/>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63"/>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63"/>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63"/>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63"/>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63"/>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63"/>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63"/>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63"/>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63"/>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63"/>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63"/>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63"/>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63"/>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63"/>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63"/>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63"/>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63"/>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63"/>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63"/>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63"/>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63"/>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63"/>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63"/>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63"/>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63"/>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63"/>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63"/>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63"/>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63"/>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63"/>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63"/>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63"/>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63"/>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63"/>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63"/>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63"/>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63"/>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63"/>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63"/>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63"/>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63"/>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63"/>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63"/>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63"/>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63"/>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63"/>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63"/>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63"/>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63"/>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63"/>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63"/>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63"/>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63"/>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63"/>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63"/>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63"/>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63"/>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63"/>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63"/>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63"/>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63"/>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63"/>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63"/>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63"/>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63"/>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63"/>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63"/>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63"/>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63"/>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63"/>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63"/>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63"/>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63"/>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63"/>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63"/>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63"/>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63"/>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63"/>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63"/>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63"/>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63"/>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63"/>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63"/>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63"/>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63"/>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63"/>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63"/>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63"/>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63"/>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63"/>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63"/>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63"/>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63"/>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63"/>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63"/>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63"/>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63"/>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63"/>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63"/>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63"/>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63"/>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63"/>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63"/>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63"/>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63"/>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63"/>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63"/>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63"/>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63"/>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63"/>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63"/>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63"/>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63"/>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63"/>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63"/>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63"/>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63"/>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63"/>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63"/>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63"/>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63"/>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63"/>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63"/>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63"/>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63"/>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63"/>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63"/>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63"/>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63"/>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63"/>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63"/>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63"/>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63"/>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63"/>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63"/>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63"/>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63"/>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63"/>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63"/>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63"/>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63"/>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63"/>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63"/>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63"/>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63"/>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63"/>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63"/>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63"/>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63"/>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63"/>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63"/>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63"/>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63"/>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63"/>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63"/>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63"/>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63"/>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63"/>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63"/>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63"/>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63"/>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63"/>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63"/>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63"/>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63"/>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63"/>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63"/>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63"/>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63"/>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63"/>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63"/>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63"/>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63"/>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63"/>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63"/>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63"/>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63"/>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63"/>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63"/>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63"/>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63"/>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63"/>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63"/>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63"/>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63"/>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63"/>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63"/>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63"/>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63"/>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63"/>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63"/>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63"/>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63"/>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63"/>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63"/>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63"/>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63"/>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63"/>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63"/>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63"/>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63"/>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63"/>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63"/>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63"/>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63"/>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63"/>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63"/>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63"/>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63"/>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63"/>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63"/>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63"/>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63"/>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63"/>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63"/>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63"/>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63"/>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63"/>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63"/>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63"/>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63"/>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63"/>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63"/>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63"/>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63"/>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63"/>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63"/>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63"/>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63"/>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63"/>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63"/>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63"/>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63"/>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63"/>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63"/>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63"/>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63"/>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63"/>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63"/>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63"/>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63"/>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63"/>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63"/>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63"/>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63"/>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63"/>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63"/>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63"/>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63"/>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63"/>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63"/>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63"/>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63"/>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63"/>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63"/>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63"/>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63"/>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63"/>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63"/>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63"/>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63"/>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63"/>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63"/>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63"/>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63"/>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63"/>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63"/>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63"/>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63"/>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63"/>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63"/>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63"/>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63"/>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63"/>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63"/>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63"/>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63"/>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63"/>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63"/>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63"/>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63"/>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63"/>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63"/>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63"/>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63"/>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63"/>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63"/>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63"/>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63"/>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63"/>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63"/>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63"/>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63"/>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63"/>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63"/>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63"/>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63"/>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63"/>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63"/>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63"/>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63"/>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63"/>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63"/>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63"/>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63"/>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63"/>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63"/>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63"/>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63"/>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63"/>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36" footer="0.0" header="0.0" left="0.4" right="0.36" top="0.4"/>
  <pageSetup paperSize="9" scale="70" orientation="landscape"/>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86"/>
    <col customWidth="1" min="3" max="3" width="4.43"/>
    <col customWidth="1" min="4" max="4" width="70.29"/>
    <col customWidth="1" min="5" max="5" width="19.43"/>
    <col customWidth="1" min="6" max="6" width="4.86"/>
    <col customWidth="1" min="7" max="7" width="6.29"/>
    <col customWidth="1" min="8" max="8" width="7.86"/>
    <col customWidth="1" min="9" max="9" width="8.86"/>
    <col customWidth="1" min="10" max="10" width="18.86"/>
    <col customWidth="1" min="11" max="26" width="8.71"/>
  </cols>
  <sheetData>
    <row r="1" ht="12.0" customHeight="1">
      <c r="A1" s="92" t="s">
        <v>32</v>
      </c>
      <c r="B1" s="59" t="s">
        <v>33</v>
      </c>
      <c r="C1" s="93" t="s">
        <v>34</v>
      </c>
      <c r="D1" s="93" t="s">
        <v>35</v>
      </c>
      <c r="E1" s="93" t="s">
        <v>36</v>
      </c>
      <c r="F1" s="93" t="s">
        <v>37</v>
      </c>
      <c r="G1" s="93" t="s">
        <v>38</v>
      </c>
      <c r="H1" s="93" t="s">
        <v>39</v>
      </c>
      <c r="I1" s="94" t="s">
        <v>40</v>
      </c>
      <c r="J1" s="93" t="s">
        <v>41</v>
      </c>
      <c r="K1" s="63"/>
      <c r="L1" s="63"/>
      <c r="M1" s="63"/>
      <c r="N1" s="63"/>
      <c r="O1" s="63"/>
      <c r="P1" s="63"/>
      <c r="Q1" s="63"/>
      <c r="R1" s="63"/>
      <c r="S1" s="63"/>
      <c r="T1" s="63"/>
      <c r="U1" s="63"/>
      <c r="V1" s="63"/>
      <c r="W1" s="63"/>
      <c r="X1" s="63"/>
      <c r="Y1" s="63"/>
      <c r="Z1" s="63"/>
    </row>
    <row r="2" ht="20.25" customHeight="1">
      <c r="A2" s="95" t="s">
        <v>380</v>
      </c>
      <c r="B2" s="65" t="s">
        <v>381</v>
      </c>
      <c r="C2" s="96">
        <v>1.0</v>
      </c>
      <c r="D2" s="67" t="s">
        <v>382</v>
      </c>
      <c r="E2" s="67" t="s">
        <v>383</v>
      </c>
      <c r="F2" s="66" t="s">
        <v>53</v>
      </c>
      <c r="G2" s="66">
        <v>1.0</v>
      </c>
      <c r="H2" s="68"/>
      <c r="I2" s="69">
        <f t="shared" ref="I2:I93" si="1">G2*H2</f>
        <v>0</v>
      </c>
      <c r="J2" s="70"/>
      <c r="K2" s="63"/>
      <c r="L2" s="63"/>
      <c r="M2" s="63"/>
      <c r="N2" s="63"/>
      <c r="O2" s="63"/>
      <c r="P2" s="63"/>
      <c r="Q2" s="63"/>
      <c r="R2" s="63"/>
      <c r="S2" s="63"/>
      <c r="T2" s="63"/>
      <c r="U2" s="63"/>
      <c r="V2" s="63"/>
      <c r="W2" s="63"/>
      <c r="X2" s="63"/>
      <c r="Y2" s="63"/>
      <c r="Z2" s="63"/>
    </row>
    <row r="3" ht="12.0" customHeight="1">
      <c r="A3" s="95"/>
      <c r="B3" s="65"/>
      <c r="C3" s="97">
        <f t="shared" ref="C3:C31" si="2">C2+1</f>
        <v>2</v>
      </c>
      <c r="D3" s="72" t="s">
        <v>384</v>
      </c>
      <c r="E3" s="72" t="s">
        <v>385</v>
      </c>
      <c r="F3" s="71" t="s">
        <v>53</v>
      </c>
      <c r="G3" s="71">
        <v>1.0</v>
      </c>
      <c r="H3" s="73"/>
      <c r="I3" s="74">
        <f t="shared" si="1"/>
        <v>0</v>
      </c>
      <c r="J3" s="75"/>
      <c r="K3" s="63"/>
      <c r="L3" s="63"/>
      <c r="M3" s="63"/>
      <c r="N3" s="63"/>
      <c r="O3" s="63"/>
      <c r="P3" s="63"/>
      <c r="Q3" s="63"/>
      <c r="R3" s="63"/>
      <c r="S3" s="63"/>
      <c r="T3" s="63"/>
      <c r="U3" s="63"/>
      <c r="V3" s="63"/>
      <c r="W3" s="63"/>
      <c r="X3" s="63"/>
      <c r="Y3" s="63"/>
      <c r="Z3" s="63"/>
    </row>
    <row r="4" ht="12.0" customHeight="1">
      <c r="A4" s="95"/>
      <c r="B4" s="65"/>
      <c r="C4" s="97">
        <f t="shared" si="2"/>
        <v>3</v>
      </c>
      <c r="D4" s="72" t="s">
        <v>386</v>
      </c>
      <c r="E4" s="72" t="s">
        <v>197</v>
      </c>
      <c r="F4" s="71" t="s">
        <v>53</v>
      </c>
      <c r="G4" s="71">
        <v>1.0</v>
      </c>
      <c r="H4" s="73"/>
      <c r="I4" s="74">
        <f t="shared" si="1"/>
        <v>0</v>
      </c>
      <c r="J4" s="75"/>
      <c r="K4" s="63"/>
      <c r="L4" s="63"/>
      <c r="M4" s="63"/>
      <c r="N4" s="63"/>
      <c r="O4" s="63"/>
      <c r="P4" s="63"/>
      <c r="Q4" s="63"/>
      <c r="R4" s="63"/>
      <c r="S4" s="63"/>
      <c r="T4" s="63"/>
      <c r="U4" s="63"/>
      <c r="V4" s="63"/>
      <c r="W4" s="63"/>
      <c r="X4" s="63"/>
      <c r="Y4" s="63"/>
      <c r="Z4" s="63"/>
    </row>
    <row r="5" ht="12.0" customHeight="1">
      <c r="A5" s="95"/>
      <c r="B5" s="65"/>
      <c r="C5" s="97">
        <f t="shared" si="2"/>
        <v>4</v>
      </c>
      <c r="D5" s="72" t="s">
        <v>387</v>
      </c>
      <c r="E5" s="72" t="s">
        <v>388</v>
      </c>
      <c r="F5" s="71" t="s">
        <v>69</v>
      </c>
      <c r="G5" s="71">
        <v>1.0</v>
      </c>
      <c r="H5" s="73"/>
      <c r="I5" s="74">
        <f t="shared" si="1"/>
        <v>0</v>
      </c>
      <c r="J5" s="75"/>
      <c r="K5" s="63"/>
      <c r="L5" s="63"/>
      <c r="M5" s="63"/>
      <c r="N5" s="63"/>
      <c r="O5" s="63"/>
      <c r="P5" s="63"/>
      <c r="Q5" s="63"/>
      <c r="R5" s="63"/>
      <c r="S5" s="63"/>
      <c r="T5" s="63"/>
      <c r="U5" s="63"/>
      <c r="V5" s="63"/>
      <c r="W5" s="63"/>
      <c r="X5" s="63"/>
      <c r="Y5" s="63"/>
      <c r="Z5" s="63"/>
    </row>
    <row r="6" ht="12.0" customHeight="1">
      <c r="A6" s="95"/>
      <c r="B6" s="65"/>
      <c r="C6" s="97">
        <f t="shared" si="2"/>
        <v>5</v>
      </c>
      <c r="D6" s="72" t="s">
        <v>389</v>
      </c>
      <c r="E6" s="72" t="s">
        <v>390</v>
      </c>
      <c r="F6" s="71" t="s">
        <v>69</v>
      </c>
      <c r="G6" s="71">
        <v>1.0</v>
      </c>
      <c r="H6" s="73"/>
      <c r="I6" s="74">
        <f t="shared" si="1"/>
        <v>0</v>
      </c>
      <c r="J6" s="75"/>
      <c r="K6" s="63"/>
      <c r="L6" s="63"/>
      <c r="M6" s="63"/>
      <c r="N6" s="63"/>
      <c r="O6" s="63"/>
      <c r="P6" s="63"/>
      <c r="Q6" s="63"/>
      <c r="R6" s="63"/>
      <c r="S6" s="63"/>
      <c r="T6" s="63"/>
      <c r="U6" s="63"/>
      <c r="V6" s="63"/>
      <c r="W6" s="63"/>
      <c r="X6" s="63"/>
      <c r="Y6" s="63"/>
      <c r="Z6" s="63"/>
    </row>
    <row r="7" ht="12.0" customHeight="1">
      <c r="A7" s="95"/>
      <c r="B7" s="65"/>
      <c r="C7" s="97">
        <f t="shared" si="2"/>
        <v>6</v>
      </c>
      <c r="D7" s="72" t="s">
        <v>391</v>
      </c>
      <c r="E7" s="72" t="s">
        <v>186</v>
      </c>
      <c r="F7" s="71" t="s">
        <v>53</v>
      </c>
      <c r="G7" s="71">
        <v>1.0</v>
      </c>
      <c r="H7" s="73"/>
      <c r="I7" s="74">
        <f t="shared" si="1"/>
        <v>0</v>
      </c>
      <c r="J7" s="75"/>
      <c r="K7" s="63"/>
      <c r="L7" s="63"/>
      <c r="M7" s="63"/>
      <c r="N7" s="63"/>
      <c r="O7" s="63"/>
      <c r="P7" s="63"/>
      <c r="Q7" s="63"/>
      <c r="R7" s="63"/>
      <c r="S7" s="63"/>
      <c r="T7" s="63"/>
      <c r="U7" s="63"/>
      <c r="V7" s="63"/>
      <c r="W7" s="63"/>
      <c r="X7" s="63"/>
      <c r="Y7" s="63"/>
      <c r="Z7" s="63"/>
    </row>
    <row r="8" ht="12.0" customHeight="1">
      <c r="A8" s="95"/>
      <c r="B8" s="65"/>
      <c r="C8" s="97">
        <f t="shared" si="2"/>
        <v>7</v>
      </c>
      <c r="D8" s="72" t="s">
        <v>392</v>
      </c>
      <c r="E8" s="72" t="s">
        <v>186</v>
      </c>
      <c r="F8" s="71" t="s">
        <v>69</v>
      </c>
      <c r="G8" s="71">
        <v>1.0</v>
      </c>
      <c r="H8" s="73"/>
      <c r="I8" s="74">
        <f t="shared" si="1"/>
        <v>0</v>
      </c>
      <c r="J8" s="75"/>
      <c r="K8" s="63"/>
      <c r="L8" s="63"/>
      <c r="M8" s="63"/>
      <c r="N8" s="63"/>
      <c r="O8" s="63"/>
      <c r="P8" s="63"/>
      <c r="Q8" s="63"/>
      <c r="R8" s="63"/>
      <c r="S8" s="63"/>
      <c r="T8" s="63"/>
      <c r="U8" s="63"/>
      <c r="V8" s="63"/>
      <c r="W8" s="63"/>
      <c r="X8" s="63"/>
      <c r="Y8" s="63"/>
      <c r="Z8" s="63"/>
    </row>
    <row r="9" ht="12.0" customHeight="1">
      <c r="A9" s="95"/>
      <c r="B9" s="65"/>
      <c r="C9" s="97">
        <f t="shared" si="2"/>
        <v>8</v>
      </c>
      <c r="D9" s="72" t="s">
        <v>393</v>
      </c>
      <c r="E9" s="72" t="s">
        <v>186</v>
      </c>
      <c r="F9" s="71" t="s">
        <v>53</v>
      </c>
      <c r="G9" s="71">
        <v>1.0</v>
      </c>
      <c r="H9" s="73"/>
      <c r="I9" s="74">
        <f t="shared" si="1"/>
        <v>0</v>
      </c>
      <c r="J9" s="75"/>
      <c r="K9" s="63"/>
      <c r="L9" s="63"/>
      <c r="M9" s="63"/>
      <c r="N9" s="63"/>
      <c r="O9" s="63"/>
      <c r="P9" s="63"/>
      <c r="Q9" s="63"/>
      <c r="R9" s="63"/>
      <c r="S9" s="63"/>
      <c r="T9" s="63"/>
      <c r="U9" s="63"/>
      <c r="V9" s="63"/>
      <c r="W9" s="63"/>
      <c r="X9" s="63"/>
      <c r="Y9" s="63"/>
      <c r="Z9" s="63"/>
    </row>
    <row r="10" ht="12.0" customHeight="1">
      <c r="A10" s="95"/>
      <c r="B10" s="65"/>
      <c r="C10" s="97">
        <f t="shared" si="2"/>
        <v>9</v>
      </c>
      <c r="D10" s="72" t="s">
        <v>394</v>
      </c>
      <c r="E10" s="72" t="s">
        <v>395</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95"/>
      <c r="B11" s="65"/>
      <c r="C11" s="97">
        <f t="shared" si="2"/>
        <v>10</v>
      </c>
      <c r="D11" s="72" t="s">
        <v>396</v>
      </c>
      <c r="E11" s="72" t="s">
        <v>397</v>
      </c>
      <c r="F11" s="71" t="s">
        <v>46</v>
      </c>
      <c r="G11" s="71">
        <v>1.0</v>
      </c>
      <c r="H11" s="73"/>
      <c r="I11" s="74">
        <f t="shared" si="1"/>
        <v>0</v>
      </c>
      <c r="J11" s="75"/>
      <c r="K11" s="63"/>
      <c r="L11" s="63"/>
      <c r="M11" s="63"/>
      <c r="N11" s="63"/>
      <c r="O11" s="63"/>
      <c r="P11" s="63"/>
      <c r="Q11" s="63"/>
      <c r="R11" s="63"/>
      <c r="S11" s="63"/>
      <c r="T11" s="63"/>
      <c r="U11" s="63"/>
      <c r="V11" s="63"/>
      <c r="W11" s="63"/>
      <c r="X11" s="63"/>
      <c r="Y11" s="63"/>
      <c r="Z11" s="63"/>
    </row>
    <row r="12" ht="12.0" customHeight="1">
      <c r="A12" s="95"/>
      <c r="B12" s="65"/>
      <c r="C12" s="97">
        <f t="shared" si="2"/>
        <v>11</v>
      </c>
      <c r="D12" s="72" t="s">
        <v>398</v>
      </c>
      <c r="E12" s="72" t="s">
        <v>399</v>
      </c>
      <c r="F12" s="71" t="s">
        <v>69</v>
      </c>
      <c r="G12" s="71">
        <v>1.0</v>
      </c>
      <c r="H12" s="73"/>
      <c r="I12" s="74">
        <f t="shared" si="1"/>
        <v>0</v>
      </c>
      <c r="J12" s="75"/>
      <c r="K12" s="63"/>
      <c r="L12" s="63"/>
      <c r="M12" s="63"/>
      <c r="N12" s="63"/>
      <c r="O12" s="63"/>
      <c r="P12" s="63"/>
      <c r="Q12" s="63"/>
      <c r="R12" s="63"/>
      <c r="S12" s="63"/>
      <c r="T12" s="63"/>
      <c r="U12" s="63"/>
      <c r="V12" s="63"/>
      <c r="W12" s="63"/>
      <c r="X12" s="63"/>
      <c r="Y12" s="63"/>
      <c r="Z12" s="63"/>
    </row>
    <row r="13" ht="12.0" customHeight="1">
      <c r="A13" s="95"/>
      <c r="B13" s="65"/>
      <c r="C13" s="97">
        <f t="shared" si="2"/>
        <v>12</v>
      </c>
      <c r="D13" s="72" t="s">
        <v>400</v>
      </c>
      <c r="E13" s="72" t="s">
        <v>401</v>
      </c>
      <c r="F13" s="71" t="s">
        <v>69</v>
      </c>
      <c r="G13" s="71">
        <v>1.0</v>
      </c>
      <c r="H13" s="73"/>
      <c r="I13" s="74">
        <f t="shared" si="1"/>
        <v>0</v>
      </c>
      <c r="J13" s="75"/>
      <c r="K13" s="63"/>
      <c r="L13" s="63"/>
      <c r="M13" s="63"/>
      <c r="N13" s="63"/>
      <c r="O13" s="63"/>
      <c r="P13" s="63"/>
      <c r="Q13" s="63"/>
      <c r="R13" s="63"/>
      <c r="S13" s="63"/>
      <c r="T13" s="63"/>
      <c r="U13" s="63"/>
      <c r="V13" s="63"/>
      <c r="W13" s="63"/>
      <c r="X13" s="63"/>
      <c r="Y13" s="63"/>
      <c r="Z13" s="63"/>
    </row>
    <row r="14" ht="12.0" customHeight="1">
      <c r="A14" s="95"/>
      <c r="B14" s="76" t="s">
        <v>402</v>
      </c>
      <c r="C14" s="97">
        <f t="shared" si="2"/>
        <v>13</v>
      </c>
      <c r="D14" s="72" t="s">
        <v>403</v>
      </c>
      <c r="E14" s="72" t="s">
        <v>404</v>
      </c>
      <c r="F14" s="71" t="s">
        <v>69</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95"/>
      <c r="B15" s="65"/>
      <c r="C15" s="97">
        <f t="shared" si="2"/>
        <v>14</v>
      </c>
      <c r="D15" s="72" t="s">
        <v>405</v>
      </c>
      <c r="E15" s="72" t="s">
        <v>186</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95"/>
      <c r="B16" s="65"/>
      <c r="C16" s="97">
        <f t="shared" si="2"/>
        <v>15</v>
      </c>
      <c r="D16" s="72" t="s">
        <v>406</v>
      </c>
      <c r="E16" s="72" t="s">
        <v>407</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95"/>
      <c r="B17" s="65"/>
      <c r="C17" s="97">
        <f t="shared" si="2"/>
        <v>16</v>
      </c>
      <c r="D17" s="72" t="s">
        <v>408</v>
      </c>
      <c r="E17" s="72" t="s">
        <v>409</v>
      </c>
      <c r="F17" s="71" t="s">
        <v>46</v>
      </c>
      <c r="G17" s="71">
        <v>1.0</v>
      </c>
      <c r="H17" s="73"/>
      <c r="I17" s="74">
        <f t="shared" si="1"/>
        <v>0</v>
      </c>
      <c r="J17" s="75"/>
      <c r="K17" s="63"/>
      <c r="L17" s="63"/>
      <c r="M17" s="63"/>
      <c r="N17" s="63"/>
      <c r="O17" s="63"/>
      <c r="P17" s="63"/>
      <c r="Q17" s="63"/>
      <c r="R17" s="63"/>
      <c r="S17" s="63"/>
      <c r="T17" s="63"/>
      <c r="U17" s="63"/>
      <c r="V17" s="63"/>
      <c r="W17" s="63"/>
      <c r="X17" s="63"/>
      <c r="Y17" s="63"/>
      <c r="Z17" s="63"/>
    </row>
    <row r="18" ht="12.0" customHeight="1">
      <c r="A18" s="95"/>
      <c r="B18" s="65"/>
      <c r="C18" s="97">
        <f t="shared" si="2"/>
        <v>17</v>
      </c>
      <c r="D18" s="72" t="s">
        <v>410</v>
      </c>
      <c r="E18" s="72" t="s">
        <v>411</v>
      </c>
      <c r="F18" s="71" t="s">
        <v>53</v>
      </c>
      <c r="G18" s="71">
        <v>1.0</v>
      </c>
      <c r="H18" s="73"/>
      <c r="I18" s="74">
        <f t="shared" si="1"/>
        <v>0</v>
      </c>
      <c r="J18" s="75"/>
      <c r="K18" s="63"/>
      <c r="L18" s="63"/>
      <c r="M18" s="63"/>
      <c r="N18" s="63"/>
      <c r="O18" s="63"/>
      <c r="P18" s="63"/>
      <c r="Q18" s="63"/>
      <c r="R18" s="63"/>
      <c r="S18" s="63"/>
      <c r="T18" s="63"/>
      <c r="U18" s="63"/>
      <c r="V18" s="63"/>
      <c r="W18" s="63"/>
      <c r="X18" s="63"/>
      <c r="Y18" s="63"/>
      <c r="Z18" s="63"/>
    </row>
    <row r="19" ht="12.0" customHeight="1">
      <c r="A19" s="95"/>
      <c r="B19" s="65"/>
      <c r="C19" s="97">
        <f t="shared" si="2"/>
        <v>18</v>
      </c>
      <c r="D19" s="72" t="s">
        <v>412</v>
      </c>
      <c r="E19" s="72" t="s">
        <v>413</v>
      </c>
      <c r="F19" s="71" t="s">
        <v>53</v>
      </c>
      <c r="G19" s="71">
        <v>1.0</v>
      </c>
      <c r="H19" s="73"/>
      <c r="I19" s="74">
        <f t="shared" si="1"/>
        <v>0</v>
      </c>
      <c r="J19" s="75"/>
      <c r="K19" s="63"/>
      <c r="L19" s="63"/>
      <c r="M19" s="63"/>
      <c r="N19" s="63"/>
      <c r="O19" s="63"/>
      <c r="P19" s="63"/>
      <c r="Q19" s="63"/>
      <c r="R19" s="63"/>
      <c r="S19" s="63"/>
      <c r="T19" s="63"/>
      <c r="U19" s="63"/>
      <c r="V19" s="63"/>
      <c r="W19" s="63"/>
      <c r="X19" s="63"/>
      <c r="Y19" s="63"/>
      <c r="Z19" s="63"/>
    </row>
    <row r="20" ht="12.0" customHeight="1">
      <c r="A20" s="95"/>
      <c r="B20" s="65"/>
      <c r="C20" s="97">
        <f t="shared" si="2"/>
        <v>19</v>
      </c>
      <c r="D20" s="72" t="s">
        <v>414</v>
      </c>
      <c r="E20" s="72" t="s">
        <v>415</v>
      </c>
      <c r="F20" s="71" t="s">
        <v>53</v>
      </c>
      <c r="G20" s="71">
        <v>1.0</v>
      </c>
      <c r="H20" s="73"/>
      <c r="I20" s="74">
        <f t="shared" si="1"/>
        <v>0</v>
      </c>
      <c r="J20" s="75"/>
      <c r="K20" s="63"/>
      <c r="L20" s="63"/>
      <c r="M20" s="63"/>
      <c r="N20" s="63"/>
      <c r="O20" s="63"/>
      <c r="P20" s="63"/>
      <c r="Q20" s="63"/>
      <c r="R20" s="63"/>
      <c r="S20" s="63"/>
      <c r="T20" s="63"/>
      <c r="U20" s="63"/>
      <c r="V20" s="63"/>
      <c r="W20" s="63"/>
      <c r="X20" s="63"/>
      <c r="Y20" s="63"/>
      <c r="Z20" s="63"/>
    </row>
    <row r="21" ht="12.0" customHeight="1">
      <c r="A21" s="95"/>
      <c r="B21" s="65"/>
      <c r="C21" s="97">
        <f t="shared" si="2"/>
        <v>20</v>
      </c>
      <c r="D21" s="72" t="s">
        <v>416</v>
      </c>
      <c r="E21" s="72" t="s">
        <v>415</v>
      </c>
      <c r="F21" s="71" t="s">
        <v>53</v>
      </c>
      <c r="G21" s="71">
        <v>1.0</v>
      </c>
      <c r="H21" s="73"/>
      <c r="I21" s="74">
        <f t="shared" si="1"/>
        <v>0</v>
      </c>
      <c r="J21" s="75"/>
      <c r="K21" s="63"/>
      <c r="L21" s="63"/>
      <c r="M21" s="63"/>
      <c r="N21" s="63"/>
      <c r="O21" s="63"/>
      <c r="P21" s="63"/>
      <c r="Q21" s="63"/>
      <c r="R21" s="63"/>
      <c r="S21" s="63"/>
      <c r="T21" s="63"/>
      <c r="U21" s="63"/>
      <c r="V21" s="63"/>
      <c r="W21" s="63"/>
      <c r="X21" s="63"/>
      <c r="Y21" s="63"/>
      <c r="Z21" s="63"/>
    </row>
    <row r="22" ht="12.0" customHeight="1">
      <c r="A22" s="95"/>
      <c r="B22" s="65"/>
      <c r="C22" s="97">
        <f t="shared" si="2"/>
        <v>21</v>
      </c>
      <c r="D22" s="72" t="s">
        <v>417</v>
      </c>
      <c r="E22" s="72" t="s">
        <v>415</v>
      </c>
      <c r="F22" s="71" t="s">
        <v>46</v>
      </c>
      <c r="G22" s="71">
        <v>1.0</v>
      </c>
      <c r="H22" s="73"/>
      <c r="I22" s="74">
        <f t="shared" si="1"/>
        <v>0</v>
      </c>
      <c r="J22" s="75"/>
      <c r="K22" s="63"/>
      <c r="L22" s="63"/>
      <c r="M22" s="63"/>
      <c r="N22" s="63"/>
      <c r="O22" s="63"/>
      <c r="P22" s="63"/>
      <c r="Q22" s="63"/>
      <c r="R22" s="63"/>
      <c r="S22" s="63"/>
      <c r="T22" s="63"/>
      <c r="U22" s="63"/>
      <c r="V22" s="63"/>
      <c r="W22" s="63"/>
      <c r="X22" s="63"/>
      <c r="Y22" s="63"/>
      <c r="Z22" s="63"/>
    </row>
    <row r="23" ht="12.0" customHeight="1">
      <c r="A23" s="95"/>
      <c r="B23" s="65"/>
      <c r="C23" s="97">
        <f t="shared" si="2"/>
        <v>22</v>
      </c>
      <c r="D23" s="72" t="s">
        <v>418</v>
      </c>
      <c r="E23" s="72" t="s">
        <v>419</v>
      </c>
      <c r="F23" s="71" t="s">
        <v>46</v>
      </c>
      <c r="G23" s="71">
        <v>1.0</v>
      </c>
      <c r="H23" s="73"/>
      <c r="I23" s="74">
        <f t="shared" si="1"/>
        <v>0</v>
      </c>
      <c r="J23" s="75"/>
      <c r="K23" s="63"/>
      <c r="L23" s="63"/>
      <c r="M23" s="63"/>
      <c r="N23" s="63"/>
      <c r="O23" s="63"/>
      <c r="P23" s="63"/>
      <c r="Q23" s="63"/>
      <c r="R23" s="63"/>
      <c r="S23" s="63"/>
      <c r="T23" s="63"/>
      <c r="U23" s="63"/>
      <c r="V23" s="63"/>
      <c r="W23" s="63"/>
      <c r="X23" s="63"/>
      <c r="Y23" s="63"/>
      <c r="Z23" s="63"/>
    </row>
    <row r="24" ht="12.0" customHeight="1">
      <c r="A24" s="95"/>
      <c r="B24" s="65"/>
      <c r="C24" s="97">
        <f t="shared" si="2"/>
        <v>23</v>
      </c>
      <c r="D24" s="72" t="s">
        <v>420</v>
      </c>
      <c r="E24" s="72" t="s">
        <v>421</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95"/>
      <c r="B25" s="77"/>
      <c r="C25" s="97">
        <f t="shared" si="2"/>
        <v>24</v>
      </c>
      <c r="D25" s="72" t="s">
        <v>422</v>
      </c>
      <c r="E25" s="72" t="s">
        <v>423</v>
      </c>
      <c r="F25" s="71" t="s">
        <v>46</v>
      </c>
      <c r="G25" s="71">
        <v>1.0</v>
      </c>
      <c r="H25" s="73"/>
      <c r="I25" s="74">
        <f t="shared" si="1"/>
        <v>0</v>
      </c>
      <c r="J25" s="75"/>
      <c r="K25" s="63"/>
      <c r="L25" s="63"/>
      <c r="M25" s="63"/>
      <c r="N25" s="63"/>
      <c r="O25" s="63"/>
      <c r="P25" s="63"/>
      <c r="Q25" s="63"/>
      <c r="R25" s="63"/>
      <c r="S25" s="63"/>
      <c r="T25" s="63"/>
      <c r="U25" s="63"/>
      <c r="V25" s="63"/>
      <c r="W25" s="63"/>
      <c r="X25" s="63"/>
      <c r="Y25" s="63"/>
      <c r="Z25" s="63"/>
    </row>
    <row r="26" ht="12.0" customHeight="1">
      <c r="A26" s="95"/>
      <c r="B26" s="65" t="s">
        <v>424</v>
      </c>
      <c r="C26" s="97">
        <f t="shared" si="2"/>
        <v>25</v>
      </c>
      <c r="D26" s="72" t="s">
        <v>425</v>
      </c>
      <c r="E26" s="72" t="s">
        <v>426</v>
      </c>
      <c r="F26" s="71" t="s">
        <v>46</v>
      </c>
      <c r="G26" s="71">
        <v>1.0</v>
      </c>
      <c r="H26" s="73"/>
      <c r="I26" s="74">
        <f t="shared" si="1"/>
        <v>0</v>
      </c>
      <c r="J26" s="75"/>
      <c r="K26" s="63"/>
      <c r="L26" s="63"/>
      <c r="M26" s="63"/>
      <c r="N26" s="63"/>
      <c r="O26" s="63"/>
      <c r="P26" s="63"/>
      <c r="Q26" s="63"/>
      <c r="R26" s="63"/>
      <c r="S26" s="63"/>
      <c r="T26" s="63"/>
      <c r="U26" s="63"/>
      <c r="V26" s="63"/>
      <c r="W26" s="63"/>
      <c r="X26" s="63"/>
      <c r="Y26" s="63"/>
      <c r="Z26" s="63"/>
    </row>
    <row r="27" ht="12.0" customHeight="1">
      <c r="A27" s="95"/>
      <c r="B27" s="65"/>
      <c r="C27" s="97">
        <f t="shared" si="2"/>
        <v>26</v>
      </c>
      <c r="D27" s="72" t="s">
        <v>427</v>
      </c>
      <c r="E27" s="72" t="s">
        <v>186</v>
      </c>
      <c r="F27" s="71" t="s">
        <v>69</v>
      </c>
      <c r="G27" s="71">
        <v>1.0</v>
      </c>
      <c r="H27" s="73"/>
      <c r="I27" s="74">
        <f t="shared" si="1"/>
        <v>0</v>
      </c>
      <c r="J27" s="75"/>
      <c r="K27" s="63"/>
      <c r="L27" s="63"/>
      <c r="M27" s="63"/>
      <c r="N27" s="63"/>
      <c r="O27" s="63"/>
      <c r="P27" s="63"/>
      <c r="Q27" s="63"/>
      <c r="R27" s="63"/>
      <c r="S27" s="63"/>
      <c r="T27" s="63"/>
      <c r="U27" s="63"/>
      <c r="V27" s="63"/>
      <c r="W27" s="63"/>
      <c r="X27" s="63"/>
      <c r="Y27" s="63"/>
      <c r="Z27" s="63"/>
    </row>
    <row r="28" ht="12.0" customHeight="1">
      <c r="A28" s="95"/>
      <c r="B28" s="65"/>
      <c r="C28" s="97">
        <f t="shared" si="2"/>
        <v>27</v>
      </c>
      <c r="D28" s="72" t="s">
        <v>428</v>
      </c>
      <c r="E28" s="72" t="s">
        <v>429</v>
      </c>
      <c r="F28" s="71" t="s">
        <v>69</v>
      </c>
      <c r="G28" s="71">
        <v>1.0</v>
      </c>
      <c r="H28" s="73"/>
      <c r="I28" s="74">
        <f t="shared" si="1"/>
        <v>0</v>
      </c>
      <c r="J28" s="75"/>
      <c r="K28" s="63"/>
      <c r="L28" s="63"/>
      <c r="M28" s="63"/>
      <c r="N28" s="63"/>
      <c r="O28" s="63"/>
      <c r="P28" s="63"/>
      <c r="Q28" s="63"/>
      <c r="R28" s="63"/>
      <c r="S28" s="63"/>
      <c r="T28" s="63"/>
      <c r="U28" s="63"/>
      <c r="V28" s="63"/>
      <c r="W28" s="63"/>
      <c r="X28" s="63"/>
      <c r="Y28" s="63"/>
      <c r="Z28" s="63"/>
    </row>
    <row r="29" ht="12.0" customHeight="1">
      <c r="A29" s="95"/>
      <c r="B29" s="65"/>
      <c r="C29" s="97">
        <f t="shared" si="2"/>
        <v>28</v>
      </c>
      <c r="D29" s="72" t="s">
        <v>430</v>
      </c>
      <c r="E29" s="72" t="s">
        <v>429</v>
      </c>
      <c r="F29" s="71" t="s">
        <v>69</v>
      </c>
      <c r="G29" s="71">
        <v>1.0</v>
      </c>
      <c r="H29" s="73"/>
      <c r="I29" s="74">
        <f t="shared" si="1"/>
        <v>0</v>
      </c>
      <c r="J29" s="75"/>
      <c r="K29" s="63"/>
      <c r="L29" s="63"/>
      <c r="M29" s="63"/>
      <c r="N29" s="63"/>
      <c r="O29" s="63"/>
      <c r="P29" s="63"/>
      <c r="Q29" s="63"/>
      <c r="R29" s="63"/>
      <c r="S29" s="63"/>
      <c r="T29" s="63"/>
      <c r="U29" s="63"/>
      <c r="V29" s="63"/>
      <c r="W29" s="63"/>
      <c r="X29" s="63"/>
      <c r="Y29" s="63"/>
      <c r="Z29" s="63"/>
    </row>
    <row r="30" ht="12.0" customHeight="1">
      <c r="A30" s="95"/>
      <c r="B30" s="65"/>
      <c r="C30" s="97">
        <f t="shared" si="2"/>
        <v>29</v>
      </c>
      <c r="D30" s="72" t="s">
        <v>431</v>
      </c>
      <c r="E30" s="72" t="s">
        <v>426</v>
      </c>
      <c r="F30" s="71" t="s">
        <v>46</v>
      </c>
      <c r="G30" s="71">
        <v>1.0</v>
      </c>
      <c r="H30" s="73"/>
      <c r="I30" s="74">
        <f t="shared" si="1"/>
        <v>0</v>
      </c>
      <c r="J30" s="75"/>
      <c r="K30" s="63"/>
      <c r="L30" s="63"/>
      <c r="M30" s="63"/>
      <c r="N30" s="63"/>
      <c r="O30" s="63"/>
      <c r="P30" s="63"/>
      <c r="Q30" s="63"/>
      <c r="R30" s="63"/>
      <c r="S30" s="63"/>
      <c r="T30" s="63"/>
      <c r="U30" s="63"/>
      <c r="V30" s="63"/>
      <c r="W30" s="63"/>
      <c r="X30" s="63"/>
      <c r="Y30" s="63"/>
      <c r="Z30" s="63"/>
    </row>
    <row r="31" ht="12.0" customHeight="1">
      <c r="A31" s="98"/>
      <c r="B31" s="88"/>
      <c r="C31" s="99">
        <f t="shared" si="2"/>
        <v>30</v>
      </c>
      <c r="D31" s="79" t="s">
        <v>432</v>
      </c>
      <c r="E31" s="79" t="s">
        <v>426</v>
      </c>
      <c r="F31" s="80" t="s">
        <v>53</v>
      </c>
      <c r="G31" s="80">
        <v>1.0</v>
      </c>
      <c r="H31" s="81"/>
      <c r="I31" s="82">
        <f t="shared" si="1"/>
        <v>0</v>
      </c>
      <c r="J31" s="83"/>
      <c r="K31" s="63"/>
      <c r="L31" s="63"/>
      <c r="M31" s="63"/>
      <c r="N31" s="63"/>
      <c r="O31" s="63"/>
      <c r="P31" s="63"/>
      <c r="Q31" s="63"/>
      <c r="R31" s="63"/>
      <c r="S31" s="63"/>
      <c r="T31" s="63"/>
      <c r="U31" s="63"/>
      <c r="V31" s="63"/>
      <c r="W31" s="63"/>
      <c r="X31" s="63"/>
      <c r="Y31" s="63"/>
      <c r="Z31" s="63"/>
    </row>
    <row r="32" ht="12.0" customHeight="1">
      <c r="A32" s="95" t="s">
        <v>20</v>
      </c>
      <c r="B32" s="65" t="s">
        <v>381</v>
      </c>
      <c r="C32" s="100">
        <v>1.0</v>
      </c>
      <c r="D32" s="77" t="s">
        <v>433</v>
      </c>
      <c r="E32" s="77" t="s">
        <v>383</v>
      </c>
      <c r="F32" s="84" t="s">
        <v>53</v>
      </c>
      <c r="G32" s="84">
        <v>1.0</v>
      </c>
      <c r="H32" s="85"/>
      <c r="I32" s="86">
        <f t="shared" si="1"/>
        <v>0</v>
      </c>
      <c r="J32" s="87"/>
      <c r="K32" s="63"/>
      <c r="L32" s="63"/>
      <c r="M32" s="63"/>
      <c r="N32" s="63"/>
      <c r="O32" s="63"/>
      <c r="P32" s="63"/>
      <c r="Q32" s="63"/>
      <c r="R32" s="63"/>
      <c r="S32" s="63"/>
      <c r="T32" s="63"/>
      <c r="U32" s="63"/>
      <c r="V32" s="63"/>
      <c r="W32" s="63"/>
      <c r="X32" s="63"/>
      <c r="Y32" s="63"/>
      <c r="Z32" s="63"/>
    </row>
    <row r="33" ht="12.0" customHeight="1">
      <c r="A33" s="95"/>
      <c r="B33" s="65"/>
      <c r="C33" s="97">
        <f t="shared" ref="C33:C60" si="3">C32+1</f>
        <v>2</v>
      </c>
      <c r="D33" s="72" t="s">
        <v>434</v>
      </c>
      <c r="E33" s="72" t="s">
        <v>435</v>
      </c>
      <c r="F33" s="71" t="s">
        <v>53</v>
      </c>
      <c r="G33" s="71">
        <v>1.0</v>
      </c>
      <c r="H33" s="73"/>
      <c r="I33" s="74">
        <f t="shared" si="1"/>
        <v>0</v>
      </c>
      <c r="J33" s="75"/>
      <c r="K33" s="63"/>
      <c r="L33" s="63"/>
      <c r="M33" s="63"/>
      <c r="N33" s="63"/>
      <c r="O33" s="63"/>
      <c r="P33" s="63"/>
      <c r="Q33" s="63"/>
      <c r="R33" s="63"/>
      <c r="S33" s="63"/>
      <c r="T33" s="63"/>
      <c r="U33" s="63"/>
      <c r="V33" s="63"/>
      <c r="W33" s="63"/>
      <c r="X33" s="63"/>
      <c r="Y33" s="63"/>
      <c r="Z33" s="63"/>
    </row>
    <row r="34" ht="12.0" customHeight="1">
      <c r="A34" s="95"/>
      <c r="B34" s="65"/>
      <c r="C34" s="97">
        <f t="shared" si="3"/>
        <v>3</v>
      </c>
      <c r="D34" s="72" t="s">
        <v>436</v>
      </c>
      <c r="E34" s="72" t="s">
        <v>197</v>
      </c>
      <c r="F34" s="71" t="s">
        <v>53</v>
      </c>
      <c r="G34" s="71">
        <v>1.0</v>
      </c>
      <c r="H34" s="73"/>
      <c r="I34" s="74">
        <f t="shared" si="1"/>
        <v>0</v>
      </c>
      <c r="J34" s="75"/>
      <c r="K34" s="63"/>
      <c r="L34" s="63"/>
      <c r="M34" s="63"/>
      <c r="N34" s="63"/>
      <c r="O34" s="63"/>
      <c r="P34" s="63"/>
      <c r="Q34" s="63"/>
      <c r="R34" s="63"/>
      <c r="S34" s="63"/>
      <c r="T34" s="63"/>
      <c r="U34" s="63"/>
      <c r="V34" s="63"/>
      <c r="W34" s="63"/>
      <c r="X34" s="63"/>
      <c r="Y34" s="63"/>
      <c r="Z34" s="63"/>
    </row>
    <row r="35" ht="12.0" customHeight="1">
      <c r="A35" s="95"/>
      <c r="B35" s="65"/>
      <c r="C35" s="97">
        <f t="shared" si="3"/>
        <v>4</v>
      </c>
      <c r="D35" s="72" t="s">
        <v>437</v>
      </c>
      <c r="E35" s="72" t="s">
        <v>438</v>
      </c>
      <c r="F35" s="71" t="s">
        <v>53</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95"/>
      <c r="B36" s="65"/>
      <c r="C36" s="97">
        <f t="shared" si="3"/>
        <v>5</v>
      </c>
      <c r="D36" s="72" t="s">
        <v>439</v>
      </c>
      <c r="E36" s="72" t="s">
        <v>440</v>
      </c>
      <c r="F36" s="71" t="s">
        <v>53</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95"/>
      <c r="B37" s="65"/>
      <c r="C37" s="97">
        <f t="shared" si="3"/>
        <v>6</v>
      </c>
      <c r="D37" s="72" t="s">
        <v>441</v>
      </c>
      <c r="E37" s="72" t="s">
        <v>442</v>
      </c>
      <c r="F37" s="71" t="s">
        <v>69</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95"/>
      <c r="B38" s="65"/>
      <c r="C38" s="97">
        <f t="shared" si="3"/>
        <v>7</v>
      </c>
      <c r="D38" s="72" t="s">
        <v>443</v>
      </c>
      <c r="E38" s="72" t="s">
        <v>444</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95"/>
      <c r="B39" s="65"/>
      <c r="C39" s="97">
        <f t="shared" si="3"/>
        <v>8</v>
      </c>
      <c r="D39" s="72" t="s">
        <v>445</v>
      </c>
      <c r="E39" s="72" t="s">
        <v>446</v>
      </c>
      <c r="F39" s="71" t="s">
        <v>69</v>
      </c>
      <c r="G39" s="71">
        <v>1.0</v>
      </c>
      <c r="H39" s="73"/>
      <c r="I39" s="74">
        <f t="shared" si="1"/>
        <v>0</v>
      </c>
      <c r="J39" s="75"/>
      <c r="K39" s="63"/>
      <c r="L39" s="63"/>
      <c r="M39" s="63"/>
      <c r="N39" s="63"/>
      <c r="O39" s="63"/>
      <c r="P39" s="63"/>
      <c r="Q39" s="63"/>
      <c r="R39" s="63"/>
      <c r="S39" s="63"/>
      <c r="T39" s="63"/>
      <c r="U39" s="63"/>
      <c r="V39" s="63"/>
      <c r="W39" s="63"/>
      <c r="X39" s="63"/>
      <c r="Y39" s="63"/>
      <c r="Z39" s="63"/>
    </row>
    <row r="40" ht="12.0" customHeight="1">
      <c r="A40" s="95"/>
      <c r="B40" s="65"/>
      <c r="C40" s="97">
        <f t="shared" si="3"/>
        <v>9</v>
      </c>
      <c r="D40" s="72" t="s">
        <v>447</v>
      </c>
      <c r="E40" s="72" t="s">
        <v>448</v>
      </c>
      <c r="F40" s="71" t="s">
        <v>53</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95"/>
      <c r="B41" s="65"/>
      <c r="C41" s="97">
        <f t="shared" si="3"/>
        <v>10</v>
      </c>
      <c r="D41" s="72" t="s">
        <v>449</v>
      </c>
      <c r="E41" s="72" t="s">
        <v>450</v>
      </c>
      <c r="F41" s="71" t="s">
        <v>53</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95"/>
      <c r="B42" s="65"/>
      <c r="C42" s="97">
        <f t="shared" si="3"/>
        <v>11</v>
      </c>
      <c r="D42" s="72" t="s">
        <v>451</v>
      </c>
      <c r="E42" s="72" t="s">
        <v>452</v>
      </c>
      <c r="F42" s="71" t="s">
        <v>46</v>
      </c>
      <c r="G42" s="71">
        <v>1.0</v>
      </c>
      <c r="H42" s="73"/>
      <c r="I42" s="74">
        <f t="shared" si="1"/>
        <v>0</v>
      </c>
      <c r="J42" s="75"/>
      <c r="K42" s="63"/>
      <c r="L42" s="63"/>
      <c r="M42" s="63"/>
      <c r="N42" s="63"/>
      <c r="O42" s="63"/>
      <c r="P42" s="63"/>
      <c r="Q42" s="63"/>
      <c r="R42" s="63"/>
      <c r="S42" s="63"/>
      <c r="T42" s="63"/>
      <c r="U42" s="63"/>
      <c r="V42" s="63"/>
      <c r="W42" s="63"/>
      <c r="X42" s="63"/>
      <c r="Y42" s="63"/>
      <c r="Z42" s="63"/>
    </row>
    <row r="43" ht="12.0" customHeight="1">
      <c r="A43" s="95"/>
      <c r="B43" s="76" t="s">
        <v>402</v>
      </c>
      <c r="C43" s="97">
        <f t="shared" si="3"/>
        <v>12</v>
      </c>
      <c r="D43" s="72" t="s">
        <v>453</v>
      </c>
      <c r="E43" s="72" t="s">
        <v>454</v>
      </c>
      <c r="F43" s="71" t="s">
        <v>53</v>
      </c>
      <c r="G43" s="71">
        <v>1.0</v>
      </c>
      <c r="H43" s="73"/>
      <c r="I43" s="74">
        <f t="shared" si="1"/>
        <v>0</v>
      </c>
      <c r="J43" s="75"/>
      <c r="K43" s="63"/>
      <c r="L43" s="63"/>
      <c r="M43" s="63"/>
      <c r="N43" s="63"/>
      <c r="O43" s="63"/>
      <c r="P43" s="63"/>
      <c r="Q43" s="63"/>
      <c r="R43" s="63"/>
      <c r="S43" s="63"/>
      <c r="T43" s="63"/>
      <c r="U43" s="63"/>
      <c r="V43" s="63"/>
      <c r="W43" s="63"/>
      <c r="X43" s="63"/>
      <c r="Y43" s="63"/>
      <c r="Z43" s="63"/>
    </row>
    <row r="44" ht="12.0" customHeight="1">
      <c r="A44" s="95"/>
      <c r="B44" s="65"/>
      <c r="C44" s="97">
        <f t="shared" si="3"/>
        <v>13</v>
      </c>
      <c r="D44" s="72" t="s">
        <v>455</v>
      </c>
      <c r="E44" s="72" t="s">
        <v>456</v>
      </c>
      <c r="F44" s="71" t="s">
        <v>69</v>
      </c>
      <c r="G44" s="71">
        <v>1.0</v>
      </c>
      <c r="H44" s="73"/>
      <c r="I44" s="74">
        <f t="shared" si="1"/>
        <v>0</v>
      </c>
      <c r="J44" s="75"/>
      <c r="K44" s="63"/>
      <c r="L44" s="63"/>
      <c r="M44" s="63"/>
      <c r="N44" s="63"/>
      <c r="O44" s="63"/>
      <c r="P44" s="63"/>
      <c r="Q44" s="63"/>
      <c r="R44" s="63"/>
      <c r="S44" s="63"/>
      <c r="T44" s="63"/>
      <c r="U44" s="63"/>
      <c r="V44" s="63"/>
      <c r="W44" s="63"/>
      <c r="X44" s="63"/>
      <c r="Y44" s="63"/>
      <c r="Z44" s="63"/>
    </row>
    <row r="45" ht="12.0" customHeight="1">
      <c r="A45" s="95"/>
      <c r="B45" s="65"/>
      <c r="C45" s="97">
        <f t="shared" si="3"/>
        <v>14</v>
      </c>
      <c r="D45" s="72" t="s">
        <v>457</v>
      </c>
      <c r="E45" s="72" t="s">
        <v>458</v>
      </c>
      <c r="F45" s="71" t="s">
        <v>69</v>
      </c>
      <c r="G45" s="71">
        <v>1.0</v>
      </c>
      <c r="H45" s="73"/>
      <c r="I45" s="74">
        <f t="shared" si="1"/>
        <v>0</v>
      </c>
      <c r="J45" s="75"/>
      <c r="K45" s="63"/>
      <c r="L45" s="63"/>
      <c r="M45" s="63"/>
      <c r="N45" s="63"/>
      <c r="O45" s="63"/>
      <c r="P45" s="63"/>
      <c r="Q45" s="63"/>
      <c r="R45" s="63"/>
      <c r="S45" s="63"/>
      <c r="T45" s="63"/>
      <c r="U45" s="63"/>
      <c r="V45" s="63"/>
      <c r="W45" s="63"/>
      <c r="X45" s="63"/>
      <c r="Y45" s="63"/>
      <c r="Z45" s="63"/>
    </row>
    <row r="46" ht="12.0" customHeight="1">
      <c r="A46" s="95"/>
      <c r="B46" s="65"/>
      <c r="C46" s="97">
        <f t="shared" si="3"/>
        <v>15</v>
      </c>
      <c r="D46" s="72" t="s">
        <v>459</v>
      </c>
      <c r="E46" s="72" t="s">
        <v>460</v>
      </c>
      <c r="F46" s="71" t="s">
        <v>69</v>
      </c>
      <c r="G46" s="71">
        <v>1.0</v>
      </c>
      <c r="H46" s="73"/>
      <c r="I46" s="74">
        <f t="shared" si="1"/>
        <v>0</v>
      </c>
      <c r="J46" s="75"/>
      <c r="K46" s="63"/>
      <c r="L46" s="63"/>
      <c r="M46" s="63"/>
      <c r="N46" s="63"/>
      <c r="O46" s="63"/>
      <c r="P46" s="63"/>
      <c r="Q46" s="63"/>
      <c r="R46" s="63"/>
      <c r="S46" s="63"/>
      <c r="T46" s="63"/>
      <c r="U46" s="63"/>
      <c r="V46" s="63"/>
      <c r="W46" s="63"/>
      <c r="X46" s="63"/>
      <c r="Y46" s="63"/>
      <c r="Z46" s="63"/>
    </row>
    <row r="47" ht="12.0" customHeight="1">
      <c r="A47" s="95"/>
      <c r="B47" s="65"/>
      <c r="C47" s="97">
        <f t="shared" si="3"/>
        <v>16</v>
      </c>
      <c r="D47" s="72" t="s">
        <v>461</v>
      </c>
      <c r="E47" s="72" t="s">
        <v>462</v>
      </c>
      <c r="F47" s="71" t="s">
        <v>46</v>
      </c>
      <c r="G47" s="71">
        <v>1.0</v>
      </c>
      <c r="H47" s="73"/>
      <c r="I47" s="74">
        <f t="shared" si="1"/>
        <v>0</v>
      </c>
      <c r="J47" s="75"/>
      <c r="K47" s="63"/>
      <c r="L47" s="63"/>
      <c r="M47" s="63"/>
      <c r="N47" s="63"/>
      <c r="O47" s="63"/>
      <c r="P47" s="63"/>
      <c r="Q47" s="63"/>
      <c r="R47" s="63"/>
      <c r="S47" s="63"/>
      <c r="T47" s="63"/>
      <c r="U47" s="63"/>
      <c r="V47" s="63"/>
      <c r="W47" s="63"/>
      <c r="X47" s="63"/>
      <c r="Y47" s="63"/>
      <c r="Z47" s="63"/>
    </row>
    <row r="48" ht="12.0" customHeight="1">
      <c r="A48" s="95"/>
      <c r="B48" s="65"/>
      <c r="C48" s="97">
        <f t="shared" si="3"/>
        <v>17</v>
      </c>
      <c r="D48" s="72" t="s">
        <v>463</v>
      </c>
      <c r="E48" s="72" t="s">
        <v>464</v>
      </c>
      <c r="F48" s="71" t="s">
        <v>46</v>
      </c>
      <c r="G48" s="71">
        <v>1.0</v>
      </c>
      <c r="H48" s="73"/>
      <c r="I48" s="74">
        <f t="shared" si="1"/>
        <v>0</v>
      </c>
      <c r="J48" s="75"/>
      <c r="K48" s="63"/>
      <c r="L48" s="63"/>
      <c r="M48" s="63"/>
      <c r="N48" s="63"/>
      <c r="O48" s="63"/>
      <c r="P48" s="63"/>
      <c r="Q48" s="63"/>
      <c r="R48" s="63"/>
      <c r="S48" s="63"/>
      <c r="T48" s="63"/>
      <c r="U48" s="63"/>
      <c r="V48" s="63"/>
      <c r="W48" s="63"/>
      <c r="X48" s="63"/>
      <c r="Y48" s="63"/>
      <c r="Z48" s="63"/>
    </row>
    <row r="49" ht="12.0" customHeight="1">
      <c r="A49" s="95"/>
      <c r="B49" s="65"/>
      <c r="C49" s="97">
        <f t="shared" si="3"/>
        <v>18</v>
      </c>
      <c r="D49" s="72" t="s">
        <v>465</v>
      </c>
      <c r="E49" s="72" t="s">
        <v>456</v>
      </c>
      <c r="F49" s="71" t="s">
        <v>46</v>
      </c>
      <c r="G49" s="71">
        <v>1.0</v>
      </c>
      <c r="H49" s="73"/>
      <c r="I49" s="74">
        <f t="shared" si="1"/>
        <v>0</v>
      </c>
      <c r="J49" s="75"/>
      <c r="K49" s="63"/>
      <c r="L49" s="63"/>
      <c r="M49" s="63"/>
      <c r="N49" s="63"/>
      <c r="O49" s="63"/>
      <c r="P49" s="63"/>
      <c r="Q49" s="63"/>
      <c r="R49" s="63"/>
      <c r="S49" s="63"/>
      <c r="T49" s="63"/>
      <c r="U49" s="63"/>
      <c r="V49" s="63"/>
      <c r="W49" s="63"/>
      <c r="X49" s="63"/>
      <c r="Y49" s="63"/>
      <c r="Z49" s="63"/>
    </row>
    <row r="50" ht="12.0" customHeight="1">
      <c r="A50" s="95"/>
      <c r="B50" s="65"/>
      <c r="C50" s="97">
        <f t="shared" si="3"/>
        <v>19</v>
      </c>
      <c r="D50" s="72" t="s">
        <v>466</v>
      </c>
      <c r="E50" s="72" t="s">
        <v>467</v>
      </c>
      <c r="F50" s="71" t="s">
        <v>46</v>
      </c>
      <c r="G50" s="71">
        <v>1.0</v>
      </c>
      <c r="H50" s="73"/>
      <c r="I50" s="74">
        <f t="shared" si="1"/>
        <v>0</v>
      </c>
      <c r="J50" s="75"/>
      <c r="K50" s="63"/>
      <c r="L50" s="63"/>
      <c r="M50" s="63"/>
      <c r="N50" s="63"/>
      <c r="O50" s="63"/>
      <c r="P50" s="63"/>
      <c r="Q50" s="63"/>
      <c r="R50" s="63"/>
      <c r="S50" s="63"/>
      <c r="T50" s="63"/>
      <c r="U50" s="63"/>
      <c r="V50" s="63"/>
      <c r="W50" s="63"/>
      <c r="X50" s="63"/>
      <c r="Y50" s="63"/>
      <c r="Z50" s="63"/>
    </row>
    <row r="51" ht="12.0" customHeight="1">
      <c r="A51" s="95"/>
      <c r="B51" s="65"/>
      <c r="C51" s="97">
        <f t="shared" si="3"/>
        <v>20</v>
      </c>
      <c r="D51" s="72" t="s">
        <v>468</v>
      </c>
      <c r="E51" s="72" t="s">
        <v>469</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95"/>
      <c r="B52" s="65"/>
      <c r="C52" s="97">
        <f t="shared" si="3"/>
        <v>21</v>
      </c>
      <c r="D52" s="72" t="s">
        <v>470</v>
      </c>
      <c r="E52" s="72" t="s">
        <v>471</v>
      </c>
      <c r="F52" s="71" t="s">
        <v>53</v>
      </c>
      <c r="G52" s="71">
        <v>1.0</v>
      </c>
      <c r="H52" s="73"/>
      <c r="I52" s="74">
        <f t="shared" si="1"/>
        <v>0</v>
      </c>
      <c r="J52" s="75"/>
      <c r="K52" s="63"/>
      <c r="L52" s="63"/>
      <c r="M52" s="63"/>
      <c r="N52" s="63"/>
      <c r="O52" s="63"/>
      <c r="P52" s="63"/>
      <c r="Q52" s="63"/>
      <c r="R52" s="63"/>
      <c r="S52" s="63"/>
      <c r="T52" s="63"/>
      <c r="U52" s="63"/>
      <c r="V52" s="63"/>
      <c r="W52" s="63"/>
      <c r="X52" s="63"/>
      <c r="Y52" s="63"/>
      <c r="Z52" s="63"/>
    </row>
    <row r="53" ht="12.0" customHeight="1">
      <c r="A53" s="95"/>
      <c r="B53" s="65"/>
      <c r="C53" s="97">
        <f t="shared" si="3"/>
        <v>22</v>
      </c>
      <c r="D53" s="72" t="s">
        <v>472</v>
      </c>
      <c r="E53" s="72" t="s">
        <v>473</v>
      </c>
      <c r="F53" s="71" t="s">
        <v>53</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95"/>
      <c r="B54" s="65"/>
      <c r="C54" s="97">
        <f t="shared" si="3"/>
        <v>23</v>
      </c>
      <c r="D54" s="72" t="s">
        <v>474</v>
      </c>
      <c r="E54" s="72" t="s">
        <v>475</v>
      </c>
      <c r="F54" s="71" t="s">
        <v>69</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95"/>
      <c r="B55" s="77"/>
      <c r="C55" s="97">
        <f t="shared" si="3"/>
        <v>24</v>
      </c>
      <c r="D55" s="72" t="s">
        <v>476</v>
      </c>
      <c r="E55" s="72" t="s">
        <v>477</v>
      </c>
      <c r="F55" s="71" t="s">
        <v>53</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95"/>
      <c r="B56" s="65" t="s">
        <v>424</v>
      </c>
      <c r="C56" s="97">
        <f t="shared" si="3"/>
        <v>25</v>
      </c>
      <c r="D56" s="72" t="s">
        <v>478</v>
      </c>
      <c r="E56" s="72" t="s">
        <v>479</v>
      </c>
      <c r="F56" s="71" t="s">
        <v>53</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95"/>
      <c r="B57" s="65"/>
      <c r="C57" s="97">
        <f t="shared" si="3"/>
        <v>26</v>
      </c>
      <c r="D57" s="72" t="s">
        <v>480</v>
      </c>
      <c r="E57" s="72" t="s">
        <v>481</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95"/>
      <c r="B58" s="65"/>
      <c r="C58" s="97">
        <f t="shared" si="3"/>
        <v>27</v>
      </c>
      <c r="D58" s="72" t="s">
        <v>482</v>
      </c>
      <c r="E58" s="72" t="s">
        <v>481</v>
      </c>
      <c r="F58" s="71" t="s">
        <v>46</v>
      </c>
      <c r="G58" s="71">
        <v>1.0</v>
      </c>
      <c r="H58" s="73"/>
      <c r="I58" s="74">
        <f t="shared" si="1"/>
        <v>0</v>
      </c>
      <c r="J58" s="75"/>
      <c r="K58" s="63"/>
      <c r="L58" s="63"/>
      <c r="M58" s="63"/>
      <c r="N58" s="63"/>
      <c r="O58" s="63"/>
      <c r="P58" s="63"/>
      <c r="Q58" s="63"/>
      <c r="R58" s="63"/>
      <c r="S58" s="63"/>
      <c r="T58" s="63"/>
      <c r="U58" s="63"/>
      <c r="V58" s="63"/>
      <c r="W58" s="63"/>
      <c r="X58" s="63"/>
      <c r="Y58" s="63"/>
      <c r="Z58" s="63"/>
    </row>
    <row r="59" ht="12.0" customHeight="1">
      <c r="A59" s="95"/>
      <c r="B59" s="65"/>
      <c r="C59" s="97">
        <f t="shared" si="3"/>
        <v>28</v>
      </c>
      <c r="D59" s="72" t="s">
        <v>483</v>
      </c>
      <c r="E59" s="72" t="s">
        <v>481</v>
      </c>
      <c r="F59" s="71" t="s">
        <v>46</v>
      </c>
      <c r="G59" s="71">
        <v>1.0</v>
      </c>
      <c r="H59" s="73"/>
      <c r="I59" s="74">
        <f t="shared" si="1"/>
        <v>0</v>
      </c>
      <c r="J59" s="75"/>
      <c r="K59" s="63"/>
      <c r="L59" s="63"/>
      <c r="M59" s="63"/>
      <c r="N59" s="63"/>
      <c r="O59" s="63"/>
      <c r="P59" s="63"/>
      <c r="Q59" s="63"/>
      <c r="R59" s="63"/>
      <c r="S59" s="63"/>
      <c r="T59" s="63"/>
      <c r="U59" s="63"/>
      <c r="V59" s="63"/>
      <c r="W59" s="63"/>
      <c r="X59" s="63"/>
      <c r="Y59" s="63"/>
      <c r="Z59" s="63"/>
    </row>
    <row r="60" ht="12.0" customHeight="1">
      <c r="A60" s="98"/>
      <c r="B60" s="88"/>
      <c r="C60" s="99">
        <f t="shared" si="3"/>
        <v>29</v>
      </c>
      <c r="D60" s="79" t="s">
        <v>484</v>
      </c>
      <c r="E60" s="79" t="s">
        <v>485</v>
      </c>
      <c r="F60" s="80" t="s">
        <v>53</v>
      </c>
      <c r="G60" s="80">
        <v>1.0</v>
      </c>
      <c r="H60" s="81"/>
      <c r="I60" s="82">
        <f t="shared" si="1"/>
        <v>0</v>
      </c>
      <c r="J60" s="83"/>
      <c r="K60" s="63"/>
      <c r="L60" s="63"/>
      <c r="M60" s="63"/>
      <c r="N60" s="63"/>
      <c r="O60" s="63"/>
      <c r="P60" s="63"/>
      <c r="Q60" s="63"/>
      <c r="R60" s="63"/>
      <c r="S60" s="63"/>
      <c r="T60" s="63"/>
      <c r="U60" s="63"/>
      <c r="V60" s="63"/>
      <c r="W60" s="63"/>
      <c r="X60" s="63"/>
      <c r="Y60" s="63"/>
      <c r="Z60" s="63"/>
    </row>
    <row r="61" ht="12.0" customHeight="1">
      <c r="A61" s="95" t="s">
        <v>486</v>
      </c>
      <c r="B61" s="65" t="s">
        <v>381</v>
      </c>
      <c r="C61" s="100">
        <v>1.0</v>
      </c>
      <c r="D61" s="77" t="s">
        <v>433</v>
      </c>
      <c r="E61" s="77" t="s">
        <v>383</v>
      </c>
      <c r="F61" s="84" t="s">
        <v>53</v>
      </c>
      <c r="G61" s="84">
        <v>1.0</v>
      </c>
      <c r="H61" s="85"/>
      <c r="I61" s="86">
        <f t="shared" si="1"/>
        <v>0</v>
      </c>
      <c r="J61" s="87"/>
      <c r="K61" s="63"/>
      <c r="L61" s="63"/>
      <c r="M61" s="63"/>
      <c r="N61" s="63"/>
      <c r="O61" s="63"/>
      <c r="P61" s="63"/>
      <c r="Q61" s="63"/>
      <c r="R61" s="63"/>
      <c r="S61" s="63"/>
      <c r="T61" s="63"/>
      <c r="U61" s="63"/>
      <c r="V61" s="63"/>
      <c r="W61" s="63"/>
      <c r="X61" s="63"/>
      <c r="Y61" s="63"/>
      <c r="Z61" s="63"/>
    </row>
    <row r="62" ht="12.0" customHeight="1">
      <c r="A62" s="95"/>
      <c r="B62" s="65"/>
      <c r="C62" s="97">
        <f t="shared" ref="C62:C82" si="4">C61+1</f>
        <v>2</v>
      </c>
      <c r="D62" s="72" t="s">
        <v>487</v>
      </c>
      <c r="E62" s="72" t="s">
        <v>488</v>
      </c>
      <c r="F62" s="71" t="s">
        <v>53</v>
      </c>
      <c r="G62" s="71">
        <v>1.0</v>
      </c>
      <c r="H62" s="73"/>
      <c r="I62" s="74">
        <f t="shared" si="1"/>
        <v>0</v>
      </c>
      <c r="J62" s="75"/>
      <c r="K62" s="63"/>
      <c r="L62" s="63"/>
      <c r="M62" s="63"/>
      <c r="N62" s="63"/>
      <c r="O62" s="63"/>
      <c r="P62" s="63"/>
      <c r="Q62" s="63"/>
      <c r="R62" s="63"/>
      <c r="S62" s="63"/>
      <c r="T62" s="63"/>
      <c r="U62" s="63"/>
      <c r="V62" s="63"/>
      <c r="W62" s="63"/>
      <c r="X62" s="63"/>
      <c r="Y62" s="63"/>
      <c r="Z62" s="63"/>
    </row>
    <row r="63" ht="12.0" customHeight="1">
      <c r="A63" s="95"/>
      <c r="B63" s="65"/>
      <c r="C63" s="97">
        <f t="shared" si="4"/>
        <v>3</v>
      </c>
      <c r="D63" s="72" t="s">
        <v>489</v>
      </c>
      <c r="E63" s="72" t="s">
        <v>197</v>
      </c>
      <c r="F63" s="71" t="s">
        <v>53</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95"/>
      <c r="B64" s="65"/>
      <c r="C64" s="97">
        <f t="shared" si="4"/>
        <v>4</v>
      </c>
      <c r="D64" s="72" t="s">
        <v>490</v>
      </c>
      <c r="E64" s="72" t="s">
        <v>491</v>
      </c>
      <c r="F64" s="71" t="s">
        <v>53</v>
      </c>
      <c r="G64" s="71">
        <v>1.0</v>
      </c>
      <c r="H64" s="73"/>
      <c r="I64" s="74">
        <f t="shared" si="1"/>
        <v>0</v>
      </c>
      <c r="J64" s="75"/>
      <c r="K64" s="63"/>
      <c r="L64" s="63"/>
      <c r="M64" s="63"/>
      <c r="N64" s="63"/>
      <c r="O64" s="63"/>
      <c r="P64" s="63"/>
      <c r="Q64" s="63"/>
      <c r="R64" s="63"/>
      <c r="S64" s="63"/>
      <c r="T64" s="63"/>
      <c r="U64" s="63"/>
      <c r="V64" s="63"/>
      <c r="W64" s="63"/>
      <c r="X64" s="63"/>
      <c r="Y64" s="63"/>
      <c r="Z64" s="63"/>
    </row>
    <row r="65" ht="12.0" customHeight="1">
      <c r="A65" s="95"/>
      <c r="B65" s="65"/>
      <c r="C65" s="97">
        <f t="shared" si="4"/>
        <v>5</v>
      </c>
      <c r="D65" s="72" t="s">
        <v>492</v>
      </c>
      <c r="E65" s="72" t="s">
        <v>493</v>
      </c>
      <c r="F65" s="71" t="s">
        <v>46</v>
      </c>
      <c r="G65" s="71">
        <v>1.0</v>
      </c>
      <c r="H65" s="73"/>
      <c r="I65" s="74">
        <f t="shared" si="1"/>
        <v>0</v>
      </c>
      <c r="J65" s="75"/>
      <c r="K65" s="63"/>
      <c r="L65" s="63"/>
      <c r="M65" s="63"/>
      <c r="N65" s="63"/>
      <c r="O65" s="63"/>
      <c r="P65" s="63"/>
      <c r="Q65" s="63"/>
      <c r="R65" s="63"/>
      <c r="S65" s="63"/>
      <c r="T65" s="63"/>
      <c r="U65" s="63"/>
      <c r="V65" s="63"/>
      <c r="W65" s="63"/>
      <c r="X65" s="63"/>
      <c r="Y65" s="63"/>
      <c r="Z65" s="63"/>
    </row>
    <row r="66" ht="12.0" customHeight="1">
      <c r="A66" s="95"/>
      <c r="B66" s="65"/>
      <c r="C66" s="97">
        <f t="shared" si="4"/>
        <v>6</v>
      </c>
      <c r="D66" s="72" t="s">
        <v>494</v>
      </c>
      <c r="E66" s="72" t="s">
        <v>495</v>
      </c>
      <c r="F66" s="71" t="s">
        <v>69</v>
      </c>
      <c r="G66" s="71">
        <v>1.0</v>
      </c>
      <c r="H66" s="73"/>
      <c r="I66" s="74">
        <f t="shared" si="1"/>
        <v>0</v>
      </c>
      <c r="J66" s="75"/>
      <c r="K66" s="63"/>
      <c r="L66" s="63"/>
      <c r="M66" s="63"/>
      <c r="N66" s="63"/>
      <c r="O66" s="63"/>
      <c r="P66" s="63"/>
      <c r="Q66" s="63"/>
      <c r="R66" s="63"/>
      <c r="S66" s="63"/>
      <c r="T66" s="63"/>
      <c r="U66" s="63"/>
      <c r="V66" s="63"/>
      <c r="W66" s="63"/>
      <c r="X66" s="63"/>
      <c r="Y66" s="63"/>
      <c r="Z66" s="63"/>
    </row>
    <row r="67" ht="12.0" customHeight="1">
      <c r="A67" s="95"/>
      <c r="B67" s="65"/>
      <c r="C67" s="97">
        <f t="shared" si="4"/>
        <v>7</v>
      </c>
      <c r="D67" s="72" t="s">
        <v>496</v>
      </c>
      <c r="E67" s="72" t="s">
        <v>497</v>
      </c>
      <c r="F67" s="71" t="s">
        <v>53</v>
      </c>
      <c r="G67" s="71">
        <v>1.0</v>
      </c>
      <c r="H67" s="73"/>
      <c r="I67" s="74">
        <f t="shared" si="1"/>
        <v>0</v>
      </c>
      <c r="J67" s="75"/>
      <c r="K67" s="63"/>
      <c r="L67" s="63"/>
      <c r="M67" s="63"/>
      <c r="N67" s="63"/>
      <c r="O67" s="63"/>
      <c r="P67" s="63"/>
      <c r="Q67" s="63"/>
      <c r="R67" s="63"/>
      <c r="S67" s="63"/>
      <c r="T67" s="63"/>
      <c r="U67" s="63"/>
      <c r="V67" s="63"/>
      <c r="W67" s="63"/>
      <c r="X67" s="63"/>
      <c r="Y67" s="63"/>
      <c r="Z67" s="63"/>
    </row>
    <row r="68" ht="12.0" customHeight="1">
      <c r="A68" s="95"/>
      <c r="B68" s="65"/>
      <c r="C68" s="97">
        <f t="shared" si="4"/>
        <v>8</v>
      </c>
      <c r="D68" s="72" t="s">
        <v>498</v>
      </c>
      <c r="E68" s="72" t="s">
        <v>499</v>
      </c>
      <c r="F68" s="71" t="s">
        <v>69</v>
      </c>
      <c r="G68" s="71">
        <v>1.0</v>
      </c>
      <c r="H68" s="73"/>
      <c r="I68" s="74">
        <f t="shared" si="1"/>
        <v>0</v>
      </c>
      <c r="J68" s="75"/>
      <c r="K68" s="63"/>
      <c r="L68" s="63"/>
      <c r="M68" s="63"/>
      <c r="N68" s="63"/>
      <c r="O68" s="63"/>
      <c r="P68" s="63"/>
      <c r="Q68" s="63"/>
      <c r="R68" s="63"/>
      <c r="S68" s="63"/>
      <c r="T68" s="63"/>
      <c r="U68" s="63"/>
      <c r="V68" s="63"/>
      <c r="W68" s="63"/>
      <c r="X68" s="63"/>
      <c r="Y68" s="63"/>
      <c r="Z68" s="63"/>
    </row>
    <row r="69" ht="12.0" customHeight="1">
      <c r="A69" s="95"/>
      <c r="B69" s="65"/>
      <c r="C69" s="97">
        <f t="shared" si="4"/>
        <v>9</v>
      </c>
      <c r="D69" s="72" t="s">
        <v>500</v>
      </c>
      <c r="E69" s="72" t="s">
        <v>501</v>
      </c>
      <c r="F69" s="71" t="s">
        <v>53</v>
      </c>
      <c r="G69" s="71">
        <v>1.0</v>
      </c>
      <c r="H69" s="73"/>
      <c r="I69" s="74">
        <f t="shared" si="1"/>
        <v>0</v>
      </c>
      <c r="J69" s="75"/>
      <c r="K69" s="63"/>
      <c r="L69" s="63"/>
      <c r="M69" s="63"/>
      <c r="N69" s="63"/>
      <c r="O69" s="63"/>
      <c r="P69" s="63"/>
      <c r="Q69" s="63"/>
      <c r="R69" s="63"/>
      <c r="S69" s="63"/>
      <c r="T69" s="63"/>
      <c r="U69" s="63"/>
      <c r="V69" s="63"/>
      <c r="W69" s="63"/>
      <c r="X69" s="63"/>
      <c r="Y69" s="63"/>
      <c r="Z69" s="63"/>
    </row>
    <row r="70" ht="12.0" customHeight="1">
      <c r="A70" s="95"/>
      <c r="B70" s="65"/>
      <c r="C70" s="97">
        <f t="shared" si="4"/>
        <v>10</v>
      </c>
      <c r="D70" s="72" t="s">
        <v>502</v>
      </c>
      <c r="E70" s="72" t="s">
        <v>503</v>
      </c>
      <c r="F70" s="71" t="s">
        <v>53</v>
      </c>
      <c r="G70" s="71">
        <v>1.0</v>
      </c>
      <c r="H70" s="73"/>
      <c r="I70" s="74">
        <f t="shared" si="1"/>
        <v>0</v>
      </c>
      <c r="J70" s="75"/>
      <c r="K70" s="63"/>
      <c r="L70" s="63"/>
      <c r="M70" s="63"/>
      <c r="N70" s="63"/>
      <c r="O70" s="63"/>
      <c r="P70" s="63"/>
      <c r="Q70" s="63"/>
      <c r="R70" s="63"/>
      <c r="S70" s="63"/>
      <c r="T70" s="63"/>
      <c r="U70" s="63"/>
      <c r="V70" s="63"/>
      <c r="W70" s="63"/>
      <c r="X70" s="63"/>
      <c r="Y70" s="63"/>
      <c r="Z70" s="63"/>
    </row>
    <row r="71" ht="12.0" customHeight="1">
      <c r="A71" s="95"/>
      <c r="B71" s="65"/>
      <c r="C71" s="97">
        <f t="shared" si="4"/>
        <v>11</v>
      </c>
      <c r="D71" s="72" t="s">
        <v>504</v>
      </c>
      <c r="E71" s="72" t="s">
        <v>503</v>
      </c>
      <c r="F71" s="71" t="s">
        <v>53</v>
      </c>
      <c r="G71" s="71">
        <v>1.0</v>
      </c>
      <c r="H71" s="73"/>
      <c r="I71" s="74">
        <f t="shared" si="1"/>
        <v>0</v>
      </c>
      <c r="J71" s="75"/>
      <c r="K71" s="63"/>
      <c r="L71" s="63"/>
      <c r="M71" s="63"/>
      <c r="N71" s="63"/>
      <c r="O71" s="63"/>
      <c r="P71" s="63"/>
      <c r="Q71" s="63"/>
      <c r="R71" s="63"/>
      <c r="S71" s="63"/>
      <c r="T71" s="63"/>
      <c r="U71" s="63"/>
      <c r="V71" s="63"/>
      <c r="W71" s="63"/>
      <c r="X71" s="63"/>
      <c r="Y71" s="63"/>
      <c r="Z71" s="63"/>
    </row>
    <row r="72" ht="12.0" customHeight="1">
      <c r="A72" s="95"/>
      <c r="B72" s="65"/>
      <c r="C72" s="97">
        <f t="shared" si="4"/>
        <v>12</v>
      </c>
      <c r="D72" s="72" t="s">
        <v>505</v>
      </c>
      <c r="E72" s="72" t="s">
        <v>503</v>
      </c>
      <c r="F72" s="71" t="s">
        <v>53</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95"/>
      <c r="B73" s="76" t="s">
        <v>402</v>
      </c>
      <c r="C73" s="97">
        <f t="shared" si="4"/>
        <v>13</v>
      </c>
      <c r="D73" s="72" t="s">
        <v>506</v>
      </c>
      <c r="E73" s="72" t="s">
        <v>507</v>
      </c>
      <c r="F73" s="71" t="s">
        <v>53</v>
      </c>
      <c r="G73" s="71">
        <v>1.0</v>
      </c>
      <c r="H73" s="73"/>
      <c r="I73" s="74">
        <f t="shared" si="1"/>
        <v>0</v>
      </c>
      <c r="J73" s="75"/>
      <c r="K73" s="63"/>
      <c r="L73" s="63"/>
      <c r="M73" s="63"/>
      <c r="N73" s="63"/>
      <c r="O73" s="63"/>
      <c r="P73" s="63"/>
      <c r="Q73" s="63"/>
      <c r="R73" s="63"/>
      <c r="S73" s="63"/>
      <c r="T73" s="63"/>
      <c r="U73" s="63"/>
      <c r="V73" s="63"/>
      <c r="W73" s="63"/>
      <c r="X73" s="63"/>
      <c r="Y73" s="63"/>
      <c r="Z73" s="63"/>
    </row>
    <row r="74" ht="12.0" customHeight="1">
      <c r="A74" s="95"/>
      <c r="B74" s="65"/>
      <c r="C74" s="97">
        <f t="shared" si="4"/>
        <v>14</v>
      </c>
      <c r="D74" s="72" t="s">
        <v>508</v>
      </c>
      <c r="E74" s="72" t="s">
        <v>507</v>
      </c>
      <c r="F74" s="71" t="s">
        <v>69</v>
      </c>
      <c r="G74" s="71">
        <v>1.0</v>
      </c>
      <c r="H74" s="73"/>
      <c r="I74" s="74">
        <f t="shared" si="1"/>
        <v>0</v>
      </c>
      <c r="J74" s="75"/>
      <c r="K74" s="63"/>
      <c r="L74" s="63"/>
      <c r="M74" s="63"/>
      <c r="N74" s="63"/>
      <c r="O74" s="63"/>
      <c r="P74" s="63"/>
      <c r="Q74" s="63"/>
      <c r="R74" s="63"/>
      <c r="S74" s="63"/>
      <c r="T74" s="63"/>
      <c r="U74" s="63"/>
      <c r="V74" s="63"/>
      <c r="W74" s="63"/>
      <c r="X74" s="63"/>
      <c r="Y74" s="63"/>
      <c r="Z74" s="63"/>
    </row>
    <row r="75" ht="12.0" customHeight="1">
      <c r="A75" s="95"/>
      <c r="B75" s="65"/>
      <c r="C75" s="97">
        <f t="shared" si="4"/>
        <v>15</v>
      </c>
      <c r="D75" s="72" t="s">
        <v>509</v>
      </c>
      <c r="E75" s="72" t="s">
        <v>510</v>
      </c>
      <c r="F75" s="71" t="s">
        <v>53</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95"/>
      <c r="B76" s="77"/>
      <c r="C76" s="97">
        <f t="shared" si="4"/>
        <v>16</v>
      </c>
      <c r="D76" s="72" t="s">
        <v>511</v>
      </c>
      <c r="E76" s="72" t="s">
        <v>507</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95"/>
      <c r="B77" s="65" t="s">
        <v>424</v>
      </c>
      <c r="C77" s="97">
        <f t="shared" si="4"/>
        <v>17</v>
      </c>
      <c r="D77" s="72" t="s">
        <v>512</v>
      </c>
      <c r="E77" s="72" t="s">
        <v>513</v>
      </c>
      <c r="F77" s="71" t="s">
        <v>53</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95"/>
      <c r="B78" s="65"/>
      <c r="C78" s="97">
        <f t="shared" si="4"/>
        <v>18</v>
      </c>
      <c r="D78" s="72" t="s">
        <v>514</v>
      </c>
      <c r="E78" s="72" t="s">
        <v>515</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95"/>
      <c r="B79" s="65"/>
      <c r="C79" s="97">
        <f t="shared" si="4"/>
        <v>19</v>
      </c>
      <c r="D79" s="72" t="s">
        <v>516</v>
      </c>
      <c r="E79" s="72" t="s">
        <v>517</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95"/>
      <c r="B80" s="65"/>
      <c r="C80" s="97">
        <f t="shared" si="4"/>
        <v>20</v>
      </c>
      <c r="D80" s="72" t="s">
        <v>518</v>
      </c>
      <c r="E80" s="72" t="s">
        <v>519</v>
      </c>
      <c r="F80" s="71" t="s">
        <v>69</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95"/>
      <c r="B81" s="65"/>
      <c r="C81" s="97">
        <f t="shared" si="4"/>
        <v>21</v>
      </c>
      <c r="D81" s="72" t="s">
        <v>520</v>
      </c>
      <c r="E81" s="72" t="s">
        <v>521</v>
      </c>
      <c r="F81" s="71" t="s">
        <v>69</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98"/>
      <c r="B82" s="88"/>
      <c r="C82" s="99">
        <f t="shared" si="4"/>
        <v>22</v>
      </c>
      <c r="D82" s="79" t="s">
        <v>522</v>
      </c>
      <c r="E82" s="79" t="s">
        <v>523</v>
      </c>
      <c r="F82" s="80" t="s">
        <v>69</v>
      </c>
      <c r="G82" s="80">
        <v>1.0</v>
      </c>
      <c r="H82" s="81"/>
      <c r="I82" s="82">
        <f t="shared" si="1"/>
        <v>0</v>
      </c>
      <c r="J82" s="83"/>
      <c r="K82" s="63"/>
      <c r="L82" s="63"/>
      <c r="M82" s="63"/>
      <c r="N82" s="63"/>
      <c r="O82" s="63"/>
      <c r="P82" s="63"/>
      <c r="Q82" s="63"/>
      <c r="R82" s="63"/>
      <c r="S82" s="63"/>
      <c r="T82" s="63"/>
      <c r="U82" s="63"/>
      <c r="V82" s="63"/>
      <c r="W82" s="63"/>
      <c r="X82" s="63"/>
      <c r="Y82" s="63"/>
      <c r="Z82" s="63"/>
    </row>
    <row r="83" ht="12.0" customHeight="1">
      <c r="A83" s="95" t="s">
        <v>524</v>
      </c>
      <c r="B83" s="65" t="s">
        <v>381</v>
      </c>
      <c r="C83" s="100">
        <v>1.0</v>
      </c>
      <c r="D83" s="77" t="s">
        <v>525</v>
      </c>
      <c r="E83" s="77" t="s">
        <v>383</v>
      </c>
      <c r="F83" s="84" t="s">
        <v>53</v>
      </c>
      <c r="G83" s="84">
        <v>1.0</v>
      </c>
      <c r="H83" s="85"/>
      <c r="I83" s="86">
        <f t="shared" si="1"/>
        <v>0</v>
      </c>
      <c r="J83" s="87"/>
      <c r="K83" s="63"/>
      <c r="L83" s="63"/>
      <c r="M83" s="63"/>
      <c r="N83" s="63"/>
      <c r="O83" s="63"/>
      <c r="P83" s="63"/>
      <c r="Q83" s="63"/>
      <c r="R83" s="63"/>
      <c r="S83" s="63"/>
      <c r="T83" s="63"/>
      <c r="U83" s="63"/>
      <c r="V83" s="63"/>
      <c r="W83" s="63"/>
      <c r="X83" s="63"/>
      <c r="Y83" s="63"/>
      <c r="Z83" s="63"/>
    </row>
    <row r="84" ht="12.0" customHeight="1">
      <c r="A84" s="95"/>
      <c r="B84" s="65"/>
      <c r="C84" s="97">
        <f t="shared" ref="C84:C93" si="5">C83+1</f>
        <v>2</v>
      </c>
      <c r="D84" s="72" t="s">
        <v>526</v>
      </c>
      <c r="E84" s="72" t="s">
        <v>390</v>
      </c>
      <c r="F84" s="71" t="s">
        <v>53</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95"/>
      <c r="B85" s="65"/>
      <c r="C85" s="97">
        <f t="shared" si="5"/>
        <v>3</v>
      </c>
      <c r="D85" s="72" t="s">
        <v>527</v>
      </c>
      <c r="E85" s="72" t="s">
        <v>528</v>
      </c>
      <c r="F85" s="71" t="s">
        <v>53</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95"/>
      <c r="B86" s="65"/>
      <c r="C86" s="97">
        <f t="shared" si="5"/>
        <v>4</v>
      </c>
      <c r="D86" s="72" t="s">
        <v>529</v>
      </c>
      <c r="E86" s="72" t="s">
        <v>530</v>
      </c>
      <c r="F86" s="71" t="s">
        <v>53</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95"/>
      <c r="B87" s="65"/>
      <c r="C87" s="97">
        <f t="shared" si="5"/>
        <v>5</v>
      </c>
      <c r="D87" s="72" t="s">
        <v>531</v>
      </c>
      <c r="E87" s="72" t="s">
        <v>74</v>
      </c>
      <c r="F87" s="71" t="s">
        <v>69</v>
      </c>
      <c r="G87" s="71">
        <v>1.0</v>
      </c>
      <c r="H87" s="73"/>
      <c r="I87" s="74">
        <f t="shared" si="1"/>
        <v>0</v>
      </c>
      <c r="J87" s="75"/>
      <c r="K87" s="63"/>
      <c r="L87" s="63"/>
      <c r="M87" s="63"/>
      <c r="N87" s="63"/>
      <c r="O87" s="63"/>
      <c r="P87" s="63"/>
      <c r="Q87" s="63"/>
      <c r="R87" s="63"/>
      <c r="S87" s="63"/>
      <c r="T87" s="63"/>
      <c r="U87" s="63"/>
      <c r="V87" s="63"/>
      <c r="W87" s="63"/>
      <c r="X87" s="63"/>
      <c r="Y87" s="63"/>
      <c r="Z87" s="63"/>
    </row>
    <row r="88" ht="12.0" customHeight="1">
      <c r="A88" s="95"/>
      <c r="B88" s="65"/>
      <c r="C88" s="97">
        <f t="shared" si="5"/>
        <v>6</v>
      </c>
      <c r="D88" s="72" t="s">
        <v>532</v>
      </c>
      <c r="E88" s="72" t="s">
        <v>533</v>
      </c>
      <c r="F88" s="71" t="s">
        <v>53</v>
      </c>
      <c r="G88" s="71">
        <v>1.0</v>
      </c>
      <c r="H88" s="73"/>
      <c r="I88" s="74">
        <f t="shared" si="1"/>
        <v>0</v>
      </c>
      <c r="J88" s="75"/>
      <c r="K88" s="63"/>
      <c r="L88" s="63"/>
      <c r="M88" s="63"/>
      <c r="N88" s="63"/>
      <c r="O88" s="63"/>
      <c r="P88" s="63"/>
      <c r="Q88" s="63"/>
      <c r="R88" s="63"/>
      <c r="S88" s="63"/>
      <c r="T88" s="63"/>
      <c r="U88" s="63"/>
      <c r="V88" s="63"/>
      <c r="W88" s="63"/>
      <c r="X88" s="63"/>
      <c r="Y88" s="63"/>
      <c r="Z88" s="63"/>
    </row>
    <row r="89" ht="12.0" customHeight="1">
      <c r="A89" s="95"/>
      <c r="B89" s="65"/>
      <c r="C89" s="97">
        <f t="shared" si="5"/>
        <v>7</v>
      </c>
      <c r="D89" s="72" t="s">
        <v>534</v>
      </c>
      <c r="E89" s="72" t="s">
        <v>535</v>
      </c>
      <c r="F89" s="71" t="s">
        <v>53</v>
      </c>
      <c r="G89" s="71">
        <v>1.0</v>
      </c>
      <c r="H89" s="73"/>
      <c r="I89" s="74">
        <f t="shared" si="1"/>
        <v>0</v>
      </c>
      <c r="J89" s="75"/>
      <c r="K89" s="63"/>
      <c r="L89" s="63"/>
      <c r="M89" s="63"/>
      <c r="N89" s="63"/>
      <c r="O89" s="63"/>
      <c r="P89" s="63"/>
      <c r="Q89" s="63"/>
      <c r="R89" s="63"/>
      <c r="S89" s="63"/>
      <c r="T89" s="63"/>
      <c r="U89" s="63"/>
      <c r="V89" s="63"/>
      <c r="W89" s="63"/>
      <c r="X89" s="63"/>
      <c r="Y89" s="63"/>
      <c r="Z89" s="63"/>
    </row>
    <row r="90" ht="12.0" customHeight="1">
      <c r="A90" s="95"/>
      <c r="B90" s="65"/>
      <c r="C90" s="97">
        <f t="shared" si="5"/>
        <v>8</v>
      </c>
      <c r="D90" s="72" t="s">
        <v>536</v>
      </c>
      <c r="E90" s="72" t="s">
        <v>537</v>
      </c>
      <c r="F90" s="71" t="s">
        <v>46</v>
      </c>
      <c r="G90" s="71">
        <v>1.0</v>
      </c>
      <c r="H90" s="73"/>
      <c r="I90" s="74">
        <f t="shared" si="1"/>
        <v>0</v>
      </c>
      <c r="J90" s="75"/>
      <c r="K90" s="63"/>
      <c r="L90" s="63"/>
      <c r="M90" s="63"/>
      <c r="N90" s="63"/>
      <c r="O90" s="63"/>
      <c r="P90" s="63"/>
      <c r="Q90" s="63"/>
      <c r="R90" s="63"/>
      <c r="S90" s="63"/>
      <c r="T90" s="63"/>
      <c r="U90" s="63"/>
      <c r="V90" s="63"/>
      <c r="W90" s="63"/>
      <c r="X90" s="63"/>
      <c r="Y90" s="63"/>
      <c r="Z90" s="63"/>
    </row>
    <row r="91" ht="12.0" customHeight="1">
      <c r="A91" s="95"/>
      <c r="B91" s="65"/>
      <c r="C91" s="97">
        <f t="shared" si="5"/>
        <v>9</v>
      </c>
      <c r="D91" s="72" t="s">
        <v>538</v>
      </c>
      <c r="E91" s="72" t="s">
        <v>539</v>
      </c>
      <c r="F91" s="71" t="s">
        <v>53</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95"/>
      <c r="B92" s="65"/>
      <c r="C92" s="97">
        <f t="shared" si="5"/>
        <v>10</v>
      </c>
      <c r="D92" s="72" t="s">
        <v>540</v>
      </c>
      <c r="E92" s="72" t="s">
        <v>541</v>
      </c>
      <c r="F92" s="71" t="s">
        <v>53</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98"/>
      <c r="B93" s="88"/>
      <c r="C93" s="99">
        <f t="shared" si="5"/>
        <v>11</v>
      </c>
      <c r="D93" s="79" t="s">
        <v>542</v>
      </c>
      <c r="E93" s="79" t="s">
        <v>543</v>
      </c>
      <c r="F93" s="80" t="s">
        <v>53</v>
      </c>
      <c r="G93" s="80">
        <v>1.0</v>
      </c>
      <c r="H93" s="81"/>
      <c r="I93" s="82">
        <f t="shared" si="1"/>
        <v>0</v>
      </c>
      <c r="J93" s="83"/>
      <c r="K93" s="63"/>
      <c r="L93" s="63"/>
      <c r="M93" s="63"/>
      <c r="N93" s="63"/>
      <c r="O93" s="63"/>
      <c r="P93" s="63"/>
      <c r="Q93" s="63"/>
      <c r="R93" s="63"/>
      <c r="S93" s="63"/>
      <c r="T93" s="63"/>
      <c r="U93" s="63"/>
      <c r="V93" s="63"/>
      <c r="W93" s="63"/>
      <c r="X93" s="63"/>
      <c r="Y93" s="63"/>
      <c r="Z93" s="63"/>
    </row>
    <row r="94" ht="12.0" customHeight="1">
      <c r="A94" s="90"/>
      <c r="B94" s="89"/>
      <c r="C94" s="90"/>
      <c r="D94" s="89"/>
      <c r="E94" s="89"/>
      <c r="F94" s="90"/>
      <c r="G94" s="90"/>
      <c r="H94" s="63"/>
      <c r="I94" s="91"/>
      <c r="J94" s="63"/>
      <c r="K94" s="63"/>
      <c r="L94" s="63"/>
      <c r="M94" s="63"/>
      <c r="N94" s="63"/>
      <c r="O94" s="63"/>
      <c r="P94" s="63"/>
      <c r="Q94" s="63"/>
      <c r="R94" s="63"/>
      <c r="S94" s="63"/>
      <c r="T94" s="63"/>
      <c r="U94" s="63"/>
      <c r="V94" s="63"/>
      <c r="W94" s="63"/>
      <c r="X94" s="63"/>
      <c r="Y94" s="63"/>
      <c r="Z94" s="63"/>
    </row>
    <row r="95" ht="12.0" customHeight="1">
      <c r="A95" s="90"/>
      <c r="B95" s="89"/>
      <c r="C95" s="90"/>
      <c r="D95" s="89"/>
      <c r="E95" s="89"/>
      <c r="F95" s="90"/>
      <c r="G95" s="90"/>
      <c r="H95" s="63"/>
      <c r="I95" s="91"/>
      <c r="J95" s="63"/>
      <c r="K95" s="63"/>
      <c r="L95" s="63"/>
      <c r="M95" s="63"/>
      <c r="N95" s="63"/>
      <c r="O95" s="63"/>
      <c r="P95" s="63"/>
      <c r="Q95" s="63"/>
      <c r="R95" s="63"/>
      <c r="S95" s="63"/>
      <c r="T95" s="63"/>
      <c r="U95" s="63"/>
      <c r="V95" s="63"/>
      <c r="W95" s="63"/>
      <c r="X95" s="63"/>
      <c r="Y95" s="63"/>
      <c r="Z95" s="63"/>
    </row>
    <row r="96" ht="12.0" customHeight="1">
      <c r="A96" s="90"/>
      <c r="B96" s="89"/>
      <c r="C96" s="90"/>
      <c r="D96" s="89"/>
      <c r="E96" s="89"/>
      <c r="F96" s="90"/>
      <c r="G96" s="90"/>
      <c r="H96" s="63"/>
      <c r="I96" s="91"/>
      <c r="J96" s="63"/>
      <c r="K96" s="63"/>
      <c r="L96" s="63"/>
      <c r="M96" s="63"/>
      <c r="N96" s="63"/>
      <c r="O96" s="63"/>
      <c r="P96" s="63"/>
      <c r="Q96" s="63"/>
      <c r="R96" s="63"/>
      <c r="S96" s="63"/>
      <c r="T96" s="63"/>
      <c r="U96" s="63"/>
      <c r="V96" s="63"/>
      <c r="W96" s="63"/>
      <c r="X96" s="63"/>
      <c r="Y96" s="63"/>
      <c r="Z96" s="63"/>
    </row>
    <row r="97" ht="12.0" customHeight="1">
      <c r="A97" s="90"/>
      <c r="B97" s="89"/>
      <c r="C97" s="90"/>
      <c r="D97" s="89"/>
      <c r="E97" s="89"/>
      <c r="F97" s="90"/>
      <c r="G97" s="90"/>
      <c r="H97" s="63"/>
      <c r="I97" s="91"/>
      <c r="J97" s="63"/>
      <c r="K97" s="63"/>
      <c r="L97" s="63"/>
      <c r="M97" s="63"/>
      <c r="N97" s="63"/>
      <c r="O97" s="63"/>
      <c r="P97" s="63"/>
      <c r="Q97" s="63"/>
      <c r="R97" s="63"/>
      <c r="S97" s="63"/>
      <c r="T97" s="63"/>
      <c r="U97" s="63"/>
      <c r="V97" s="63"/>
      <c r="W97" s="63"/>
      <c r="X97" s="63"/>
      <c r="Y97" s="63"/>
      <c r="Z97" s="63"/>
    </row>
    <row r="98" ht="12.0" customHeight="1">
      <c r="A98" s="90"/>
      <c r="B98" s="89"/>
      <c r="C98" s="90"/>
      <c r="D98" s="89"/>
      <c r="E98" s="89"/>
      <c r="F98" s="90"/>
      <c r="G98" s="90"/>
      <c r="H98" s="63"/>
      <c r="I98" s="91"/>
      <c r="J98" s="63"/>
      <c r="K98" s="63"/>
      <c r="L98" s="63"/>
      <c r="M98" s="63"/>
      <c r="N98" s="63"/>
      <c r="O98" s="63"/>
      <c r="P98" s="63"/>
      <c r="Q98" s="63"/>
      <c r="R98" s="63"/>
      <c r="S98" s="63"/>
      <c r="T98" s="63"/>
      <c r="U98" s="63"/>
      <c r="V98" s="63"/>
      <c r="W98" s="63"/>
      <c r="X98" s="63"/>
      <c r="Y98" s="63"/>
      <c r="Z98" s="63"/>
    </row>
    <row r="99" ht="12.0" customHeight="1">
      <c r="A99" s="90"/>
      <c r="B99" s="89"/>
      <c r="C99" s="90"/>
      <c r="D99" s="89"/>
      <c r="E99" s="89"/>
      <c r="F99" s="90"/>
      <c r="G99" s="90"/>
      <c r="H99" s="63"/>
      <c r="I99" s="91"/>
      <c r="J99" s="63"/>
      <c r="K99" s="63"/>
      <c r="L99" s="63"/>
      <c r="M99" s="63"/>
      <c r="N99" s="63"/>
      <c r="O99" s="63"/>
      <c r="P99" s="63"/>
      <c r="Q99" s="63"/>
      <c r="R99" s="63"/>
      <c r="S99" s="63"/>
      <c r="T99" s="63"/>
      <c r="U99" s="63"/>
      <c r="V99" s="63"/>
      <c r="W99" s="63"/>
      <c r="X99" s="63"/>
      <c r="Y99" s="63"/>
      <c r="Z99" s="63"/>
    </row>
    <row r="100" ht="12.0" customHeight="1">
      <c r="A100" s="90"/>
      <c r="B100" s="89"/>
      <c r="C100" s="90"/>
      <c r="D100" s="89"/>
      <c r="E100" s="89"/>
      <c r="F100" s="90"/>
      <c r="G100" s="90"/>
      <c r="H100" s="63"/>
      <c r="I100" s="91"/>
      <c r="J100" s="63"/>
      <c r="K100" s="63"/>
      <c r="L100" s="63"/>
      <c r="M100" s="63"/>
      <c r="N100" s="63"/>
      <c r="O100" s="63"/>
      <c r="P100" s="63"/>
      <c r="Q100" s="63"/>
      <c r="R100" s="63"/>
      <c r="S100" s="63"/>
      <c r="T100" s="63"/>
      <c r="U100" s="63"/>
      <c r="V100" s="63"/>
      <c r="W100" s="63"/>
      <c r="X100" s="63"/>
      <c r="Y100" s="63"/>
      <c r="Z100" s="63"/>
    </row>
    <row r="101" ht="12.0" customHeight="1">
      <c r="A101" s="90"/>
      <c r="B101" s="89"/>
      <c r="C101" s="90"/>
      <c r="D101" s="89"/>
      <c r="E101" s="89"/>
      <c r="F101" s="90"/>
      <c r="G101" s="90"/>
      <c r="H101" s="63"/>
      <c r="I101" s="91"/>
      <c r="J101" s="63"/>
      <c r="K101" s="63"/>
      <c r="L101" s="63"/>
      <c r="M101" s="63"/>
      <c r="N101" s="63"/>
      <c r="O101" s="63"/>
      <c r="P101" s="63"/>
      <c r="Q101" s="63"/>
      <c r="R101" s="63"/>
      <c r="S101" s="63"/>
      <c r="T101" s="63"/>
      <c r="U101" s="63"/>
      <c r="V101" s="63"/>
      <c r="W101" s="63"/>
      <c r="X101" s="63"/>
      <c r="Y101" s="63"/>
      <c r="Z101" s="63"/>
    </row>
    <row r="102" ht="12.0" customHeight="1">
      <c r="A102" s="90"/>
      <c r="B102" s="89"/>
      <c r="C102" s="90"/>
      <c r="D102" s="89"/>
      <c r="E102" s="89"/>
      <c r="F102" s="90"/>
      <c r="G102" s="90"/>
      <c r="H102" s="63"/>
      <c r="I102" s="91"/>
      <c r="J102" s="63"/>
      <c r="K102" s="63"/>
      <c r="L102" s="63"/>
      <c r="M102" s="63"/>
      <c r="N102" s="63"/>
      <c r="O102" s="63"/>
      <c r="P102" s="63"/>
      <c r="Q102" s="63"/>
      <c r="R102" s="63"/>
      <c r="S102" s="63"/>
      <c r="T102" s="63"/>
      <c r="U102" s="63"/>
      <c r="V102" s="63"/>
      <c r="W102" s="63"/>
      <c r="X102" s="63"/>
      <c r="Y102" s="63"/>
      <c r="Z102" s="63"/>
    </row>
    <row r="103" ht="12.0" customHeight="1">
      <c r="A103" s="90"/>
      <c r="B103" s="89"/>
      <c r="C103" s="90"/>
      <c r="D103" s="89"/>
      <c r="E103" s="89"/>
      <c r="F103" s="90"/>
      <c r="G103" s="90"/>
      <c r="H103" s="63"/>
      <c r="I103" s="91"/>
      <c r="J103" s="63"/>
      <c r="K103" s="63"/>
      <c r="L103" s="63"/>
      <c r="M103" s="63"/>
      <c r="N103" s="63"/>
      <c r="O103" s="63"/>
      <c r="P103" s="63"/>
      <c r="Q103" s="63"/>
      <c r="R103" s="63"/>
      <c r="S103" s="63"/>
      <c r="T103" s="63"/>
      <c r="U103" s="63"/>
      <c r="V103" s="63"/>
      <c r="W103" s="63"/>
      <c r="X103" s="63"/>
      <c r="Y103" s="63"/>
      <c r="Z103" s="63"/>
    </row>
    <row r="104" ht="12.0" customHeight="1">
      <c r="A104" s="90"/>
      <c r="B104" s="89"/>
      <c r="C104" s="90"/>
      <c r="D104" s="89"/>
      <c r="E104" s="89"/>
      <c r="F104" s="90"/>
      <c r="G104" s="90"/>
      <c r="H104" s="63"/>
      <c r="I104" s="91"/>
      <c r="J104" s="63"/>
      <c r="K104" s="63"/>
      <c r="L104" s="63"/>
      <c r="M104" s="63"/>
      <c r="N104" s="63"/>
      <c r="O104" s="63"/>
      <c r="P104" s="63"/>
      <c r="Q104" s="63"/>
      <c r="R104" s="63"/>
      <c r="S104" s="63"/>
      <c r="T104" s="63"/>
      <c r="U104" s="63"/>
      <c r="V104" s="63"/>
      <c r="W104" s="63"/>
      <c r="X104" s="63"/>
      <c r="Y104" s="63"/>
      <c r="Z104" s="63"/>
    </row>
    <row r="105" ht="12.0" customHeight="1">
      <c r="A105" s="90"/>
      <c r="B105" s="89"/>
      <c r="C105" s="90"/>
      <c r="D105" s="89"/>
      <c r="E105" s="89"/>
      <c r="F105" s="90"/>
      <c r="G105" s="90"/>
      <c r="H105" s="63"/>
      <c r="I105" s="91"/>
      <c r="J105" s="63"/>
      <c r="K105" s="63"/>
      <c r="L105" s="63"/>
      <c r="M105" s="63"/>
      <c r="N105" s="63"/>
      <c r="O105" s="63"/>
      <c r="P105" s="63"/>
      <c r="Q105" s="63"/>
      <c r="R105" s="63"/>
      <c r="S105" s="63"/>
      <c r="T105" s="63"/>
      <c r="U105" s="63"/>
      <c r="V105" s="63"/>
      <c r="W105" s="63"/>
      <c r="X105" s="63"/>
      <c r="Y105" s="63"/>
      <c r="Z105" s="63"/>
    </row>
    <row r="106" ht="12.0" customHeight="1">
      <c r="A106" s="90"/>
      <c r="B106" s="89"/>
      <c r="C106" s="90"/>
      <c r="D106" s="89"/>
      <c r="E106" s="89"/>
      <c r="F106" s="90"/>
      <c r="G106" s="90"/>
      <c r="H106" s="63"/>
      <c r="I106" s="91"/>
      <c r="J106" s="63"/>
      <c r="K106" s="63"/>
      <c r="L106" s="63"/>
      <c r="M106" s="63"/>
      <c r="N106" s="63"/>
      <c r="O106" s="63"/>
      <c r="P106" s="63"/>
      <c r="Q106" s="63"/>
      <c r="R106" s="63"/>
      <c r="S106" s="63"/>
      <c r="T106" s="63"/>
      <c r="U106" s="63"/>
      <c r="V106" s="63"/>
      <c r="W106" s="63"/>
      <c r="X106" s="63"/>
      <c r="Y106" s="63"/>
      <c r="Z106" s="63"/>
    </row>
    <row r="107" ht="12.0" customHeight="1">
      <c r="A107" s="90"/>
      <c r="B107" s="89"/>
      <c r="C107" s="90"/>
      <c r="D107" s="89"/>
      <c r="E107" s="89"/>
      <c r="F107" s="90"/>
      <c r="G107" s="90"/>
      <c r="H107" s="63"/>
      <c r="I107" s="91"/>
      <c r="J107" s="63"/>
      <c r="K107" s="63"/>
      <c r="L107" s="63"/>
      <c r="M107" s="63"/>
      <c r="N107" s="63"/>
      <c r="O107" s="63"/>
      <c r="P107" s="63"/>
      <c r="Q107" s="63"/>
      <c r="R107" s="63"/>
      <c r="S107" s="63"/>
      <c r="T107" s="63"/>
      <c r="U107" s="63"/>
      <c r="V107" s="63"/>
      <c r="W107" s="63"/>
      <c r="X107" s="63"/>
      <c r="Y107" s="63"/>
      <c r="Z107" s="63"/>
    </row>
    <row r="108" ht="12.0" customHeight="1">
      <c r="A108" s="90"/>
      <c r="B108" s="89"/>
      <c r="C108" s="90"/>
      <c r="D108" s="89"/>
      <c r="E108" s="89"/>
      <c r="F108" s="90"/>
      <c r="G108" s="90"/>
      <c r="H108" s="63"/>
      <c r="I108" s="91"/>
      <c r="J108" s="63"/>
      <c r="K108" s="63"/>
      <c r="L108" s="63"/>
      <c r="M108" s="63"/>
      <c r="N108" s="63"/>
      <c r="O108" s="63"/>
      <c r="P108" s="63"/>
      <c r="Q108" s="63"/>
      <c r="R108" s="63"/>
      <c r="S108" s="63"/>
      <c r="T108" s="63"/>
      <c r="U108" s="63"/>
      <c r="V108" s="63"/>
      <c r="W108" s="63"/>
      <c r="X108" s="63"/>
      <c r="Y108" s="63"/>
      <c r="Z108" s="63"/>
    </row>
    <row r="109" ht="12.0" customHeight="1">
      <c r="A109" s="90"/>
      <c r="B109" s="89"/>
      <c r="C109" s="90"/>
      <c r="D109" s="89"/>
      <c r="E109" s="89"/>
      <c r="F109" s="90"/>
      <c r="G109" s="90"/>
      <c r="H109" s="63"/>
      <c r="I109" s="91"/>
      <c r="J109" s="63"/>
      <c r="K109" s="63"/>
      <c r="L109" s="63"/>
      <c r="M109" s="63"/>
      <c r="N109" s="63"/>
      <c r="O109" s="63"/>
      <c r="P109" s="63"/>
      <c r="Q109" s="63"/>
      <c r="R109" s="63"/>
      <c r="S109" s="63"/>
      <c r="T109" s="63"/>
      <c r="U109" s="63"/>
      <c r="V109" s="63"/>
      <c r="W109" s="63"/>
      <c r="X109" s="63"/>
      <c r="Y109" s="63"/>
      <c r="Z109" s="63"/>
    </row>
    <row r="110" ht="12.0" customHeight="1">
      <c r="A110" s="90"/>
      <c r="B110" s="89"/>
      <c r="C110" s="90"/>
      <c r="D110" s="89"/>
      <c r="E110" s="89"/>
      <c r="F110" s="90"/>
      <c r="G110" s="90"/>
      <c r="H110" s="63"/>
      <c r="I110" s="91"/>
      <c r="J110" s="63"/>
      <c r="K110" s="63"/>
      <c r="L110" s="63"/>
      <c r="M110" s="63"/>
      <c r="N110" s="63"/>
      <c r="O110" s="63"/>
      <c r="P110" s="63"/>
      <c r="Q110" s="63"/>
      <c r="R110" s="63"/>
      <c r="S110" s="63"/>
      <c r="T110" s="63"/>
      <c r="U110" s="63"/>
      <c r="V110" s="63"/>
      <c r="W110" s="63"/>
      <c r="X110" s="63"/>
      <c r="Y110" s="63"/>
      <c r="Z110" s="63"/>
    </row>
    <row r="111" ht="12.0" customHeight="1">
      <c r="A111" s="90"/>
      <c r="B111" s="89"/>
      <c r="C111" s="90"/>
      <c r="D111" s="89"/>
      <c r="E111" s="89"/>
      <c r="F111" s="90"/>
      <c r="G111" s="90"/>
      <c r="H111" s="63"/>
      <c r="I111" s="91"/>
      <c r="J111" s="63"/>
      <c r="K111" s="63"/>
      <c r="L111" s="63"/>
      <c r="M111" s="63"/>
      <c r="N111" s="63"/>
      <c r="O111" s="63"/>
      <c r="P111" s="63"/>
      <c r="Q111" s="63"/>
      <c r="R111" s="63"/>
      <c r="S111" s="63"/>
      <c r="T111" s="63"/>
      <c r="U111" s="63"/>
      <c r="V111" s="63"/>
      <c r="W111" s="63"/>
      <c r="X111" s="63"/>
      <c r="Y111" s="63"/>
      <c r="Z111" s="63"/>
    </row>
    <row r="112" ht="12.0" customHeight="1">
      <c r="A112" s="90"/>
      <c r="B112" s="89"/>
      <c r="C112" s="90"/>
      <c r="D112" s="89"/>
      <c r="E112" s="89"/>
      <c r="F112" s="90"/>
      <c r="G112" s="90"/>
      <c r="H112" s="63"/>
      <c r="I112" s="91"/>
      <c r="J112" s="63"/>
      <c r="K112" s="63"/>
      <c r="L112" s="63"/>
      <c r="M112" s="63"/>
      <c r="N112" s="63"/>
      <c r="O112" s="63"/>
      <c r="P112" s="63"/>
      <c r="Q112" s="63"/>
      <c r="R112" s="63"/>
      <c r="S112" s="63"/>
      <c r="T112" s="63"/>
      <c r="U112" s="63"/>
      <c r="V112" s="63"/>
      <c r="W112" s="63"/>
      <c r="X112" s="63"/>
      <c r="Y112" s="63"/>
      <c r="Z112" s="63"/>
    </row>
    <row r="113" ht="12.0" customHeight="1">
      <c r="A113" s="90"/>
      <c r="B113" s="89"/>
      <c r="C113" s="90"/>
      <c r="D113" s="89"/>
      <c r="E113" s="89"/>
      <c r="F113" s="90"/>
      <c r="G113" s="90"/>
      <c r="H113" s="63"/>
      <c r="I113" s="91"/>
      <c r="J113" s="63"/>
      <c r="K113" s="63"/>
      <c r="L113" s="63"/>
      <c r="M113" s="63"/>
      <c r="N113" s="63"/>
      <c r="O113" s="63"/>
      <c r="P113" s="63"/>
      <c r="Q113" s="63"/>
      <c r="R113" s="63"/>
      <c r="S113" s="63"/>
      <c r="T113" s="63"/>
      <c r="U113" s="63"/>
      <c r="V113" s="63"/>
      <c r="W113" s="63"/>
      <c r="X113" s="63"/>
      <c r="Y113" s="63"/>
      <c r="Z113" s="63"/>
    </row>
    <row r="114" ht="12.0" customHeight="1">
      <c r="A114" s="90"/>
      <c r="B114" s="89"/>
      <c r="C114" s="90"/>
      <c r="D114" s="89"/>
      <c r="E114" s="89"/>
      <c r="F114" s="90"/>
      <c r="G114" s="90"/>
      <c r="H114" s="63"/>
      <c r="I114" s="91"/>
      <c r="J114" s="63"/>
      <c r="K114" s="63"/>
      <c r="L114" s="63"/>
      <c r="M114" s="63"/>
      <c r="N114" s="63"/>
      <c r="O114" s="63"/>
      <c r="P114" s="63"/>
      <c r="Q114" s="63"/>
      <c r="R114" s="63"/>
      <c r="S114" s="63"/>
      <c r="T114" s="63"/>
      <c r="U114" s="63"/>
      <c r="V114" s="63"/>
      <c r="W114" s="63"/>
      <c r="X114" s="63"/>
      <c r="Y114" s="63"/>
      <c r="Z114" s="63"/>
    </row>
    <row r="115" ht="12.0" customHeight="1">
      <c r="A115" s="90"/>
      <c r="B115" s="89"/>
      <c r="C115" s="90"/>
      <c r="D115" s="89"/>
      <c r="E115" s="89"/>
      <c r="F115" s="90"/>
      <c r="G115" s="90"/>
      <c r="H115" s="63"/>
      <c r="I115" s="91"/>
      <c r="J115" s="63"/>
      <c r="K115" s="63"/>
      <c r="L115" s="63"/>
      <c r="M115" s="63"/>
      <c r="N115" s="63"/>
      <c r="O115" s="63"/>
      <c r="P115" s="63"/>
      <c r="Q115" s="63"/>
      <c r="R115" s="63"/>
      <c r="S115" s="63"/>
      <c r="T115" s="63"/>
      <c r="U115" s="63"/>
      <c r="V115" s="63"/>
      <c r="W115" s="63"/>
      <c r="X115" s="63"/>
      <c r="Y115" s="63"/>
      <c r="Z115" s="63"/>
    </row>
    <row r="116" ht="12.0" customHeight="1">
      <c r="A116" s="90"/>
      <c r="B116" s="89"/>
      <c r="C116" s="90"/>
      <c r="D116" s="89"/>
      <c r="E116" s="89"/>
      <c r="F116" s="90"/>
      <c r="G116" s="90"/>
      <c r="H116" s="63"/>
      <c r="I116" s="91"/>
      <c r="J116" s="63"/>
      <c r="K116" s="63"/>
      <c r="L116" s="63"/>
      <c r="M116" s="63"/>
      <c r="N116" s="63"/>
      <c r="O116" s="63"/>
      <c r="P116" s="63"/>
      <c r="Q116" s="63"/>
      <c r="R116" s="63"/>
      <c r="S116" s="63"/>
      <c r="T116" s="63"/>
      <c r="U116" s="63"/>
      <c r="V116" s="63"/>
      <c r="W116" s="63"/>
      <c r="X116" s="63"/>
      <c r="Y116" s="63"/>
      <c r="Z116" s="63"/>
    </row>
    <row r="117" ht="12.0" customHeight="1">
      <c r="A117" s="90"/>
      <c r="B117" s="89"/>
      <c r="C117" s="90"/>
      <c r="D117" s="89"/>
      <c r="E117" s="89"/>
      <c r="F117" s="90"/>
      <c r="G117" s="90"/>
      <c r="H117" s="63"/>
      <c r="I117" s="91"/>
      <c r="J117" s="63"/>
      <c r="K117" s="63"/>
      <c r="L117" s="63"/>
      <c r="M117" s="63"/>
      <c r="N117" s="63"/>
      <c r="O117" s="63"/>
      <c r="P117" s="63"/>
      <c r="Q117" s="63"/>
      <c r="R117" s="63"/>
      <c r="S117" s="63"/>
      <c r="T117" s="63"/>
      <c r="U117" s="63"/>
      <c r="V117" s="63"/>
      <c r="W117" s="63"/>
      <c r="X117" s="63"/>
      <c r="Y117" s="63"/>
      <c r="Z117" s="63"/>
    </row>
    <row r="118" ht="12.0" customHeight="1">
      <c r="A118" s="90"/>
      <c r="B118" s="89"/>
      <c r="C118" s="90"/>
      <c r="D118" s="89"/>
      <c r="E118" s="89"/>
      <c r="F118" s="90"/>
      <c r="G118" s="90"/>
      <c r="H118" s="63"/>
      <c r="I118" s="91"/>
      <c r="J118" s="63"/>
      <c r="K118" s="63"/>
      <c r="L118" s="63"/>
      <c r="M118" s="63"/>
      <c r="N118" s="63"/>
      <c r="O118" s="63"/>
      <c r="P118" s="63"/>
      <c r="Q118" s="63"/>
      <c r="R118" s="63"/>
      <c r="S118" s="63"/>
      <c r="T118" s="63"/>
      <c r="U118" s="63"/>
      <c r="V118" s="63"/>
      <c r="W118" s="63"/>
      <c r="X118" s="63"/>
      <c r="Y118" s="63"/>
      <c r="Z118" s="63"/>
    </row>
    <row r="119" ht="12.0" customHeight="1">
      <c r="A119" s="90"/>
      <c r="B119" s="89"/>
      <c r="C119" s="90"/>
      <c r="D119" s="89"/>
      <c r="E119" s="89"/>
      <c r="F119" s="90"/>
      <c r="G119" s="90"/>
      <c r="H119" s="63"/>
      <c r="I119" s="91"/>
      <c r="J119" s="63"/>
      <c r="K119" s="63"/>
      <c r="L119" s="63"/>
      <c r="M119" s="63"/>
      <c r="N119" s="63"/>
      <c r="O119" s="63"/>
      <c r="P119" s="63"/>
      <c r="Q119" s="63"/>
      <c r="R119" s="63"/>
      <c r="S119" s="63"/>
      <c r="T119" s="63"/>
      <c r="U119" s="63"/>
      <c r="V119" s="63"/>
      <c r="W119" s="63"/>
      <c r="X119" s="63"/>
      <c r="Y119" s="63"/>
      <c r="Z119" s="63"/>
    </row>
    <row r="120" ht="12.0" customHeight="1">
      <c r="A120" s="90"/>
      <c r="B120" s="89"/>
      <c r="C120" s="90"/>
      <c r="D120" s="89"/>
      <c r="E120" s="89"/>
      <c r="F120" s="90"/>
      <c r="G120" s="90"/>
      <c r="H120" s="63"/>
      <c r="I120" s="91"/>
      <c r="J120" s="63"/>
      <c r="K120" s="63"/>
      <c r="L120" s="63"/>
      <c r="M120" s="63"/>
      <c r="N120" s="63"/>
      <c r="O120" s="63"/>
      <c r="P120" s="63"/>
      <c r="Q120" s="63"/>
      <c r="R120" s="63"/>
      <c r="S120" s="63"/>
      <c r="T120" s="63"/>
      <c r="U120" s="63"/>
      <c r="V120" s="63"/>
      <c r="W120" s="63"/>
      <c r="X120" s="63"/>
      <c r="Y120" s="63"/>
      <c r="Z120" s="63"/>
    </row>
    <row r="121" ht="12.0" customHeight="1">
      <c r="A121" s="90"/>
      <c r="B121" s="89"/>
      <c r="C121" s="90"/>
      <c r="D121" s="89"/>
      <c r="E121" s="89"/>
      <c r="F121" s="90"/>
      <c r="G121" s="90"/>
      <c r="H121" s="63"/>
      <c r="I121" s="91"/>
      <c r="J121" s="63"/>
      <c r="K121" s="63"/>
      <c r="L121" s="63"/>
      <c r="M121" s="63"/>
      <c r="N121" s="63"/>
      <c r="O121" s="63"/>
      <c r="P121" s="63"/>
      <c r="Q121" s="63"/>
      <c r="R121" s="63"/>
      <c r="S121" s="63"/>
      <c r="T121" s="63"/>
      <c r="U121" s="63"/>
      <c r="V121" s="63"/>
      <c r="W121" s="63"/>
      <c r="X121" s="63"/>
      <c r="Y121" s="63"/>
      <c r="Z121" s="63"/>
    </row>
    <row r="122" ht="12.0" customHeight="1">
      <c r="A122" s="90"/>
      <c r="B122" s="89"/>
      <c r="C122" s="90"/>
      <c r="D122" s="89"/>
      <c r="E122" s="89"/>
      <c r="F122" s="90"/>
      <c r="G122" s="90"/>
      <c r="H122" s="63"/>
      <c r="I122" s="91"/>
      <c r="J122" s="63"/>
      <c r="K122" s="63"/>
      <c r="L122" s="63"/>
      <c r="M122" s="63"/>
      <c r="N122" s="63"/>
      <c r="O122" s="63"/>
      <c r="P122" s="63"/>
      <c r="Q122" s="63"/>
      <c r="R122" s="63"/>
      <c r="S122" s="63"/>
      <c r="T122" s="63"/>
      <c r="U122" s="63"/>
      <c r="V122" s="63"/>
      <c r="W122" s="63"/>
      <c r="X122" s="63"/>
      <c r="Y122" s="63"/>
      <c r="Z122" s="63"/>
    </row>
    <row r="123" ht="12.0" customHeight="1">
      <c r="A123" s="90"/>
      <c r="B123" s="89"/>
      <c r="C123" s="90"/>
      <c r="D123" s="89"/>
      <c r="E123" s="89"/>
      <c r="F123" s="90"/>
      <c r="G123" s="90"/>
      <c r="H123" s="63"/>
      <c r="I123" s="91"/>
      <c r="J123" s="63"/>
      <c r="K123" s="63"/>
      <c r="L123" s="63"/>
      <c r="M123" s="63"/>
      <c r="N123" s="63"/>
      <c r="O123" s="63"/>
      <c r="P123" s="63"/>
      <c r="Q123" s="63"/>
      <c r="R123" s="63"/>
      <c r="S123" s="63"/>
      <c r="T123" s="63"/>
      <c r="U123" s="63"/>
      <c r="V123" s="63"/>
      <c r="W123" s="63"/>
      <c r="X123" s="63"/>
      <c r="Y123" s="63"/>
      <c r="Z123" s="63"/>
    </row>
    <row r="124" ht="12.0" customHeight="1">
      <c r="A124" s="90"/>
      <c r="B124" s="89"/>
      <c r="C124" s="90"/>
      <c r="D124" s="89"/>
      <c r="E124" s="89"/>
      <c r="F124" s="90"/>
      <c r="G124" s="90"/>
      <c r="H124" s="63"/>
      <c r="I124" s="91"/>
      <c r="J124" s="63"/>
      <c r="K124" s="63"/>
      <c r="L124" s="63"/>
      <c r="M124" s="63"/>
      <c r="N124" s="63"/>
      <c r="O124" s="63"/>
      <c r="P124" s="63"/>
      <c r="Q124" s="63"/>
      <c r="R124" s="63"/>
      <c r="S124" s="63"/>
      <c r="T124" s="63"/>
      <c r="U124" s="63"/>
      <c r="V124" s="63"/>
      <c r="W124" s="63"/>
      <c r="X124" s="63"/>
      <c r="Y124" s="63"/>
      <c r="Z124" s="63"/>
    </row>
    <row r="125" ht="12.0" customHeight="1">
      <c r="A125" s="90"/>
      <c r="B125" s="89"/>
      <c r="C125" s="90"/>
      <c r="D125" s="89"/>
      <c r="E125" s="89"/>
      <c r="F125" s="90"/>
      <c r="G125" s="90"/>
      <c r="H125" s="63"/>
      <c r="I125" s="91"/>
      <c r="J125" s="63"/>
      <c r="K125" s="63"/>
      <c r="L125" s="63"/>
      <c r="M125" s="63"/>
      <c r="N125" s="63"/>
      <c r="O125" s="63"/>
      <c r="P125" s="63"/>
      <c r="Q125" s="63"/>
      <c r="R125" s="63"/>
      <c r="S125" s="63"/>
      <c r="T125" s="63"/>
      <c r="U125" s="63"/>
      <c r="V125" s="63"/>
      <c r="W125" s="63"/>
      <c r="X125" s="63"/>
      <c r="Y125" s="63"/>
      <c r="Z125" s="63"/>
    </row>
    <row r="126" ht="12.0" customHeight="1">
      <c r="A126" s="90"/>
      <c r="B126" s="89"/>
      <c r="C126" s="90"/>
      <c r="D126" s="89"/>
      <c r="E126" s="89"/>
      <c r="F126" s="90"/>
      <c r="G126" s="90"/>
      <c r="H126" s="63"/>
      <c r="I126" s="91"/>
      <c r="J126" s="63"/>
      <c r="K126" s="63"/>
      <c r="L126" s="63"/>
      <c r="M126" s="63"/>
      <c r="N126" s="63"/>
      <c r="O126" s="63"/>
      <c r="P126" s="63"/>
      <c r="Q126" s="63"/>
      <c r="R126" s="63"/>
      <c r="S126" s="63"/>
      <c r="T126" s="63"/>
      <c r="U126" s="63"/>
      <c r="V126" s="63"/>
      <c r="W126" s="63"/>
      <c r="X126" s="63"/>
      <c r="Y126" s="63"/>
      <c r="Z126" s="63"/>
    </row>
    <row r="127" ht="12.0" customHeight="1">
      <c r="A127" s="90"/>
      <c r="B127" s="89"/>
      <c r="C127" s="90"/>
      <c r="D127" s="89"/>
      <c r="E127" s="89"/>
      <c r="F127" s="90"/>
      <c r="G127" s="90"/>
      <c r="H127" s="63"/>
      <c r="I127" s="91"/>
      <c r="J127" s="63"/>
      <c r="K127" s="63"/>
      <c r="L127" s="63"/>
      <c r="M127" s="63"/>
      <c r="N127" s="63"/>
      <c r="O127" s="63"/>
      <c r="P127" s="63"/>
      <c r="Q127" s="63"/>
      <c r="R127" s="63"/>
      <c r="S127" s="63"/>
      <c r="T127" s="63"/>
      <c r="U127" s="63"/>
      <c r="V127" s="63"/>
      <c r="W127" s="63"/>
      <c r="X127" s="63"/>
      <c r="Y127" s="63"/>
      <c r="Z127" s="63"/>
    </row>
    <row r="128" ht="12.0" customHeight="1">
      <c r="A128" s="90"/>
      <c r="B128" s="89"/>
      <c r="C128" s="90"/>
      <c r="D128" s="89"/>
      <c r="E128" s="89"/>
      <c r="F128" s="90"/>
      <c r="G128" s="90"/>
      <c r="H128" s="63"/>
      <c r="I128" s="91"/>
      <c r="J128" s="63"/>
      <c r="K128" s="63"/>
      <c r="L128" s="63"/>
      <c r="M128" s="63"/>
      <c r="N128" s="63"/>
      <c r="O128" s="63"/>
      <c r="P128" s="63"/>
      <c r="Q128" s="63"/>
      <c r="R128" s="63"/>
      <c r="S128" s="63"/>
      <c r="T128" s="63"/>
      <c r="U128" s="63"/>
      <c r="V128" s="63"/>
      <c r="W128" s="63"/>
      <c r="X128" s="63"/>
      <c r="Y128" s="63"/>
      <c r="Z128" s="63"/>
    </row>
    <row r="129" ht="12.0" customHeight="1">
      <c r="A129" s="90"/>
      <c r="B129" s="89"/>
      <c r="C129" s="90"/>
      <c r="D129" s="89"/>
      <c r="E129" s="89"/>
      <c r="F129" s="90"/>
      <c r="G129" s="90"/>
      <c r="H129" s="63"/>
      <c r="I129" s="91"/>
      <c r="J129" s="63"/>
      <c r="K129" s="63"/>
      <c r="L129" s="63"/>
      <c r="M129" s="63"/>
      <c r="N129" s="63"/>
      <c r="O129" s="63"/>
      <c r="P129" s="63"/>
      <c r="Q129" s="63"/>
      <c r="R129" s="63"/>
      <c r="S129" s="63"/>
      <c r="T129" s="63"/>
      <c r="U129" s="63"/>
      <c r="V129" s="63"/>
      <c r="W129" s="63"/>
      <c r="X129" s="63"/>
      <c r="Y129" s="63"/>
      <c r="Z129" s="63"/>
    </row>
    <row r="130" ht="12.0" customHeight="1">
      <c r="A130" s="90"/>
      <c r="B130" s="89"/>
      <c r="C130" s="90"/>
      <c r="D130" s="89"/>
      <c r="E130" s="89"/>
      <c r="F130" s="90"/>
      <c r="G130" s="90"/>
      <c r="H130" s="63"/>
      <c r="I130" s="91"/>
      <c r="J130" s="63"/>
      <c r="K130" s="63"/>
      <c r="L130" s="63"/>
      <c r="M130" s="63"/>
      <c r="N130" s="63"/>
      <c r="O130" s="63"/>
      <c r="P130" s="63"/>
      <c r="Q130" s="63"/>
      <c r="R130" s="63"/>
      <c r="S130" s="63"/>
      <c r="T130" s="63"/>
      <c r="U130" s="63"/>
      <c r="V130" s="63"/>
      <c r="W130" s="63"/>
      <c r="X130" s="63"/>
      <c r="Y130" s="63"/>
      <c r="Z130" s="63"/>
    </row>
    <row r="131" ht="12.0" customHeight="1">
      <c r="A131" s="90"/>
      <c r="B131" s="89"/>
      <c r="C131" s="90"/>
      <c r="D131" s="89"/>
      <c r="E131" s="89"/>
      <c r="F131" s="90"/>
      <c r="G131" s="90"/>
      <c r="H131" s="63"/>
      <c r="I131" s="91"/>
      <c r="J131" s="63"/>
      <c r="K131" s="63"/>
      <c r="L131" s="63"/>
      <c r="M131" s="63"/>
      <c r="N131" s="63"/>
      <c r="O131" s="63"/>
      <c r="P131" s="63"/>
      <c r="Q131" s="63"/>
      <c r="R131" s="63"/>
      <c r="S131" s="63"/>
      <c r="T131" s="63"/>
      <c r="U131" s="63"/>
      <c r="V131" s="63"/>
      <c r="W131" s="63"/>
      <c r="X131" s="63"/>
      <c r="Y131" s="63"/>
      <c r="Z131" s="63"/>
    </row>
    <row r="132" ht="12.0" customHeight="1">
      <c r="A132" s="90"/>
      <c r="B132" s="89"/>
      <c r="C132" s="90"/>
      <c r="D132" s="89"/>
      <c r="E132" s="89"/>
      <c r="F132" s="90"/>
      <c r="G132" s="90"/>
      <c r="H132" s="63"/>
      <c r="I132" s="91"/>
      <c r="J132" s="63"/>
      <c r="K132" s="63"/>
      <c r="L132" s="63"/>
      <c r="M132" s="63"/>
      <c r="N132" s="63"/>
      <c r="O132" s="63"/>
      <c r="P132" s="63"/>
      <c r="Q132" s="63"/>
      <c r="R132" s="63"/>
      <c r="S132" s="63"/>
      <c r="T132" s="63"/>
      <c r="U132" s="63"/>
      <c r="V132" s="63"/>
      <c r="W132" s="63"/>
      <c r="X132" s="63"/>
      <c r="Y132" s="63"/>
      <c r="Z132" s="63"/>
    </row>
    <row r="133" ht="12.0" customHeight="1">
      <c r="A133" s="90"/>
      <c r="B133" s="89"/>
      <c r="C133" s="90"/>
      <c r="D133" s="89"/>
      <c r="E133" s="89"/>
      <c r="F133" s="90"/>
      <c r="G133" s="90"/>
      <c r="H133" s="63"/>
      <c r="I133" s="91"/>
      <c r="J133" s="63"/>
      <c r="K133" s="63"/>
      <c r="L133" s="63"/>
      <c r="M133" s="63"/>
      <c r="N133" s="63"/>
      <c r="O133" s="63"/>
      <c r="P133" s="63"/>
      <c r="Q133" s="63"/>
      <c r="R133" s="63"/>
      <c r="S133" s="63"/>
      <c r="T133" s="63"/>
      <c r="U133" s="63"/>
      <c r="V133" s="63"/>
      <c r="W133" s="63"/>
      <c r="X133" s="63"/>
      <c r="Y133" s="63"/>
      <c r="Z133" s="63"/>
    </row>
    <row r="134" ht="12.0" customHeight="1">
      <c r="A134" s="90"/>
      <c r="B134" s="89"/>
      <c r="C134" s="90"/>
      <c r="D134" s="89"/>
      <c r="E134" s="89"/>
      <c r="F134" s="90"/>
      <c r="G134" s="90"/>
      <c r="H134" s="63"/>
      <c r="I134" s="91"/>
      <c r="J134" s="63"/>
      <c r="K134" s="63"/>
      <c r="L134" s="63"/>
      <c r="M134" s="63"/>
      <c r="N134" s="63"/>
      <c r="O134" s="63"/>
      <c r="P134" s="63"/>
      <c r="Q134" s="63"/>
      <c r="R134" s="63"/>
      <c r="S134" s="63"/>
      <c r="T134" s="63"/>
      <c r="U134" s="63"/>
      <c r="V134" s="63"/>
      <c r="W134" s="63"/>
      <c r="X134" s="63"/>
      <c r="Y134" s="63"/>
      <c r="Z134" s="63"/>
    </row>
    <row r="135" ht="12.0" customHeight="1">
      <c r="A135" s="90"/>
      <c r="B135" s="89"/>
      <c r="C135" s="90"/>
      <c r="D135" s="89"/>
      <c r="E135" s="89"/>
      <c r="F135" s="90"/>
      <c r="G135" s="90"/>
      <c r="H135" s="63"/>
      <c r="I135" s="91"/>
      <c r="J135" s="63"/>
      <c r="K135" s="63"/>
      <c r="L135" s="63"/>
      <c r="M135" s="63"/>
      <c r="N135" s="63"/>
      <c r="O135" s="63"/>
      <c r="P135" s="63"/>
      <c r="Q135" s="63"/>
      <c r="R135" s="63"/>
      <c r="S135" s="63"/>
      <c r="T135" s="63"/>
      <c r="U135" s="63"/>
      <c r="V135" s="63"/>
      <c r="W135" s="63"/>
      <c r="X135" s="63"/>
      <c r="Y135" s="63"/>
      <c r="Z135" s="63"/>
    </row>
    <row r="136" ht="12.0" customHeight="1">
      <c r="A136" s="90"/>
      <c r="B136" s="89"/>
      <c r="C136" s="90"/>
      <c r="D136" s="89"/>
      <c r="E136" s="89"/>
      <c r="F136" s="90"/>
      <c r="G136" s="90"/>
      <c r="H136" s="63"/>
      <c r="I136" s="91"/>
      <c r="J136" s="63"/>
      <c r="K136" s="63"/>
      <c r="L136" s="63"/>
      <c r="M136" s="63"/>
      <c r="N136" s="63"/>
      <c r="O136" s="63"/>
      <c r="P136" s="63"/>
      <c r="Q136" s="63"/>
      <c r="R136" s="63"/>
      <c r="S136" s="63"/>
      <c r="T136" s="63"/>
      <c r="U136" s="63"/>
      <c r="V136" s="63"/>
      <c r="W136" s="63"/>
      <c r="X136" s="63"/>
      <c r="Y136" s="63"/>
      <c r="Z136" s="63"/>
    </row>
    <row r="137" ht="12.0" customHeight="1">
      <c r="A137" s="90"/>
      <c r="B137" s="89"/>
      <c r="C137" s="90"/>
      <c r="D137" s="89"/>
      <c r="E137" s="89"/>
      <c r="F137" s="90"/>
      <c r="G137" s="90"/>
      <c r="H137" s="63"/>
      <c r="I137" s="91"/>
      <c r="J137" s="63"/>
      <c r="K137" s="63"/>
      <c r="L137" s="63"/>
      <c r="M137" s="63"/>
      <c r="N137" s="63"/>
      <c r="O137" s="63"/>
      <c r="P137" s="63"/>
      <c r="Q137" s="63"/>
      <c r="R137" s="63"/>
      <c r="S137" s="63"/>
      <c r="T137" s="63"/>
      <c r="U137" s="63"/>
      <c r="V137" s="63"/>
      <c r="W137" s="63"/>
      <c r="X137" s="63"/>
      <c r="Y137" s="63"/>
      <c r="Z137" s="63"/>
    </row>
    <row r="138" ht="12.0" customHeight="1">
      <c r="A138" s="90"/>
      <c r="B138" s="89"/>
      <c r="C138" s="90"/>
      <c r="D138" s="89"/>
      <c r="E138" s="89"/>
      <c r="F138" s="90"/>
      <c r="G138" s="90"/>
      <c r="H138" s="63"/>
      <c r="I138" s="91"/>
      <c r="J138" s="63"/>
      <c r="K138" s="63"/>
      <c r="L138" s="63"/>
      <c r="M138" s="63"/>
      <c r="N138" s="63"/>
      <c r="O138" s="63"/>
      <c r="P138" s="63"/>
      <c r="Q138" s="63"/>
      <c r="R138" s="63"/>
      <c r="S138" s="63"/>
      <c r="T138" s="63"/>
      <c r="U138" s="63"/>
      <c r="V138" s="63"/>
      <c r="W138" s="63"/>
      <c r="X138" s="63"/>
      <c r="Y138" s="63"/>
      <c r="Z138" s="63"/>
    </row>
    <row r="139" ht="12.0" customHeight="1">
      <c r="A139" s="90"/>
      <c r="B139" s="89"/>
      <c r="C139" s="90"/>
      <c r="D139" s="89"/>
      <c r="E139" s="89"/>
      <c r="F139" s="90"/>
      <c r="G139" s="90"/>
      <c r="H139" s="63"/>
      <c r="I139" s="91"/>
      <c r="J139" s="63"/>
      <c r="K139" s="63"/>
      <c r="L139" s="63"/>
      <c r="M139" s="63"/>
      <c r="N139" s="63"/>
      <c r="O139" s="63"/>
      <c r="P139" s="63"/>
      <c r="Q139" s="63"/>
      <c r="R139" s="63"/>
      <c r="S139" s="63"/>
      <c r="T139" s="63"/>
      <c r="U139" s="63"/>
      <c r="V139" s="63"/>
      <c r="W139" s="63"/>
      <c r="X139" s="63"/>
      <c r="Y139" s="63"/>
      <c r="Z139" s="63"/>
    </row>
    <row r="140" ht="12.0" customHeight="1">
      <c r="A140" s="90"/>
      <c r="B140" s="89"/>
      <c r="C140" s="90"/>
      <c r="D140" s="89"/>
      <c r="E140" s="89"/>
      <c r="F140" s="90"/>
      <c r="G140" s="90"/>
      <c r="H140" s="63"/>
      <c r="I140" s="91"/>
      <c r="J140" s="63"/>
      <c r="K140" s="63"/>
      <c r="L140" s="63"/>
      <c r="M140" s="63"/>
      <c r="N140" s="63"/>
      <c r="O140" s="63"/>
      <c r="P140" s="63"/>
      <c r="Q140" s="63"/>
      <c r="R140" s="63"/>
      <c r="S140" s="63"/>
      <c r="T140" s="63"/>
      <c r="U140" s="63"/>
      <c r="V140" s="63"/>
      <c r="W140" s="63"/>
      <c r="X140" s="63"/>
      <c r="Y140" s="63"/>
      <c r="Z140" s="63"/>
    </row>
    <row r="141" ht="12.0" customHeight="1">
      <c r="A141" s="90"/>
      <c r="B141" s="89"/>
      <c r="C141" s="90"/>
      <c r="D141" s="89"/>
      <c r="E141" s="89"/>
      <c r="F141" s="90"/>
      <c r="G141" s="90"/>
      <c r="H141" s="63"/>
      <c r="I141" s="91"/>
      <c r="J141" s="63"/>
      <c r="K141" s="63"/>
      <c r="L141" s="63"/>
      <c r="M141" s="63"/>
      <c r="N141" s="63"/>
      <c r="O141" s="63"/>
      <c r="P141" s="63"/>
      <c r="Q141" s="63"/>
      <c r="R141" s="63"/>
      <c r="S141" s="63"/>
      <c r="T141" s="63"/>
      <c r="U141" s="63"/>
      <c r="V141" s="63"/>
      <c r="W141" s="63"/>
      <c r="X141" s="63"/>
      <c r="Y141" s="63"/>
      <c r="Z141" s="63"/>
    </row>
    <row r="142" ht="12.0" customHeight="1">
      <c r="A142" s="90"/>
      <c r="B142" s="89"/>
      <c r="C142" s="90"/>
      <c r="D142" s="89"/>
      <c r="E142" s="89"/>
      <c r="F142" s="90"/>
      <c r="G142" s="90"/>
      <c r="H142" s="63"/>
      <c r="I142" s="91"/>
      <c r="J142" s="63"/>
      <c r="K142" s="63"/>
      <c r="L142" s="63"/>
      <c r="M142" s="63"/>
      <c r="N142" s="63"/>
      <c r="O142" s="63"/>
      <c r="P142" s="63"/>
      <c r="Q142" s="63"/>
      <c r="R142" s="63"/>
      <c r="S142" s="63"/>
      <c r="T142" s="63"/>
      <c r="U142" s="63"/>
      <c r="V142" s="63"/>
      <c r="W142" s="63"/>
      <c r="X142" s="63"/>
      <c r="Y142" s="63"/>
      <c r="Z142" s="63"/>
    </row>
    <row r="143" ht="12.0" customHeight="1">
      <c r="A143" s="90"/>
      <c r="B143" s="89"/>
      <c r="C143" s="90"/>
      <c r="D143" s="89"/>
      <c r="E143" s="89"/>
      <c r="F143" s="90"/>
      <c r="G143" s="90"/>
      <c r="H143" s="63"/>
      <c r="I143" s="91"/>
      <c r="J143" s="63"/>
      <c r="K143" s="63"/>
      <c r="L143" s="63"/>
      <c r="M143" s="63"/>
      <c r="N143" s="63"/>
      <c r="O143" s="63"/>
      <c r="P143" s="63"/>
      <c r="Q143" s="63"/>
      <c r="R143" s="63"/>
      <c r="S143" s="63"/>
      <c r="T143" s="63"/>
      <c r="U143" s="63"/>
      <c r="V143" s="63"/>
      <c r="W143" s="63"/>
      <c r="X143" s="63"/>
      <c r="Y143" s="63"/>
      <c r="Z143" s="63"/>
    </row>
    <row r="144" ht="12.0" customHeight="1">
      <c r="A144" s="90"/>
      <c r="B144" s="89"/>
      <c r="C144" s="90"/>
      <c r="D144" s="89"/>
      <c r="E144" s="89"/>
      <c r="F144" s="90"/>
      <c r="G144" s="90"/>
      <c r="H144" s="63"/>
      <c r="I144" s="91"/>
      <c r="J144" s="63"/>
      <c r="K144" s="63"/>
      <c r="L144" s="63"/>
      <c r="M144" s="63"/>
      <c r="N144" s="63"/>
      <c r="O144" s="63"/>
      <c r="P144" s="63"/>
      <c r="Q144" s="63"/>
      <c r="R144" s="63"/>
      <c r="S144" s="63"/>
      <c r="T144" s="63"/>
      <c r="U144" s="63"/>
      <c r="V144" s="63"/>
      <c r="W144" s="63"/>
      <c r="X144" s="63"/>
      <c r="Y144" s="63"/>
      <c r="Z144" s="63"/>
    </row>
    <row r="145" ht="12.0" customHeight="1">
      <c r="A145" s="90"/>
      <c r="B145" s="89"/>
      <c r="C145" s="90"/>
      <c r="D145" s="89"/>
      <c r="E145" s="89"/>
      <c r="F145" s="90"/>
      <c r="G145" s="90"/>
      <c r="H145" s="63"/>
      <c r="I145" s="91"/>
      <c r="J145" s="63"/>
      <c r="K145" s="63"/>
      <c r="L145" s="63"/>
      <c r="M145" s="63"/>
      <c r="N145" s="63"/>
      <c r="O145" s="63"/>
      <c r="P145" s="63"/>
      <c r="Q145" s="63"/>
      <c r="R145" s="63"/>
      <c r="S145" s="63"/>
      <c r="T145" s="63"/>
      <c r="U145" s="63"/>
      <c r="V145" s="63"/>
      <c r="W145" s="63"/>
      <c r="X145" s="63"/>
      <c r="Y145" s="63"/>
      <c r="Z145" s="63"/>
    </row>
    <row r="146" ht="12.0" customHeight="1">
      <c r="A146" s="90"/>
      <c r="B146" s="89"/>
      <c r="C146" s="90"/>
      <c r="D146" s="89"/>
      <c r="E146" s="89"/>
      <c r="F146" s="90"/>
      <c r="G146" s="90"/>
      <c r="H146" s="63"/>
      <c r="I146" s="91"/>
      <c r="J146" s="63"/>
      <c r="K146" s="63"/>
      <c r="L146" s="63"/>
      <c r="M146" s="63"/>
      <c r="N146" s="63"/>
      <c r="O146" s="63"/>
      <c r="P146" s="63"/>
      <c r="Q146" s="63"/>
      <c r="R146" s="63"/>
      <c r="S146" s="63"/>
      <c r="T146" s="63"/>
      <c r="U146" s="63"/>
      <c r="V146" s="63"/>
      <c r="W146" s="63"/>
      <c r="X146" s="63"/>
      <c r="Y146" s="63"/>
      <c r="Z146" s="63"/>
    </row>
    <row r="147" ht="12.0" customHeight="1">
      <c r="A147" s="90"/>
      <c r="B147" s="89"/>
      <c r="C147" s="90"/>
      <c r="D147" s="89"/>
      <c r="E147" s="89"/>
      <c r="F147" s="90"/>
      <c r="G147" s="90"/>
      <c r="H147" s="63"/>
      <c r="I147" s="91"/>
      <c r="J147" s="63"/>
      <c r="K147" s="63"/>
      <c r="L147" s="63"/>
      <c r="M147" s="63"/>
      <c r="N147" s="63"/>
      <c r="O147" s="63"/>
      <c r="P147" s="63"/>
      <c r="Q147" s="63"/>
      <c r="R147" s="63"/>
      <c r="S147" s="63"/>
      <c r="T147" s="63"/>
      <c r="U147" s="63"/>
      <c r="V147" s="63"/>
      <c r="W147" s="63"/>
      <c r="X147" s="63"/>
      <c r="Y147" s="63"/>
      <c r="Z147" s="63"/>
    </row>
    <row r="148" ht="12.0" customHeight="1">
      <c r="A148" s="90"/>
      <c r="B148" s="89"/>
      <c r="C148" s="90"/>
      <c r="D148" s="89"/>
      <c r="E148" s="89"/>
      <c r="F148" s="90"/>
      <c r="G148" s="90"/>
      <c r="H148" s="63"/>
      <c r="I148" s="91"/>
      <c r="J148" s="63"/>
      <c r="K148" s="63"/>
      <c r="L148" s="63"/>
      <c r="M148" s="63"/>
      <c r="N148" s="63"/>
      <c r="O148" s="63"/>
      <c r="P148" s="63"/>
      <c r="Q148" s="63"/>
      <c r="R148" s="63"/>
      <c r="S148" s="63"/>
      <c r="T148" s="63"/>
      <c r="U148" s="63"/>
      <c r="V148" s="63"/>
      <c r="W148" s="63"/>
      <c r="X148" s="63"/>
      <c r="Y148" s="63"/>
      <c r="Z148" s="63"/>
    </row>
    <row r="149" ht="12.0" customHeight="1">
      <c r="A149" s="90"/>
      <c r="B149" s="89"/>
      <c r="C149" s="90"/>
      <c r="D149" s="89"/>
      <c r="E149" s="89"/>
      <c r="F149" s="90"/>
      <c r="G149" s="90"/>
      <c r="H149" s="63"/>
      <c r="I149" s="91"/>
      <c r="J149" s="63"/>
      <c r="K149" s="63"/>
      <c r="L149" s="63"/>
      <c r="M149" s="63"/>
      <c r="N149" s="63"/>
      <c r="O149" s="63"/>
      <c r="P149" s="63"/>
      <c r="Q149" s="63"/>
      <c r="R149" s="63"/>
      <c r="S149" s="63"/>
      <c r="T149" s="63"/>
      <c r="U149" s="63"/>
      <c r="V149" s="63"/>
      <c r="W149" s="63"/>
      <c r="X149" s="63"/>
      <c r="Y149" s="63"/>
      <c r="Z149" s="63"/>
    </row>
    <row r="150" ht="12.0" customHeight="1">
      <c r="A150" s="90"/>
      <c r="B150" s="89"/>
      <c r="C150" s="90"/>
      <c r="D150" s="89"/>
      <c r="E150" s="89"/>
      <c r="F150" s="90"/>
      <c r="G150" s="90"/>
      <c r="H150" s="63"/>
      <c r="I150" s="91"/>
      <c r="J150" s="63"/>
      <c r="K150" s="63"/>
      <c r="L150" s="63"/>
      <c r="M150" s="63"/>
      <c r="N150" s="63"/>
      <c r="O150" s="63"/>
      <c r="P150" s="63"/>
      <c r="Q150" s="63"/>
      <c r="R150" s="63"/>
      <c r="S150" s="63"/>
      <c r="T150" s="63"/>
      <c r="U150" s="63"/>
      <c r="V150" s="63"/>
      <c r="W150" s="63"/>
      <c r="X150" s="63"/>
      <c r="Y150" s="63"/>
      <c r="Z150" s="63"/>
    </row>
    <row r="151" ht="12.0" customHeight="1">
      <c r="A151" s="90"/>
      <c r="B151" s="89"/>
      <c r="C151" s="90"/>
      <c r="D151" s="89"/>
      <c r="E151" s="89"/>
      <c r="F151" s="90"/>
      <c r="G151" s="90"/>
      <c r="H151" s="63"/>
      <c r="I151" s="91"/>
      <c r="J151" s="63"/>
      <c r="K151" s="63"/>
      <c r="L151" s="63"/>
      <c r="M151" s="63"/>
      <c r="N151" s="63"/>
      <c r="O151" s="63"/>
      <c r="P151" s="63"/>
      <c r="Q151" s="63"/>
      <c r="R151" s="63"/>
      <c r="S151" s="63"/>
      <c r="T151" s="63"/>
      <c r="U151" s="63"/>
      <c r="V151" s="63"/>
      <c r="W151" s="63"/>
      <c r="X151" s="63"/>
      <c r="Y151" s="63"/>
      <c r="Z151" s="63"/>
    </row>
    <row r="152" ht="12.0" customHeight="1">
      <c r="A152" s="90"/>
      <c r="B152" s="89"/>
      <c r="C152" s="90"/>
      <c r="D152" s="89"/>
      <c r="E152" s="89"/>
      <c r="F152" s="90"/>
      <c r="G152" s="90"/>
      <c r="H152" s="63"/>
      <c r="I152" s="91"/>
      <c r="J152" s="63"/>
      <c r="K152" s="63"/>
      <c r="L152" s="63"/>
      <c r="M152" s="63"/>
      <c r="N152" s="63"/>
      <c r="O152" s="63"/>
      <c r="P152" s="63"/>
      <c r="Q152" s="63"/>
      <c r="R152" s="63"/>
      <c r="S152" s="63"/>
      <c r="T152" s="63"/>
      <c r="U152" s="63"/>
      <c r="V152" s="63"/>
      <c r="W152" s="63"/>
      <c r="X152" s="63"/>
      <c r="Y152" s="63"/>
      <c r="Z152" s="63"/>
    </row>
    <row r="153" ht="12.0" customHeight="1">
      <c r="A153" s="90"/>
      <c r="B153" s="89"/>
      <c r="C153" s="90"/>
      <c r="D153" s="89"/>
      <c r="E153" s="89"/>
      <c r="F153" s="90"/>
      <c r="G153" s="90"/>
      <c r="H153" s="63"/>
      <c r="I153" s="91"/>
      <c r="J153" s="63"/>
      <c r="K153" s="63"/>
      <c r="L153" s="63"/>
      <c r="M153" s="63"/>
      <c r="N153" s="63"/>
      <c r="O153" s="63"/>
      <c r="P153" s="63"/>
      <c r="Q153" s="63"/>
      <c r="R153" s="63"/>
      <c r="S153" s="63"/>
      <c r="T153" s="63"/>
      <c r="U153" s="63"/>
      <c r="V153" s="63"/>
      <c r="W153" s="63"/>
      <c r="X153" s="63"/>
      <c r="Y153" s="63"/>
      <c r="Z153" s="63"/>
    </row>
    <row r="154" ht="12.0" customHeight="1">
      <c r="A154" s="90"/>
      <c r="B154" s="89"/>
      <c r="C154" s="90"/>
      <c r="D154" s="89"/>
      <c r="E154" s="89"/>
      <c r="F154" s="90"/>
      <c r="G154" s="90"/>
      <c r="H154" s="63"/>
      <c r="I154" s="91"/>
      <c r="J154" s="63"/>
      <c r="K154" s="63"/>
      <c r="L154" s="63"/>
      <c r="M154" s="63"/>
      <c r="N154" s="63"/>
      <c r="O154" s="63"/>
      <c r="P154" s="63"/>
      <c r="Q154" s="63"/>
      <c r="R154" s="63"/>
      <c r="S154" s="63"/>
      <c r="T154" s="63"/>
      <c r="U154" s="63"/>
      <c r="V154" s="63"/>
      <c r="W154" s="63"/>
      <c r="X154" s="63"/>
      <c r="Y154" s="63"/>
      <c r="Z154" s="63"/>
    </row>
    <row r="155" ht="12.0" customHeight="1">
      <c r="A155" s="90"/>
      <c r="B155" s="89"/>
      <c r="C155" s="90"/>
      <c r="D155" s="89"/>
      <c r="E155" s="89"/>
      <c r="F155" s="90"/>
      <c r="G155" s="90"/>
      <c r="H155" s="63"/>
      <c r="I155" s="91"/>
      <c r="J155" s="63"/>
      <c r="K155" s="63"/>
      <c r="L155" s="63"/>
      <c r="M155" s="63"/>
      <c r="N155" s="63"/>
      <c r="O155" s="63"/>
      <c r="P155" s="63"/>
      <c r="Q155" s="63"/>
      <c r="R155" s="63"/>
      <c r="S155" s="63"/>
      <c r="T155" s="63"/>
      <c r="U155" s="63"/>
      <c r="V155" s="63"/>
      <c r="W155" s="63"/>
      <c r="X155" s="63"/>
      <c r="Y155" s="63"/>
      <c r="Z155" s="63"/>
    </row>
    <row r="156" ht="12.0" customHeight="1">
      <c r="A156" s="90"/>
      <c r="B156" s="89"/>
      <c r="C156" s="90"/>
      <c r="D156" s="89"/>
      <c r="E156" s="89"/>
      <c r="F156" s="90"/>
      <c r="G156" s="90"/>
      <c r="H156" s="63"/>
      <c r="I156" s="91"/>
      <c r="J156" s="63"/>
      <c r="K156" s="63"/>
      <c r="L156" s="63"/>
      <c r="M156" s="63"/>
      <c r="N156" s="63"/>
      <c r="O156" s="63"/>
      <c r="P156" s="63"/>
      <c r="Q156" s="63"/>
      <c r="R156" s="63"/>
      <c r="S156" s="63"/>
      <c r="T156" s="63"/>
      <c r="U156" s="63"/>
      <c r="V156" s="63"/>
      <c r="W156" s="63"/>
      <c r="X156" s="63"/>
      <c r="Y156" s="63"/>
      <c r="Z156" s="63"/>
    </row>
    <row r="157" ht="12.0" customHeight="1">
      <c r="A157" s="90"/>
      <c r="B157" s="89"/>
      <c r="C157" s="90"/>
      <c r="D157" s="89"/>
      <c r="E157" s="89"/>
      <c r="F157" s="90"/>
      <c r="G157" s="90"/>
      <c r="H157" s="63"/>
      <c r="I157" s="91"/>
      <c r="J157" s="63"/>
      <c r="K157" s="63"/>
      <c r="L157" s="63"/>
      <c r="M157" s="63"/>
      <c r="N157" s="63"/>
      <c r="O157" s="63"/>
      <c r="P157" s="63"/>
      <c r="Q157" s="63"/>
      <c r="R157" s="63"/>
      <c r="S157" s="63"/>
      <c r="T157" s="63"/>
      <c r="U157" s="63"/>
      <c r="V157" s="63"/>
      <c r="W157" s="63"/>
      <c r="X157" s="63"/>
      <c r="Y157" s="63"/>
      <c r="Z157" s="63"/>
    </row>
    <row r="158" ht="12.0" customHeight="1">
      <c r="A158" s="90"/>
      <c r="B158" s="89"/>
      <c r="C158" s="90"/>
      <c r="D158" s="89"/>
      <c r="E158" s="89"/>
      <c r="F158" s="90"/>
      <c r="G158" s="90"/>
      <c r="H158" s="63"/>
      <c r="I158" s="91"/>
      <c r="J158" s="63"/>
      <c r="K158" s="63"/>
      <c r="L158" s="63"/>
      <c r="M158" s="63"/>
      <c r="N158" s="63"/>
      <c r="O158" s="63"/>
      <c r="P158" s="63"/>
      <c r="Q158" s="63"/>
      <c r="R158" s="63"/>
      <c r="S158" s="63"/>
      <c r="T158" s="63"/>
      <c r="U158" s="63"/>
      <c r="V158" s="63"/>
      <c r="W158" s="63"/>
      <c r="X158" s="63"/>
      <c r="Y158" s="63"/>
      <c r="Z158" s="63"/>
    </row>
    <row r="159" ht="12.0" customHeight="1">
      <c r="A159" s="90"/>
      <c r="B159" s="89"/>
      <c r="C159" s="90"/>
      <c r="D159" s="89"/>
      <c r="E159" s="89"/>
      <c r="F159" s="90"/>
      <c r="G159" s="90"/>
      <c r="H159" s="63"/>
      <c r="I159" s="91"/>
      <c r="J159" s="63"/>
      <c r="K159" s="63"/>
      <c r="L159" s="63"/>
      <c r="M159" s="63"/>
      <c r="N159" s="63"/>
      <c r="O159" s="63"/>
      <c r="P159" s="63"/>
      <c r="Q159" s="63"/>
      <c r="R159" s="63"/>
      <c r="S159" s="63"/>
      <c r="T159" s="63"/>
      <c r="U159" s="63"/>
      <c r="V159" s="63"/>
      <c r="W159" s="63"/>
      <c r="X159" s="63"/>
      <c r="Y159" s="63"/>
      <c r="Z159" s="63"/>
    </row>
    <row r="160" ht="12.0" customHeight="1">
      <c r="A160" s="90"/>
      <c r="B160" s="89"/>
      <c r="C160" s="90"/>
      <c r="D160" s="89"/>
      <c r="E160" s="89"/>
      <c r="F160" s="90"/>
      <c r="G160" s="90"/>
      <c r="H160" s="63"/>
      <c r="I160" s="91"/>
      <c r="J160" s="63"/>
      <c r="K160" s="63"/>
      <c r="L160" s="63"/>
      <c r="M160" s="63"/>
      <c r="N160" s="63"/>
      <c r="O160" s="63"/>
      <c r="P160" s="63"/>
      <c r="Q160" s="63"/>
      <c r="R160" s="63"/>
      <c r="S160" s="63"/>
      <c r="T160" s="63"/>
      <c r="U160" s="63"/>
      <c r="V160" s="63"/>
      <c r="W160" s="63"/>
      <c r="X160" s="63"/>
      <c r="Y160" s="63"/>
      <c r="Z160" s="63"/>
    </row>
    <row r="161" ht="12.0" customHeight="1">
      <c r="A161" s="90"/>
      <c r="B161" s="89"/>
      <c r="C161" s="90"/>
      <c r="D161" s="89"/>
      <c r="E161" s="89"/>
      <c r="F161" s="90"/>
      <c r="G161" s="90"/>
      <c r="H161" s="63"/>
      <c r="I161" s="91"/>
      <c r="J161" s="63"/>
      <c r="K161" s="63"/>
      <c r="L161" s="63"/>
      <c r="M161" s="63"/>
      <c r="N161" s="63"/>
      <c r="O161" s="63"/>
      <c r="P161" s="63"/>
      <c r="Q161" s="63"/>
      <c r="R161" s="63"/>
      <c r="S161" s="63"/>
      <c r="T161" s="63"/>
      <c r="U161" s="63"/>
      <c r="V161" s="63"/>
      <c r="W161" s="63"/>
      <c r="X161" s="63"/>
      <c r="Y161" s="63"/>
      <c r="Z161" s="63"/>
    </row>
    <row r="162" ht="12.0" customHeight="1">
      <c r="A162" s="90"/>
      <c r="B162" s="89"/>
      <c r="C162" s="90"/>
      <c r="D162" s="89"/>
      <c r="E162" s="89"/>
      <c r="F162" s="90"/>
      <c r="G162" s="90"/>
      <c r="H162" s="63"/>
      <c r="I162" s="91"/>
      <c r="J162" s="63"/>
      <c r="K162" s="63"/>
      <c r="L162" s="63"/>
      <c r="M162" s="63"/>
      <c r="N162" s="63"/>
      <c r="O162" s="63"/>
      <c r="P162" s="63"/>
      <c r="Q162" s="63"/>
      <c r="R162" s="63"/>
      <c r="S162" s="63"/>
      <c r="T162" s="63"/>
      <c r="U162" s="63"/>
      <c r="V162" s="63"/>
      <c r="W162" s="63"/>
      <c r="X162" s="63"/>
      <c r="Y162" s="63"/>
      <c r="Z162" s="63"/>
    </row>
    <row r="163" ht="12.0" customHeight="1">
      <c r="A163" s="90"/>
      <c r="B163" s="89"/>
      <c r="C163" s="90"/>
      <c r="D163" s="89"/>
      <c r="E163" s="89"/>
      <c r="F163" s="90"/>
      <c r="G163" s="90"/>
      <c r="H163" s="63"/>
      <c r="I163" s="91"/>
      <c r="J163" s="63"/>
      <c r="K163" s="63"/>
      <c r="L163" s="63"/>
      <c r="M163" s="63"/>
      <c r="N163" s="63"/>
      <c r="O163" s="63"/>
      <c r="P163" s="63"/>
      <c r="Q163" s="63"/>
      <c r="R163" s="63"/>
      <c r="S163" s="63"/>
      <c r="T163" s="63"/>
      <c r="U163" s="63"/>
      <c r="V163" s="63"/>
      <c r="W163" s="63"/>
      <c r="X163" s="63"/>
      <c r="Y163" s="63"/>
      <c r="Z163" s="63"/>
    </row>
    <row r="164" ht="12.0" customHeight="1">
      <c r="A164" s="90"/>
      <c r="B164" s="89"/>
      <c r="C164" s="90"/>
      <c r="D164" s="89"/>
      <c r="E164" s="89"/>
      <c r="F164" s="90"/>
      <c r="G164" s="90"/>
      <c r="H164" s="63"/>
      <c r="I164" s="91"/>
      <c r="J164" s="63"/>
      <c r="K164" s="63"/>
      <c r="L164" s="63"/>
      <c r="M164" s="63"/>
      <c r="N164" s="63"/>
      <c r="O164" s="63"/>
      <c r="P164" s="63"/>
      <c r="Q164" s="63"/>
      <c r="R164" s="63"/>
      <c r="S164" s="63"/>
      <c r="T164" s="63"/>
      <c r="U164" s="63"/>
      <c r="V164" s="63"/>
      <c r="W164" s="63"/>
      <c r="X164" s="63"/>
      <c r="Y164" s="63"/>
      <c r="Z164" s="63"/>
    </row>
    <row r="165" ht="12.0" customHeight="1">
      <c r="A165" s="90"/>
      <c r="B165" s="89"/>
      <c r="C165" s="90"/>
      <c r="D165" s="89"/>
      <c r="E165" s="89"/>
      <c r="F165" s="90"/>
      <c r="G165" s="90"/>
      <c r="H165" s="63"/>
      <c r="I165" s="91"/>
      <c r="J165" s="63"/>
      <c r="K165" s="63"/>
      <c r="L165" s="63"/>
      <c r="M165" s="63"/>
      <c r="N165" s="63"/>
      <c r="O165" s="63"/>
      <c r="P165" s="63"/>
      <c r="Q165" s="63"/>
      <c r="R165" s="63"/>
      <c r="S165" s="63"/>
      <c r="T165" s="63"/>
      <c r="U165" s="63"/>
      <c r="V165" s="63"/>
      <c r="W165" s="63"/>
      <c r="X165" s="63"/>
      <c r="Y165" s="63"/>
      <c r="Z165" s="63"/>
    </row>
    <row r="166" ht="12.0" customHeight="1">
      <c r="A166" s="90"/>
      <c r="B166" s="89"/>
      <c r="C166" s="90"/>
      <c r="D166" s="89"/>
      <c r="E166" s="89"/>
      <c r="F166" s="90"/>
      <c r="G166" s="90"/>
      <c r="H166" s="63"/>
      <c r="I166" s="91"/>
      <c r="J166" s="63"/>
      <c r="K166" s="63"/>
      <c r="L166" s="63"/>
      <c r="M166" s="63"/>
      <c r="N166" s="63"/>
      <c r="O166" s="63"/>
      <c r="P166" s="63"/>
      <c r="Q166" s="63"/>
      <c r="R166" s="63"/>
      <c r="S166" s="63"/>
      <c r="T166" s="63"/>
      <c r="U166" s="63"/>
      <c r="V166" s="63"/>
      <c r="W166" s="63"/>
      <c r="X166" s="63"/>
      <c r="Y166" s="63"/>
      <c r="Z166" s="63"/>
    </row>
    <row r="167" ht="12.0" customHeight="1">
      <c r="A167" s="90"/>
      <c r="B167" s="89"/>
      <c r="C167" s="90"/>
      <c r="D167" s="89"/>
      <c r="E167" s="89"/>
      <c r="F167" s="90"/>
      <c r="G167" s="90"/>
      <c r="H167" s="63"/>
      <c r="I167" s="91"/>
      <c r="J167" s="63"/>
      <c r="K167" s="63"/>
      <c r="L167" s="63"/>
      <c r="M167" s="63"/>
      <c r="N167" s="63"/>
      <c r="O167" s="63"/>
      <c r="P167" s="63"/>
      <c r="Q167" s="63"/>
      <c r="R167" s="63"/>
      <c r="S167" s="63"/>
      <c r="T167" s="63"/>
      <c r="U167" s="63"/>
      <c r="V167" s="63"/>
      <c r="W167" s="63"/>
      <c r="X167" s="63"/>
      <c r="Y167" s="63"/>
      <c r="Z167" s="63"/>
    </row>
    <row r="168" ht="12.0" customHeight="1">
      <c r="A168" s="90"/>
      <c r="B168" s="89"/>
      <c r="C168" s="90"/>
      <c r="D168" s="89"/>
      <c r="E168" s="89"/>
      <c r="F168" s="90"/>
      <c r="G168" s="90"/>
      <c r="H168" s="63"/>
      <c r="I168" s="91"/>
      <c r="J168" s="63"/>
      <c r="K168" s="63"/>
      <c r="L168" s="63"/>
      <c r="M168" s="63"/>
      <c r="N168" s="63"/>
      <c r="O168" s="63"/>
      <c r="P168" s="63"/>
      <c r="Q168" s="63"/>
      <c r="R168" s="63"/>
      <c r="S168" s="63"/>
      <c r="T168" s="63"/>
      <c r="U168" s="63"/>
      <c r="V168" s="63"/>
      <c r="W168" s="63"/>
      <c r="X168" s="63"/>
      <c r="Y168" s="63"/>
      <c r="Z168" s="63"/>
    </row>
    <row r="169" ht="12.0" customHeight="1">
      <c r="A169" s="90"/>
      <c r="B169" s="89"/>
      <c r="C169" s="90"/>
      <c r="D169" s="89"/>
      <c r="E169" s="89"/>
      <c r="F169" s="90"/>
      <c r="G169" s="90"/>
      <c r="H169" s="63"/>
      <c r="I169" s="91"/>
      <c r="J169" s="63"/>
      <c r="K169" s="63"/>
      <c r="L169" s="63"/>
      <c r="M169" s="63"/>
      <c r="N169" s="63"/>
      <c r="O169" s="63"/>
      <c r="P169" s="63"/>
      <c r="Q169" s="63"/>
      <c r="R169" s="63"/>
      <c r="S169" s="63"/>
      <c r="T169" s="63"/>
      <c r="U169" s="63"/>
      <c r="V169" s="63"/>
      <c r="W169" s="63"/>
      <c r="X169" s="63"/>
      <c r="Y169" s="63"/>
      <c r="Z169" s="63"/>
    </row>
    <row r="170" ht="12.0" customHeight="1">
      <c r="A170" s="90"/>
      <c r="B170" s="89"/>
      <c r="C170" s="90"/>
      <c r="D170" s="89"/>
      <c r="E170" s="89"/>
      <c r="F170" s="90"/>
      <c r="G170" s="90"/>
      <c r="H170" s="63"/>
      <c r="I170" s="91"/>
      <c r="J170" s="63"/>
      <c r="K170" s="63"/>
      <c r="L170" s="63"/>
      <c r="M170" s="63"/>
      <c r="N170" s="63"/>
      <c r="O170" s="63"/>
      <c r="P170" s="63"/>
      <c r="Q170" s="63"/>
      <c r="R170" s="63"/>
      <c r="S170" s="63"/>
      <c r="T170" s="63"/>
      <c r="U170" s="63"/>
      <c r="V170" s="63"/>
      <c r="W170" s="63"/>
      <c r="X170" s="63"/>
      <c r="Y170" s="63"/>
      <c r="Z170" s="63"/>
    </row>
    <row r="171" ht="12.0" customHeight="1">
      <c r="A171" s="90"/>
      <c r="B171" s="89"/>
      <c r="C171" s="90"/>
      <c r="D171" s="89"/>
      <c r="E171" s="89"/>
      <c r="F171" s="90"/>
      <c r="G171" s="90"/>
      <c r="H171" s="63"/>
      <c r="I171" s="91"/>
      <c r="J171" s="63"/>
      <c r="K171" s="63"/>
      <c r="L171" s="63"/>
      <c r="M171" s="63"/>
      <c r="N171" s="63"/>
      <c r="O171" s="63"/>
      <c r="P171" s="63"/>
      <c r="Q171" s="63"/>
      <c r="R171" s="63"/>
      <c r="S171" s="63"/>
      <c r="T171" s="63"/>
      <c r="U171" s="63"/>
      <c r="V171" s="63"/>
      <c r="W171" s="63"/>
      <c r="X171" s="63"/>
      <c r="Y171" s="63"/>
      <c r="Z171" s="63"/>
    </row>
    <row r="172" ht="12.0" customHeight="1">
      <c r="A172" s="90"/>
      <c r="B172" s="89"/>
      <c r="C172" s="90"/>
      <c r="D172" s="89"/>
      <c r="E172" s="89"/>
      <c r="F172" s="90"/>
      <c r="G172" s="90"/>
      <c r="H172" s="63"/>
      <c r="I172" s="91"/>
      <c r="J172" s="63"/>
      <c r="K172" s="63"/>
      <c r="L172" s="63"/>
      <c r="M172" s="63"/>
      <c r="N172" s="63"/>
      <c r="O172" s="63"/>
      <c r="P172" s="63"/>
      <c r="Q172" s="63"/>
      <c r="R172" s="63"/>
      <c r="S172" s="63"/>
      <c r="T172" s="63"/>
      <c r="U172" s="63"/>
      <c r="V172" s="63"/>
      <c r="W172" s="63"/>
      <c r="X172" s="63"/>
      <c r="Y172" s="63"/>
      <c r="Z172" s="63"/>
    </row>
    <row r="173" ht="12.0" customHeight="1">
      <c r="A173" s="90"/>
      <c r="B173" s="89"/>
      <c r="C173" s="90"/>
      <c r="D173" s="89"/>
      <c r="E173" s="89"/>
      <c r="F173" s="90"/>
      <c r="G173" s="90"/>
      <c r="H173" s="63"/>
      <c r="I173" s="91"/>
      <c r="J173" s="63"/>
      <c r="K173" s="63"/>
      <c r="L173" s="63"/>
      <c r="M173" s="63"/>
      <c r="N173" s="63"/>
      <c r="O173" s="63"/>
      <c r="P173" s="63"/>
      <c r="Q173" s="63"/>
      <c r="R173" s="63"/>
      <c r="S173" s="63"/>
      <c r="T173" s="63"/>
      <c r="U173" s="63"/>
      <c r="V173" s="63"/>
      <c r="W173" s="63"/>
      <c r="X173" s="63"/>
      <c r="Y173" s="63"/>
      <c r="Z173" s="63"/>
    </row>
    <row r="174" ht="12.0" customHeight="1">
      <c r="A174" s="90"/>
      <c r="B174" s="89"/>
      <c r="C174" s="90"/>
      <c r="D174" s="89"/>
      <c r="E174" s="89"/>
      <c r="F174" s="90"/>
      <c r="G174" s="90"/>
      <c r="H174" s="63"/>
      <c r="I174" s="91"/>
      <c r="J174" s="63"/>
      <c r="K174" s="63"/>
      <c r="L174" s="63"/>
      <c r="M174" s="63"/>
      <c r="N174" s="63"/>
      <c r="O174" s="63"/>
      <c r="P174" s="63"/>
      <c r="Q174" s="63"/>
      <c r="R174" s="63"/>
      <c r="S174" s="63"/>
      <c r="T174" s="63"/>
      <c r="U174" s="63"/>
      <c r="V174" s="63"/>
      <c r="W174" s="63"/>
      <c r="X174" s="63"/>
      <c r="Y174" s="63"/>
      <c r="Z174" s="63"/>
    </row>
    <row r="175" ht="12.0" customHeight="1">
      <c r="A175" s="90"/>
      <c r="B175" s="89"/>
      <c r="C175" s="90"/>
      <c r="D175" s="89"/>
      <c r="E175" s="89"/>
      <c r="F175" s="90"/>
      <c r="G175" s="90"/>
      <c r="H175" s="63"/>
      <c r="I175" s="91"/>
      <c r="J175" s="63"/>
      <c r="K175" s="63"/>
      <c r="L175" s="63"/>
      <c r="M175" s="63"/>
      <c r="N175" s="63"/>
      <c r="O175" s="63"/>
      <c r="P175" s="63"/>
      <c r="Q175" s="63"/>
      <c r="R175" s="63"/>
      <c r="S175" s="63"/>
      <c r="T175" s="63"/>
      <c r="U175" s="63"/>
      <c r="V175" s="63"/>
      <c r="W175" s="63"/>
      <c r="X175" s="63"/>
      <c r="Y175" s="63"/>
      <c r="Z175" s="63"/>
    </row>
    <row r="176" ht="12.0" customHeight="1">
      <c r="A176" s="90"/>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90"/>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90"/>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90"/>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90"/>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90"/>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90"/>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90"/>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90"/>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90"/>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90"/>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90"/>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90"/>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90"/>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90"/>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90"/>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90"/>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90"/>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90"/>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90"/>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90"/>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90"/>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90"/>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90"/>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90"/>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90"/>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90"/>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90"/>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90"/>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90"/>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90"/>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90"/>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90"/>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90"/>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90"/>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90"/>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90"/>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90"/>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90"/>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90"/>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90"/>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90"/>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90"/>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90"/>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90"/>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90"/>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90"/>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90"/>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90"/>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90"/>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90"/>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90"/>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90"/>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90"/>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90"/>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90"/>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90"/>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90"/>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90"/>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90"/>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90"/>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90"/>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90"/>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90"/>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90"/>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90"/>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90"/>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90"/>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90"/>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90"/>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90"/>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90"/>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90"/>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90"/>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90"/>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90"/>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90"/>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90"/>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90"/>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90"/>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90"/>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90"/>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90"/>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90"/>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90"/>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90"/>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90"/>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90"/>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90"/>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90"/>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90"/>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90"/>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90"/>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90"/>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90"/>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90"/>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90"/>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90"/>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90"/>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90"/>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90"/>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90"/>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90"/>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90"/>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90"/>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90"/>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90"/>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90"/>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90"/>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90"/>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90"/>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90"/>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90"/>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90"/>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90"/>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90"/>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90"/>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90"/>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90"/>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90"/>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90"/>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90"/>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90"/>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90"/>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90"/>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90"/>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90"/>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90"/>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90"/>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90"/>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90"/>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90"/>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90"/>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90"/>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90"/>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90"/>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90"/>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90"/>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90"/>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90"/>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90"/>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90"/>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90"/>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90"/>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90"/>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90"/>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90"/>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90"/>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90"/>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90"/>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90"/>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90"/>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90"/>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90"/>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90"/>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90"/>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90"/>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90"/>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90"/>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90"/>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90"/>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90"/>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90"/>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90"/>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90"/>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90"/>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90"/>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90"/>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90"/>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90"/>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90"/>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90"/>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90"/>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90"/>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90"/>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90"/>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90"/>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90"/>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90"/>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90"/>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90"/>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90"/>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90"/>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90"/>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90"/>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90"/>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90"/>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90"/>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90"/>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90"/>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90"/>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90"/>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90"/>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90"/>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90"/>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90"/>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90"/>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90"/>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90"/>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90"/>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90"/>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90"/>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90"/>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90"/>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90"/>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90"/>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90"/>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90"/>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90"/>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90"/>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90"/>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90"/>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90"/>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90"/>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90"/>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90"/>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90"/>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90"/>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90"/>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90"/>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90"/>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90"/>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90"/>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90"/>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90"/>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90"/>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90"/>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90"/>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90"/>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90"/>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90"/>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90"/>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90"/>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90"/>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90"/>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90"/>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90"/>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90"/>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90"/>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90"/>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90"/>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90"/>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90"/>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90"/>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90"/>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90"/>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90"/>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90"/>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90"/>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90"/>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90"/>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90"/>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90"/>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90"/>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90"/>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90"/>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90"/>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90"/>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90"/>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90"/>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90"/>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90"/>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90"/>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90"/>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90"/>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90"/>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90"/>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90"/>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90"/>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90"/>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90"/>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90"/>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90"/>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90"/>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90"/>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90"/>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90"/>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90"/>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90"/>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90"/>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90"/>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90"/>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90"/>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90"/>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90"/>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90"/>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90"/>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90"/>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90"/>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90"/>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90"/>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90"/>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90"/>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90"/>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90"/>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90"/>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90"/>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90"/>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90"/>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90"/>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90"/>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90"/>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90"/>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90"/>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90"/>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90"/>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90"/>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90"/>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90"/>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90"/>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90"/>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90"/>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90"/>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90"/>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90"/>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90"/>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90"/>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90"/>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90"/>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90"/>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90"/>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90"/>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90"/>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90"/>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90"/>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90"/>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90"/>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90"/>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90"/>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90"/>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90"/>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90"/>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90"/>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90"/>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90"/>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90"/>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90"/>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90"/>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90"/>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90"/>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90"/>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90"/>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90"/>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90"/>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90"/>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90"/>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90"/>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90"/>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90"/>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90"/>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90"/>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90"/>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90"/>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90"/>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90"/>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90"/>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90"/>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90"/>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90"/>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90"/>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90"/>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90"/>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90"/>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90"/>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90"/>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90"/>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90"/>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90"/>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90"/>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90"/>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90"/>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90"/>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90"/>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90"/>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90"/>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90"/>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90"/>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90"/>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90"/>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90"/>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90"/>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90"/>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90"/>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90"/>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90"/>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90"/>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90"/>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90"/>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90"/>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90"/>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90"/>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90"/>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90"/>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90"/>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90"/>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90"/>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90"/>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90"/>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90"/>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90"/>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90"/>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90"/>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90"/>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90"/>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90"/>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90"/>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90"/>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90"/>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90"/>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90"/>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90"/>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90"/>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90"/>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90"/>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90"/>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90"/>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90"/>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90"/>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90"/>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90"/>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90"/>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90"/>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90"/>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90"/>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90"/>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90"/>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90"/>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90"/>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90"/>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90"/>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90"/>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90"/>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90"/>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90"/>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90"/>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90"/>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90"/>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90"/>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90"/>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90"/>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90"/>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90"/>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90"/>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90"/>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90"/>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90"/>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90"/>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90"/>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90"/>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90"/>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90"/>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90"/>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90"/>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90"/>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90"/>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90"/>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90"/>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90"/>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90"/>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90"/>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90"/>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90"/>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90"/>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90"/>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90"/>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90"/>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90"/>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90"/>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90"/>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90"/>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90"/>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90"/>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90"/>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90"/>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90"/>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90"/>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90"/>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90"/>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90"/>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90"/>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90"/>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90"/>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90"/>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90"/>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90"/>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90"/>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90"/>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90"/>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90"/>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90"/>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90"/>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90"/>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90"/>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90"/>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90"/>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90"/>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90"/>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90"/>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90"/>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90"/>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90"/>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90"/>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90"/>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90"/>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90"/>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90"/>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90"/>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90"/>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90"/>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90"/>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90"/>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90"/>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90"/>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90"/>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90"/>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90"/>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90"/>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90"/>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90"/>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90"/>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90"/>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90"/>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90"/>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90"/>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90"/>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90"/>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90"/>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90"/>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90"/>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90"/>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90"/>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90"/>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90"/>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90"/>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90"/>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90"/>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90"/>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90"/>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90"/>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90"/>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90"/>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90"/>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90"/>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90"/>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90"/>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90"/>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90"/>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90"/>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90"/>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90"/>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90"/>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90"/>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90"/>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90"/>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90"/>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90"/>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90"/>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90"/>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90"/>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90"/>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90"/>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90"/>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90"/>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90"/>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90"/>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90"/>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90"/>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90"/>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90"/>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90"/>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90"/>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90"/>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90"/>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90"/>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90"/>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90"/>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90"/>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90"/>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90"/>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90"/>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90"/>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90"/>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90"/>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90"/>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90"/>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90"/>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90"/>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90"/>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90"/>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90"/>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90"/>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90"/>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90"/>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90"/>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90"/>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90"/>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90"/>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90"/>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90"/>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90"/>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90"/>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90"/>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90"/>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90"/>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90"/>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90"/>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90"/>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90"/>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90"/>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90"/>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90"/>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90"/>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90"/>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90"/>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90"/>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90"/>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90"/>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90"/>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90"/>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90"/>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90"/>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90"/>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90"/>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90"/>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90"/>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90"/>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90"/>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90"/>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90"/>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90"/>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90"/>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90"/>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90"/>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90"/>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90"/>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90"/>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90"/>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90"/>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90"/>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90"/>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90"/>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90"/>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90"/>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90"/>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90"/>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90"/>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90"/>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90"/>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90"/>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90"/>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90"/>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90"/>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90"/>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90"/>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90"/>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90"/>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90"/>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90"/>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90"/>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90"/>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90"/>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90"/>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90"/>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90"/>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90"/>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90"/>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90"/>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90"/>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90"/>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90"/>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90"/>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90"/>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90"/>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90"/>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90"/>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90"/>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90"/>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90"/>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90"/>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90"/>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90"/>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90"/>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90"/>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90"/>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90"/>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90"/>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90"/>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90"/>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90"/>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90"/>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90"/>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90"/>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90"/>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90"/>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90"/>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90"/>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90"/>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90"/>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90"/>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90"/>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90"/>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90"/>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90"/>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90"/>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90"/>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90"/>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90"/>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90"/>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90"/>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90"/>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90"/>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90"/>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90"/>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90"/>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90"/>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90"/>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90"/>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90"/>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90"/>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90"/>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90"/>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90"/>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90"/>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90"/>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90"/>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90"/>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90"/>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90"/>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90"/>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90"/>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90"/>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90"/>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90"/>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90"/>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90"/>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90"/>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90"/>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90"/>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90"/>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90"/>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90"/>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90"/>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90"/>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90"/>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90"/>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90"/>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90"/>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90"/>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90"/>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90"/>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90"/>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90"/>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90"/>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90"/>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90"/>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90"/>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90"/>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90"/>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90"/>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90"/>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90"/>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90"/>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90"/>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90"/>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90"/>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90"/>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90"/>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90"/>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90"/>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90"/>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90"/>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90"/>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90"/>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90"/>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90"/>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90"/>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90"/>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90"/>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90"/>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90"/>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90"/>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90"/>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90"/>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90"/>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90"/>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90"/>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90"/>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90"/>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90"/>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90"/>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90"/>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90"/>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90"/>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90"/>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90"/>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90"/>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90"/>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90"/>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90"/>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90"/>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90"/>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90"/>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90"/>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90"/>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90"/>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90"/>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90"/>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90"/>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90"/>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90"/>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90"/>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90"/>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90"/>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90"/>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90"/>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90"/>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90"/>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90"/>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90"/>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90"/>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41" footer="0.0" header="0.0" left="0.39" right="0.3" top="0.38"/>
  <pageSetup paperSize="9" scale="70" orientation="landscape"/>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0.86"/>
    <col customWidth="1" min="3" max="3" width="11.71"/>
    <col customWidth="1" min="4" max="4" width="64.71"/>
    <col customWidth="1" min="5" max="6" width="8.86"/>
    <col customWidth="1" min="7" max="26" width="8.71"/>
  </cols>
  <sheetData>
    <row r="1" ht="12.0" customHeight="1">
      <c r="A1" s="101" t="s">
        <v>544</v>
      </c>
      <c r="B1" s="63"/>
      <c r="C1" s="63"/>
      <c r="D1" s="63"/>
      <c r="E1" s="63"/>
      <c r="F1" s="63"/>
      <c r="G1" s="63"/>
      <c r="H1" s="63"/>
      <c r="I1" s="63"/>
      <c r="J1" s="63"/>
      <c r="K1" s="63"/>
      <c r="L1" s="63"/>
      <c r="M1" s="63"/>
      <c r="N1" s="63"/>
      <c r="O1" s="63"/>
      <c r="P1" s="63"/>
      <c r="Q1" s="63"/>
      <c r="R1" s="63"/>
      <c r="S1" s="63"/>
      <c r="T1" s="63"/>
      <c r="U1" s="63"/>
      <c r="V1" s="63"/>
      <c r="W1" s="63"/>
      <c r="X1" s="63"/>
      <c r="Y1" s="63"/>
      <c r="Z1" s="63"/>
    </row>
    <row r="2" ht="12.0" customHeight="1">
      <c r="A2" s="63"/>
      <c r="B2" s="63"/>
      <c r="C2" s="63"/>
      <c r="D2" s="63"/>
      <c r="E2" s="63"/>
      <c r="F2" s="63"/>
      <c r="G2" s="63"/>
      <c r="H2" s="63"/>
      <c r="I2" s="63"/>
      <c r="J2" s="63"/>
      <c r="K2" s="63"/>
      <c r="L2" s="63"/>
      <c r="M2" s="63"/>
      <c r="N2" s="63"/>
      <c r="O2" s="63"/>
      <c r="P2" s="63"/>
      <c r="Q2" s="63"/>
      <c r="R2" s="63"/>
      <c r="S2" s="63"/>
      <c r="T2" s="63"/>
      <c r="U2" s="63"/>
      <c r="V2" s="63"/>
      <c r="W2" s="63"/>
      <c r="X2" s="63"/>
      <c r="Y2" s="63"/>
      <c r="Z2" s="63"/>
    </row>
    <row r="3" ht="15.75" customHeight="1">
      <c r="A3" s="63" t="s">
        <v>545</v>
      </c>
      <c r="B3" s="63"/>
      <c r="C3" s="63"/>
      <c r="D3" s="63"/>
      <c r="E3" s="63"/>
      <c r="F3" s="63"/>
      <c r="G3" s="63"/>
      <c r="H3" s="63"/>
      <c r="I3" s="63"/>
      <c r="J3" s="63"/>
      <c r="K3" s="63"/>
      <c r="L3" s="63"/>
      <c r="M3" s="63"/>
      <c r="N3" s="63"/>
      <c r="O3" s="63"/>
      <c r="P3" s="63"/>
      <c r="Q3" s="63"/>
      <c r="R3" s="63"/>
      <c r="S3" s="63"/>
      <c r="T3" s="63"/>
      <c r="U3" s="63"/>
      <c r="V3" s="63"/>
      <c r="W3" s="63"/>
      <c r="X3" s="63"/>
      <c r="Y3" s="63"/>
      <c r="Z3" s="63"/>
    </row>
    <row r="4" ht="15.75" customHeight="1">
      <c r="A4" s="63"/>
      <c r="B4" s="102" t="s">
        <v>546</v>
      </c>
      <c r="C4" s="63"/>
      <c r="D4" s="63"/>
      <c r="E4" s="63"/>
      <c r="F4" s="63"/>
      <c r="G4" s="63"/>
      <c r="H4" s="63"/>
      <c r="I4" s="63"/>
      <c r="J4" s="63"/>
      <c r="K4" s="63"/>
      <c r="L4" s="63"/>
      <c r="M4" s="63"/>
      <c r="N4" s="63"/>
      <c r="O4" s="63"/>
      <c r="P4" s="63"/>
      <c r="Q4" s="63"/>
      <c r="R4" s="63"/>
      <c r="S4" s="63"/>
      <c r="T4" s="63"/>
      <c r="U4" s="63"/>
      <c r="V4" s="63"/>
      <c r="W4" s="63"/>
      <c r="X4" s="63"/>
      <c r="Y4" s="63"/>
      <c r="Z4" s="63"/>
    </row>
    <row r="5" ht="15.75" customHeight="1">
      <c r="A5" s="63"/>
      <c r="B5" s="102" t="s">
        <v>547</v>
      </c>
      <c r="C5" s="63"/>
      <c r="D5" s="63"/>
      <c r="E5" s="63"/>
      <c r="F5" s="63"/>
      <c r="G5" s="63"/>
      <c r="H5" s="63"/>
      <c r="I5" s="63"/>
      <c r="J5" s="63"/>
      <c r="K5" s="63"/>
      <c r="L5" s="63"/>
      <c r="M5" s="63"/>
      <c r="N5" s="63"/>
      <c r="O5" s="63"/>
      <c r="P5" s="63"/>
      <c r="Q5" s="63"/>
      <c r="R5" s="63"/>
      <c r="S5" s="63"/>
      <c r="T5" s="63"/>
      <c r="U5" s="63"/>
      <c r="V5" s="63"/>
      <c r="W5" s="63"/>
      <c r="X5" s="63"/>
      <c r="Y5" s="63"/>
      <c r="Z5" s="63"/>
    </row>
    <row r="6" ht="15.75" customHeight="1">
      <c r="A6" s="63"/>
      <c r="B6" s="102" t="s">
        <v>548</v>
      </c>
      <c r="C6" s="63"/>
      <c r="D6" s="63"/>
      <c r="E6" s="63"/>
      <c r="F6" s="63"/>
      <c r="G6" s="63"/>
      <c r="H6" s="63"/>
      <c r="I6" s="63"/>
      <c r="J6" s="63"/>
      <c r="K6" s="63"/>
      <c r="L6" s="63"/>
      <c r="M6" s="63"/>
      <c r="N6" s="63"/>
      <c r="O6" s="63"/>
      <c r="P6" s="63"/>
      <c r="Q6" s="63"/>
      <c r="R6" s="63"/>
      <c r="S6" s="63"/>
      <c r="T6" s="63"/>
      <c r="U6" s="63"/>
      <c r="V6" s="63"/>
      <c r="W6" s="63"/>
      <c r="X6" s="63"/>
      <c r="Y6" s="63"/>
      <c r="Z6" s="63"/>
    </row>
    <row r="7" ht="15.75" customHeight="1">
      <c r="A7" s="63" t="s">
        <v>549</v>
      </c>
      <c r="B7" s="63"/>
      <c r="C7" s="63"/>
      <c r="D7" s="63"/>
      <c r="E7" s="63"/>
      <c r="F7" s="63"/>
      <c r="G7" s="63"/>
      <c r="H7" s="63"/>
      <c r="I7" s="63"/>
      <c r="J7" s="63"/>
      <c r="K7" s="63"/>
      <c r="L7" s="63"/>
      <c r="M7" s="63"/>
      <c r="N7" s="63"/>
      <c r="O7" s="63"/>
      <c r="P7" s="63"/>
      <c r="Q7" s="63"/>
      <c r="R7" s="63"/>
      <c r="S7" s="63"/>
      <c r="T7" s="63"/>
      <c r="U7" s="63"/>
      <c r="V7" s="63"/>
      <c r="W7" s="63"/>
      <c r="X7" s="63"/>
      <c r="Y7" s="63"/>
      <c r="Z7" s="63"/>
    </row>
    <row r="8" ht="15.75" customHeight="1">
      <c r="A8" s="63" t="s">
        <v>550</v>
      </c>
      <c r="B8" s="63"/>
      <c r="C8" s="63"/>
      <c r="D8" s="63"/>
      <c r="E8" s="63"/>
      <c r="F8" s="63"/>
      <c r="G8" s="63"/>
      <c r="H8" s="63"/>
      <c r="I8" s="63"/>
      <c r="J8" s="63"/>
      <c r="K8" s="63"/>
      <c r="L8" s="63"/>
      <c r="M8" s="63"/>
      <c r="N8" s="63"/>
      <c r="O8" s="63"/>
      <c r="P8" s="63"/>
      <c r="Q8" s="63"/>
      <c r="R8" s="63"/>
      <c r="S8" s="63"/>
      <c r="T8" s="63"/>
      <c r="U8" s="63"/>
      <c r="V8" s="63"/>
      <c r="W8" s="63"/>
      <c r="X8" s="63"/>
      <c r="Y8" s="63"/>
      <c r="Z8" s="63"/>
    </row>
    <row r="9" ht="15.75" customHeight="1">
      <c r="A9" s="63" t="s">
        <v>551</v>
      </c>
      <c r="B9" s="63"/>
      <c r="C9" s="63"/>
      <c r="D9" s="63"/>
      <c r="E9" s="63"/>
      <c r="F9" s="63"/>
      <c r="G9" s="63"/>
      <c r="H9" s="63"/>
      <c r="I9" s="63"/>
      <c r="J9" s="63"/>
      <c r="K9" s="63"/>
      <c r="L9" s="63"/>
      <c r="M9" s="63"/>
      <c r="N9" s="63"/>
      <c r="O9" s="63"/>
      <c r="P9" s="63"/>
      <c r="Q9" s="63"/>
      <c r="R9" s="63"/>
      <c r="S9" s="63"/>
      <c r="T9" s="63"/>
      <c r="U9" s="63"/>
      <c r="V9" s="63"/>
      <c r="W9" s="63"/>
      <c r="X9" s="63"/>
      <c r="Y9" s="63"/>
      <c r="Z9" s="63"/>
    </row>
    <row r="10" ht="12.0" customHeight="1">
      <c r="A10" s="63"/>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ht="12.0" customHeight="1">
      <c r="A11" s="101" t="s">
        <v>552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row>
    <row r="12" ht="12.0" customHeight="1">
      <c r="A12" s="63"/>
      <c r="B12" s="103" t="s">
        <v>553</v>
      </c>
      <c r="C12" s="104" t="s">
        <v>39</v>
      </c>
      <c r="D12" s="105" t="s">
        <v>554</v>
      </c>
      <c r="E12" s="63"/>
      <c r="F12" s="63"/>
      <c r="G12" s="63"/>
      <c r="H12" s="63"/>
      <c r="I12" s="63"/>
      <c r="J12" s="63"/>
      <c r="K12" s="63"/>
      <c r="L12" s="63"/>
      <c r="M12" s="63"/>
      <c r="N12" s="63"/>
      <c r="O12" s="63"/>
      <c r="P12" s="63"/>
      <c r="Q12" s="63"/>
      <c r="R12" s="63"/>
      <c r="S12" s="63"/>
      <c r="T12" s="63"/>
      <c r="U12" s="63"/>
      <c r="V12" s="63"/>
      <c r="W12" s="63"/>
      <c r="X12" s="63"/>
      <c r="Y12" s="63"/>
      <c r="Z12" s="63"/>
    </row>
    <row r="13" ht="12.0" customHeight="1">
      <c r="A13" s="63"/>
      <c r="B13" s="64" t="s">
        <v>555</v>
      </c>
      <c r="C13" s="106" t="s">
        <v>556</v>
      </c>
      <c r="D13" s="107" t="s">
        <v>557</v>
      </c>
      <c r="E13" s="63"/>
      <c r="F13" s="63"/>
      <c r="G13" s="63"/>
      <c r="H13" s="63"/>
      <c r="I13" s="63"/>
      <c r="J13" s="63"/>
      <c r="K13" s="63"/>
      <c r="L13" s="63"/>
      <c r="M13" s="63"/>
      <c r="N13" s="63"/>
      <c r="O13" s="63"/>
      <c r="P13" s="63"/>
      <c r="Q13" s="63"/>
      <c r="R13" s="63"/>
      <c r="S13" s="63"/>
      <c r="T13" s="63"/>
      <c r="U13" s="63"/>
      <c r="V13" s="63"/>
      <c r="W13" s="63"/>
      <c r="X13" s="63"/>
      <c r="Y13" s="63"/>
      <c r="Z13" s="63"/>
    </row>
    <row r="14" ht="12.0" customHeight="1">
      <c r="A14" s="63"/>
      <c r="B14" s="64"/>
      <c r="C14" s="106"/>
      <c r="D14" s="108" t="s">
        <v>558</v>
      </c>
      <c r="E14" s="63"/>
      <c r="F14" s="63"/>
      <c r="G14" s="63"/>
      <c r="H14" s="63"/>
      <c r="I14" s="63"/>
      <c r="J14" s="63"/>
      <c r="K14" s="63"/>
      <c r="L14" s="63"/>
      <c r="M14" s="63"/>
      <c r="N14" s="63"/>
      <c r="O14" s="63"/>
      <c r="P14" s="63"/>
      <c r="Q14" s="63"/>
      <c r="R14" s="63"/>
      <c r="S14" s="63"/>
      <c r="T14" s="63"/>
      <c r="U14" s="63"/>
      <c r="V14" s="63"/>
      <c r="W14" s="63"/>
      <c r="X14" s="63"/>
      <c r="Y14" s="63"/>
      <c r="Z14" s="63"/>
    </row>
    <row r="15" ht="12.0" customHeight="1">
      <c r="A15" s="63"/>
      <c r="B15" s="64"/>
      <c r="C15" s="106"/>
      <c r="D15" s="108" t="s">
        <v>559</v>
      </c>
      <c r="E15" s="63"/>
      <c r="F15" s="63"/>
      <c r="G15" s="63"/>
      <c r="H15" s="63"/>
      <c r="I15" s="63"/>
      <c r="J15" s="63"/>
      <c r="K15" s="63"/>
      <c r="L15" s="63"/>
      <c r="M15" s="63"/>
      <c r="N15" s="63"/>
      <c r="O15" s="63"/>
      <c r="P15" s="63"/>
      <c r="Q15" s="63"/>
      <c r="R15" s="63"/>
      <c r="S15" s="63"/>
      <c r="T15" s="63"/>
      <c r="U15" s="63"/>
      <c r="V15" s="63"/>
      <c r="W15" s="63"/>
      <c r="X15" s="63"/>
      <c r="Y15" s="63"/>
      <c r="Z15" s="63"/>
    </row>
    <row r="16" ht="12.0" customHeight="1">
      <c r="A16" s="63"/>
      <c r="B16" s="64"/>
      <c r="C16" s="106"/>
      <c r="D16" s="108" t="s">
        <v>560</v>
      </c>
      <c r="E16" s="63"/>
      <c r="F16" s="63"/>
      <c r="G16" s="63"/>
      <c r="H16" s="63"/>
      <c r="I16" s="63"/>
      <c r="J16" s="63"/>
      <c r="K16" s="63"/>
      <c r="L16" s="63"/>
      <c r="M16" s="63"/>
      <c r="N16" s="63"/>
      <c r="O16" s="63"/>
      <c r="P16" s="63"/>
      <c r="Q16" s="63"/>
      <c r="R16" s="63"/>
      <c r="S16" s="63"/>
      <c r="T16" s="63"/>
      <c r="U16" s="63"/>
      <c r="V16" s="63"/>
      <c r="W16" s="63"/>
      <c r="X16" s="63"/>
      <c r="Y16" s="63"/>
      <c r="Z16" s="63"/>
    </row>
    <row r="17" ht="12.0" customHeight="1">
      <c r="A17" s="63"/>
      <c r="B17" s="64"/>
      <c r="C17" s="106"/>
      <c r="D17" s="108" t="s">
        <v>561</v>
      </c>
      <c r="E17" s="63"/>
      <c r="F17" s="63"/>
      <c r="G17" s="63"/>
      <c r="H17" s="63"/>
      <c r="I17" s="63"/>
      <c r="J17" s="63"/>
      <c r="K17" s="63"/>
      <c r="L17" s="63"/>
      <c r="M17" s="63"/>
      <c r="N17" s="63"/>
      <c r="O17" s="63"/>
      <c r="P17" s="63"/>
      <c r="Q17" s="63"/>
      <c r="R17" s="63"/>
      <c r="S17" s="63"/>
      <c r="T17" s="63"/>
      <c r="U17" s="63"/>
      <c r="V17" s="63"/>
      <c r="W17" s="63"/>
      <c r="X17" s="63"/>
      <c r="Y17" s="63"/>
      <c r="Z17" s="63"/>
    </row>
    <row r="18" ht="12.0" customHeight="1">
      <c r="A18" s="63"/>
      <c r="B18" s="64"/>
      <c r="C18" s="106"/>
      <c r="D18" s="108" t="s">
        <v>562</v>
      </c>
      <c r="E18" s="63"/>
      <c r="F18" s="63"/>
      <c r="G18" s="63"/>
      <c r="H18" s="63"/>
      <c r="I18" s="63"/>
      <c r="J18" s="63"/>
      <c r="K18" s="63"/>
      <c r="L18" s="63"/>
      <c r="M18" s="63"/>
      <c r="N18" s="63"/>
      <c r="O18" s="63"/>
      <c r="P18" s="63"/>
      <c r="Q18" s="63"/>
      <c r="R18" s="63"/>
      <c r="S18" s="63"/>
      <c r="T18" s="63"/>
      <c r="U18" s="63"/>
      <c r="V18" s="63"/>
      <c r="W18" s="63"/>
      <c r="X18" s="63"/>
      <c r="Y18" s="63"/>
      <c r="Z18" s="63"/>
    </row>
    <row r="19" ht="12.0" customHeight="1">
      <c r="A19" s="63"/>
      <c r="B19" s="64"/>
      <c r="C19" s="106"/>
      <c r="D19" s="108" t="s">
        <v>563</v>
      </c>
      <c r="E19" s="63"/>
      <c r="F19" s="63"/>
      <c r="G19" s="63"/>
      <c r="H19" s="63"/>
      <c r="I19" s="63"/>
      <c r="J19" s="63"/>
      <c r="K19" s="63"/>
      <c r="L19" s="63"/>
      <c r="M19" s="63"/>
      <c r="N19" s="63"/>
      <c r="O19" s="63"/>
      <c r="P19" s="63"/>
      <c r="Q19" s="63"/>
      <c r="R19" s="63"/>
      <c r="S19" s="63"/>
      <c r="T19" s="63"/>
      <c r="U19" s="63"/>
      <c r="V19" s="63"/>
      <c r="W19" s="63"/>
      <c r="X19" s="63"/>
      <c r="Y19" s="63"/>
      <c r="Z19" s="63"/>
    </row>
    <row r="20" ht="12.0" customHeight="1">
      <c r="A20" s="63"/>
      <c r="B20" s="64"/>
      <c r="C20" s="106"/>
      <c r="D20" s="108" t="s">
        <v>564</v>
      </c>
      <c r="E20" s="63"/>
      <c r="F20" s="63"/>
      <c r="G20" s="63"/>
      <c r="H20" s="63"/>
      <c r="I20" s="63"/>
      <c r="J20" s="63"/>
      <c r="K20" s="63"/>
      <c r="L20" s="63"/>
      <c r="M20" s="63"/>
      <c r="N20" s="63"/>
      <c r="O20" s="63"/>
      <c r="P20" s="63"/>
      <c r="Q20" s="63"/>
      <c r="R20" s="63"/>
      <c r="S20" s="63"/>
      <c r="T20" s="63"/>
      <c r="U20" s="63"/>
      <c r="V20" s="63"/>
      <c r="W20" s="63"/>
      <c r="X20" s="63"/>
      <c r="Y20" s="63"/>
      <c r="Z20" s="63"/>
    </row>
    <row r="21" ht="12.0" customHeight="1">
      <c r="A21" s="63"/>
      <c r="B21" s="64"/>
      <c r="C21" s="106"/>
      <c r="D21" s="108" t="s">
        <v>565</v>
      </c>
      <c r="E21" s="63"/>
      <c r="F21" s="63"/>
      <c r="G21" s="63"/>
      <c r="H21" s="63"/>
      <c r="I21" s="63"/>
      <c r="J21" s="63"/>
      <c r="K21" s="63"/>
      <c r="L21" s="63"/>
      <c r="M21" s="63"/>
      <c r="N21" s="63"/>
      <c r="O21" s="63"/>
      <c r="P21" s="63"/>
      <c r="Q21" s="63"/>
      <c r="R21" s="63"/>
      <c r="S21" s="63"/>
      <c r="T21" s="63"/>
      <c r="U21" s="63"/>
      <c r="V21" s="63"/>
      <c r="W21" s="63"/>
      <c r="X21" s="63"/>
      <c r="Y21" s="63"/>
      <c r="Z21" s="63"/>
    </row>
    <row r="22" ht="12.0" customHeight="1">
      <c r="A22" s="63"/>
      <c r="B22" s="64"/>
      <c r="C22" s="106"/>
      <c r="D22" s="109" t="s">
        <v>566</v>
      </c>
      <c r="E22" s="63"/>
      <c r="F22" s="63"/>
      <c r="G22" s="63"/>
      <c r="H22" s="63"/>
      <c r="I22" s="63"/>
      <c r="J22" s="63"/>
      <c r="K22" s="63"/>
      <c r="L22" s="63"/>
      <c r="M22" s="63"/>
      <c r="N22" s="63"/>
      <c r="O22" s="63"/>
      <c r="P22" s="63"/>
      <c r="Q22" s="63"/>
      <c r="R22" s="63"/>
      <c r="S22" s="63"/>
      <c r="T22" s="63"/>
      <c r="U22" s="63"/>
      <c r="V22" s="63"/>
      <c r="W22" s="63"/>
      <c r="X22" s="63"/>
      <c r="Y22" s="63"/>
      <c r="Z22" s="63"/>
    </row>
    <row r="23" ht="12.0" customHeight="1">
      <c r="A23" s="63"/>
      <c r="B23" s="110" t="s">
        <v>567</v>
      </c>
      <c r="C23" s="111" t="s">
        <v>568</v>
      </c>
      <c r="D23" s="107" t="s">
        <v>569</v>
      </c>
      <c r="E23" s="63"/>
      <c r="F23" s="63"/>
      <c r="G23" s="63"/>
      <c r="H23" s="63"/>
      <c r="I23" s="63"/>
      <c r="J23" s="63"/>
      <c r="K23" s="63"/>
      <c r="L23" s="63"/>
      <c r="M23" s="63"/>
      <c r="N23" s="63"/>
      <c r="O23" s="63"/>
      <c r="P23" s="63"/>
      <c r="Q23" s="63"/>
      <c r="R23" s="63"/>
      <c r="S23" s="63"/>
      <c r="T23" s="63"/>
      <c r="U23" s="63"/>
      <c r="V23" s="63"/>
      <c r="W23" s="63"/>
      <c r="X23" s="63"/>
      <c r="Y23" s="63"/>
      <c r="Z23" s="63"/>
    </row>
    <row r="24" ht="12.0" customHeight="1">
      <c r="A24" s="63"/>
      <c r="B24" s="64"/>
      <c r="C24" s="106"/>
      <c r="D24" s="108" t="s">
        <v>570</v>
      </c>
      <c r="E24" s="63"/>
      <c r="F24" s="63"/>
      <c r="G24" s="63"/>
      <c r="H24" s="63"/>
      <c r="I24" s="63"/>
      <c r="J24" s="63"/>
      <c r="K24" s="63"/>
      <c r="L24" s="63"/>
      <c r="M24" s="63"/>
      <c r="N24" s="63"/>
      <c r="O24" s="63"/>
      <c r="P24" s="63"/>
      <c r="Q24" s="63"/>
      <c r="R24" s="63"/>
      <c r="S24" s="63"/>
      <c r="T24" s="63"/>
      <c r="U24" s="63"/>
      <c r="V24" s="63"/>
      <c r="W24" s="63"/>
      <c r="X24" s="63"/>
      <c r="Y24" s="63"/>
      <c r="Z24" s="63"/>
    </row>
    <row r="25" ht="12.0" customHeight="1">
      <c r="A25" s="63"/>
      <c r="B25" s="64"/>
      <c r="C25" s="106"/>
      <c r="D25" s="108" t="s">
        <v>571</v>
      </c>
      <c r="E25" s="63"/>
      <c r="F25" s="63"/>
      <c r="G25" s="63"/>
      <c r="H25" s="63"/>
      <c r="I25" s="63"/>
      <c r="J25" s="63"/>
      <c r="K25" s="63"/>
      <c r="L25" s="63"/>
      <c r="M25" s="63"/>
      <c r="N25" s="63"/>
      <c r="O25" s="63"/>
      <c r="P25" s="63"/>
      <c r="Q25" s="63"/>
      <c r="R25" s="63"/>
      <c r="S25" s="63"/>
      <c r="T25" s="63"/>
      <c r="U25" s="63"/>
      <c r="V25" s="63"/>
      <c r="W25" s="63"/>
      <c r="X25" s="63"/>
      <c r="Y25" s="63"/>
      <c r="Z25" s="63"/>
    </row>
    <row r="26" ht="12.0" customHeight="1">
      <c r="A26" s="63"/>
      <c r="B26" s="64"/>
      <c r="C26" s="106"/>
      <c r="D26" s="108" t="s">
        <v>572</v>
      </c>
      <c r="E26" s="63"/>
      <c r="F26" s="63"/>
      <c r="G26" s="63"/>
      <c r="H26" s="63"/>
      <c r="I26" s="63"/>
      <c r="J26" s="63"/>
      <c r="K26" s="63"/>
      <c r="L26" s="63"/>
      <c r="M26" s="63"/>
      <c r="N26" s="63"/>
      <c r="O26" s="63"/>
      <c r="P26" s="63"/>
      <c r="Q26" s="63"/>
      <c r="R26" s="63"/>
      <c r="S26" s="63"/>
      <c r="T26" s="63"/>
      <c r="U26" s="63"/>
      <c r="V26" s="63"/>
      <c r="W26" s="63"/>
      <c r="X26" s="63"/>
      <c r="Y26" s="63"/>
      <c r="Z26" s="63"/>
    </row>
    <row r="27" ht="12.0" customHeight="1">
      <c r="A27" s="63"/>
      <c r="B27" s="64"/>
      <c r="C27" s="106"/>
      <c r="D27" s="108" t="s">
        <v>573</v>
      </c>
      <c r="E27" s="63"/>
      <c r="F27" s="63"/>
      <c r="G27" s="63"/>
      <c r="H27" s="63"/>
      <c r="I27" s="63"/>
      <c r="J27" s="63"/>
      <c r="K27" s="63"/>
      <c r="L27" s="63"/>
      <c r="M27" s="63"/>
      <c r="N27" s="63"/>
      <c r="O27" s="63"/>
      <c r="P27" s="63"/>
      <c r="Q27" s="63"/>
      <c r="R27" s="63"/>
      <c r="S27" s="63"/>
      <c r="T27" s="63"/>
      <c r="U27" s="63"/>
      <c r="V27" s="63"/>
      <c r="W27" s="63"/>
      <c r="X27" s="63"/>
      <c r="Y27" s="63"/>
      <c r="Z27" s="63"/>
    </row>
    <row r="28" ht="12.0" customHeight="1">
      <c r="A28" s="63"/>
      <c r="B28" s="64"/>
      <c r="C28" s="106"/>
      <c r="D28" s="108" t="s">
        <v>574</v>
      </c>
      <c r="E28" s="63"/>
      <c r="F28" s="63"/>
      <c r="G28" s="63"/>
      <c r="H28" s="63"/>
      <c r="I28" s="63"/>
      <c r="J28" s="63"/>
      <c r="K28" s="63"/>
      <c r="L28" s="63"/>
      <c r="M28" s="63"/>
      <c r="N28" s="63"/>
      <c r="O28" s="63"/>
      <c r="P28" s="63"/>
      <c r="Q28" s="63"/>
      <c r="R28" s="63"/>
      <c r="S28" s="63"/>
      <c r="T28" s="63"/>
      <c r="U28" s="63"/>
      <c r="V28" s="63"/>
      <c r="W28" s="63"/>
      <c r="X28" s="63"/>
      <c r="Y28" s="63"/>
      <c r="Z28" s="63"/>
    </row>
    <row r="29" ht="12.0" customHeight="1">
      <c r="A29" s="63"/>
      <c r="B29" s="64"/>
      <c r="C29" s="106"/>
      <c r="D29" s="108" t="s">
        <v>575</v>
      </c>
      <c r="E29" s="63"/>
      <c r="F29" s="63"/>
      <c r="G29" s="63"/>
      <c r="H29" s="63"/>
      <c r="I29" s="63"/>
      <c r="J29" s="63"/>
      <c r="K29" s="63"/>
      <c r="L29" s="63"/>
      <c r="M29" s="63"/>
      <c r="N29" s="63"/>
      <c r="O29" s="63"/>
      <c r="P29" s="63"/>
      <c r="Q29" s="63"/>
      <c r="R29" s="63"/>
      <c r="S29" s="63"/>
      <c r="T29" s="63"/>
      <c r="U29" s="63"/>
      <c r="V29" s="63"/>
      <c r="W29" s="63"/>
      <c r="X29" s="63"/>
      <c r="Y29" s="63"/>
      <c r="Z29" s="63"/>
    </row>
    <row r="30" ht="12.0" customHeight="1">
      <c r="A30" s="63"/>
      <c r="B30" s="78"/>
      <c r="C30" s="112"/>
      <c r="D30" s="113" t="s">
        <v>576</v>
      </c>
      <c r="E30" s="63"/>
      <c r="F30" s="63"/>
      <c r="G30" s="63"/>
      <c r="H30" s="63"/>
      <c r="I30" s="63"/>
      <c r="J30" s="63"/>
      <c r="K30" s="63"/>
      <c r="L30" s="63"/>
      <c r="M30" s="63"/>
      <c r="N30" s="63"/>
      <c r="O30" s="63"/>
      <c r="P30" s="63"/>
      <c r="Q30" s="63"/>
      <c r="R30" s="63"/>
      <c r="S30" s="63"/>
      <c r="T30" s="63"/>
      <c r="U30" s="63"/>
      <c r="V30" s="63"/>
      <c r="W30" s="63"/>
      <c r="X30" s="63"/>
      <c r="Y30" s="63"/>
      <c r="Z30" s="63"/>
    </row>
    <row r="31" ht="12.0" customHeight="1">
      <c r="A31" s="63"/>
      <c r="B31" s="64" t="s">
        <v>577</v>
      </c>
      <c r="C31" s="106" t="s">
        <v>578</v>
      </c>
      <c r="D31" s="114" t="s">
        <v>579</v>
      </c>
      <c r="E31" s="63"/>
      <c r="F31" s="63"/>
      <c r="G31" s="63"/>
      <c r="H31" s="63"/>
      <c r="I31" s="63"/>
      <c r="J31" s="63"/>
      <c r="K31" s="63"/>
      <c r="L31" s="63"/>
      <c r="M31" s="63"/>
      <c r="N31" s="63"/>
      <c r="O31" s="63"/>
      <c r="P31" s="63"/>
      <c r="Q31" s="63"/>
      <c r="R31" s="63"/>
      <c r="S31" s="63"/>
      <c r="T31" s="63"/>
      <c r="U31" s="63"/>
      <c r="V31" s="63"/>
      <c r="W31" s="63"/>
      <c r="X31" s="63"/>
      <c r="Y31" s="63"/>
      <c r="Z31" s="63"/>
    </row>
    <row r="32" ht="12.0" customHeight="1">
      <c r="A32" s="63"/>
      <c r="B32" s="64"/>
      <c r="C32" s="106"/>
      <c r="D32" s="108" t="s">
        <v>580</v>
      </c>
      <c r="E32" s="63"/>
      <c r="F32" s="63"/>
      <c r="G32" s="63"/>
      <c r="H32" s="63"/>
      <c r="I32" s="63"/>
      <c r="J32" s="63"/>
      <c r="K32" s="63"/>
      <c r="L32" s="63"/>
      <c r="M32" s="63"/>
      <c r="N32" s="63"/>
      <c r="O32" s="63"/>
      <c r="P32" s="63"/>
      <c r="Q32" s="63"/>
      <c r="R32" s="63"/>
      <c r="S32" s="63"/>
      <c r="T32" s="63"/>
      <c r="U32" s="63"/>
      <c r="V32" s="63"/>
      <c r="W32" s="63"/>
      <c r="X32" s="63"/>
      <c r="Y32" s="63"/>
      <c r="Z32" s="63"/>
    </row>
    <row r="33" ht="12.0" customHeight="1">
      <c r="A33" s="63"/>
      <c r="B33" s="64"/>
      <c r="C33" s="106"/>
      <c r="D33" s="108" t="s">
        <v>581</v>
      </c>
      <c r="E33" s="63"/>
      <c r="F33" s="63"/>
      <c r="G33" s="63"/>
      <c r="H33" s="63"/>
      <c r="I33" s="63"/>
      <c r="J33" s="63"/>
      <c r="K33" s="63"/>
      <c r="L33" s="63"/>
      <c r="M33" s="63"/>
      <c r="N33" s="63"/>
      <c r="O33" s="63"/>
      <c r="P33" s="63"/>
      <c r="Q33" s="63"/>
      <c r="R33" s="63"/>
      <c r="S33" s="63"/>
      <c r="T33" s="63"/>
      <c r="U33" s="63"/>
      <c r="V33" s="63"/>
      <c r="W33" s="63"/>
      <c r="X33" s="63"/>
      <c r="Y33" s="63"/>
      <c r="Z33" s="63"/>
    </row>
    <row r="34" ht="12.0" customHeight="1">
      <c r="A34" s="63"/>
      <c r="B34" s="64"/>
      <c r="C34" s="106"/>
      <c r="D34" s="108" t="s">
        <v>582</v>
      </c>
      <c r="E34" s="63"/>
      <c r="F34" s="63"/>
      <c r="G34" s="63"/>
      <c r="H34" s="63"/>
      <c r="I34" s="63"/>
      <c r="J34" s="63"/>
      <c r="K34" s="63"/>
      <c r="L34" s="63"/>
      <c r="M34" s="63"/>
      <c r="N34" s="63"/>
      <c r="O34" s="63"/>
      <c r="P34" s="63"/>
      <c r="Q34" s="63"/>
      <c r="R34" s="63"/>
      <c r="S34" s="63"/>
      <c r="T34" s="63"/>
      <c r="U34" s="63"/>
      <c r="V34" s="63"/>
      <c r="W34" s="63"/>
      <c r="X34" s="63"/>
      <c r="Y34" s="63"/>
      <c r="Z34" s="63"/>
    </row>
    <row r="35" ht="12.0" customHeight="1">
      <c r="A35" s="63"/>
      <c r="B35" s="64"/>
      <c r="C35" s="106"/>
      <c r="D35" s="108" t="s">
        <v>583</v>
      </c>
      <c r="E35" s="63"/>
      <c r="F35" s="63"/>
      <c r="G35" s="63"/>
      <c r="H35" s="63"/>
      <c r="I35" s="63"/>
      <c r="J35" s="63"/>
      <c r="K35" s="63"/>
      <c r="L35" s="63"/>
      <c r="M35" s="63"/>
      <c r="N35" s="63"/>
      <c r="O35" s="63"/>
      <c r="P35" s="63"/>
      <c r="Q35" s="63"/>
      <c r="R35" s="63"/>
      <c r="S35" s="63"/>
      <c r="T35" s="63"/>
      <c r="U35" s="63"/>
      <c r="V35" s="63"/>
      <c r="W35" s="63"/>
      <c r="X35" s="63"/>
      <c r="Y35" s="63"/>
      <c r="Z35" s="63"/>
    </row>
    <row r="36" ht="12.0" customHeight="1">
      <c r="A36" s="63"/>
      <c r="B36" s="64"/>
      <c r="C36" s="106"/>
      <c r="D36" s="108" t="s">
        <v>584</v>
      </c>
      <c r="E36" s="63"/>
      <c r="F36" s="63"/>
      <c r="G36" s="63"/>
      <c r="H36" s="63"/>
      <c r="I36" s="63"/>
      <c r="J36" s="63"/>
      <c r="K36" s="63"/>
      <c r="L36" s="63"/>
      <c r="M36" s="63"/>
      <c r="N36" s="63"/>
      <c r="O36" s="63"/>
      <c r="P36" s="63"/>
      <c r="Q36" s="63"/>
      <c r="R36" s="63"/>
      <c r="S36" s="63"/>
      <c r="T36" s="63"/>
      <c r="U36" s="63"/>
      <c r="V36" s="63"/>
      <c r="W36" s="63"/>
      <c r="X36" s="63"/>
      <c r="Y36" s="63"/>
      <c r="Z36" s="63"/>
    </row>
    <row r="37" ht="12.0" customHeight="1">
      <c r="A37" s="63"/>
      <c r="B37" s="64"/>
      <c r="C37" s="106"/>
      <c r="D37" s="108" t="s">
        <v>585</v>
      </c>
      <c r="E37" s="63"/>
      <c r="F37" s="63"/>
      <c r="G37" s="63"/>
      <c r="H37" s="63"/>
      <c r="I37" s="63"/>
      <c r="J37" s="63"/>
      <c r="K37" s="63"/>
      <c r="L37" s="63"/>
      <c r="M37" s="63"/>
      <c r="N37" s="63"/>
      <c r="O37" s="63"/>
      <c r="P37" s="63"/>
      <c r="Q37" s="63"/>
      <c r="R37" s="63"/>
      <c r="S37" s="63"/>
      <c r="T37" s="63"/>
      <c r="U37" s="63"/>
      <c r="V37" s="63"/>
      <c r="W37" s="63"/>
      <c r="X37" s="63"/>
      <c r="Y37" s="63"/>
      <c r="Z37" s="63"/>
    </row>
    <row r="38" ht="12.0" customHeight="1">
      <c r="A38" s="63"/>
      <c r="B38" s="64"/>
      <c r="C38" s="106"/>
      <c r="D38" s="109" t="s">
        <v>586</v>
      </c>
      <c r="E38" s="63"/>
      <c r="F38" s="63"/>
      <c r="G38" s="63"/>
      <c r="H38" s="63"/>
      <c r="I38" s="63"/>
      <c r="J38" s="63"/>
      <c r="K38" s="63"/>
      <c r="L38" s="63"/>
      <c r="M38" s="63"/>
      <c r="N38" s="63"/>
      <c r="O38" s="63"/>
      <c r="P38" s="63"/>
      <c r="Q38" s="63"/>
      <c r="R38" s="63"/>
      <c r="S38" s="63"/>
      <c r="T38" s="63"/>
      <c r="U38" s="63"/>
      <c r="V38" s="63"/>
      <c r="W38" s="63"/>
      <c r="X38" s="63"/>
      <c r="Y38" s="63"/>
      <c r="Z38" s="63"/>
    </row>
    <row r="39" ht="12.0" customHeight="1">
      <c r="A39" s="63"/>
      <c r="B39" s="110" t="s">
        <v>587</v>
      </c>
      <c r="C39" s="111" t="s">
        <v>588</v>
      </c>
      <c r="D39" s="107" t="s">
        <v>589</v>
      </c>
      <c r="E39" s="63"/>
      <c r="F39" s="63"/>
      <c r="G39" s="63"/>
      <c r="H39" s="63"/>
      <c r="I39" s="63"/>
      <c r="J39" s="63"/>
      <c r="K39" s="63"/>
      <c r="L39" s="63"/>
      <c r="M39" s="63"/>
      <c r="N39" s="63"/>
      <c r="O39" s="63"/>
      <c r="P39" s="63"/>
      <c r="Q39" s="63"/>
      <c r="R39" s="63"/>
      <c r="S39" s="63"/>
      <c r="T39" s="63"/>
      <c r="U39" s="63"/>
      <c r="V39" s="63"/>
      <c r="W39" s="63"/>
      <c r="X39" s="63"/>
      <c r="Y39" s="63"/>
      <c r="Z39" s="63"/>
    </row>
    <row r="40" ht="12.0" customHeight="1">
      <c r="A40" s="63"/>
      <c r="B40" s="64"/>
      <c r="C40" s="106"/>
      <c r="D40" s="108" t="s">
        <v>590</v>
      </c>
      <c r="E40" s="63"/>
      <c r="F40" s="63"/>
      <c r="G40" s="63"/>
      <c r="H40" s="63"/>
      <c r="I40" s="63"/>
      <c r="J40" s="63"/>
      <c r="K40" s="63"/>
      <c r="L40" s="63"/>
      <c r="M40" s="63"/>
      <c r="N40" s="63"/>
      <c r="O40" s="63"/>
      <c r="P40" s="63"/>
      <c r="Q40" s="63"/>
      <c r="R40" s="63"/>
      <c r="S40" s="63"/>
      <c r="T40" s="63"/>
      <c r="U40" s="63"/>
      <c r="V40" s="63"/>
      <c r="W40" s="63"/>
      <c r="X40" s="63"/>
      <c r="Y40" s="63"/>
      <c r="Z40" s="63"/>
    </row>
    <row r="41" ht="12.0" customHeight="1">
      <c r="A41" s="63"/>
      <c r="B41" s="64"/>
      <c r="C41" s="106"/>
      <c r="D41" s="108" t="s">
        <v>591</v>
      </c>
      <c r="E41" s="63"/>
      <c r="F41" s="63"/>
      <c r="G41" s="63"/>
      <c r="H41" s="63"/>
      <c r="I41" s="63"/>
      <c r="J41" s="63"/>
      <c r="K41" s="63"/>
      <c r="L41" s="63"/>
      <c r="M41" s="63"/>
      <c r="N41" s="63"/>
      <c r="O41" s="63"/>
      <c r="P41" s="63"/>
      <c r="Q41" s="63"/>
      <c r="R41" s="63"/>
      <c r="S41" s="63"/>
      <c r="T41" s="63"/>
      <c r="U41" s="63"/>
      <c r="V41" s="63"/>
      <c r="W41" s="63"/>
      <c r="X41" s="63"/>
      <c r="Y41" s="63"/>
      <c r="Z41" s="63"/>
    </row>
    <row r="42" ht="12.0" customHeight="1">
      <c r="A42" s="63"/>
      <c r="B42" s="64"/>
      <c r="C42" s="106"/>
      <c r="D42" s="108" t="s">
        <v>592</v>
      </c>
      <c r="E42" s="63"/>
      <c r="F42" s="63"/>
      <c r="G42" s="63"/>
      <c r="H42" s="63"/>
      <c r="I42" s="63"/>
      <c r="J42" s="63"/>
      <c r="K42" s="63"/>
      <c r="L42" s="63"/>
      <c r="M42" s="63"/>
      <c r="N42" s="63"/>
      <c r="O42" s="63"/>
      <c r="P42" s="63"/>
      <c r="Q42" s="63"/>
      <c r="R42" s="63"/>
      <c r="S42" s="63"/>
      <c r="T42" s="63"/>
      <c r="U42" s="63"/>
      <c r="V42" s="63"/>
      <c r="W42" s="63"/>
      <c r="X42" s="63"/>
      <c r="Y42" s="63"/>
      <c r="Z42" s="63"/>
    </row>
    <row r="43" ht="12.0" customHeight="1">
      <c r="A43" s="63"/>
      <c r="B43" s="64"/>
      <c r="C43" s="106"/>
      <c r="D43" s="108" t="s">
        <v>593</v>
      </c>
      <c r="E43" s="63"/>
      <c r="F43" s="63"/>
      <c r="G43" s="63"/>
      <c r="H43" s="63"/>
      <c r="I43" s="63"/>
      <c r="J43" s="63"/>
      <c r="K43" s="63"/>
      <c r="L43" s="63"/>
      <c r="M43" s="63"/>
      <c r="N43" s="63"/>
      <c r="O43" s="63"/>
      <c r="P43" s="63"/>
      <c r="Q43" s="63"/>
      <c r="R43" s="63"/>
      <c r="S43" s="63"/>
      <c r="T43" s="63"/>
      <c r="U43" s="63"/>
      <c r="V43" s="63"/>
      <c r="W43" s="63"/>
      <c r="X43" s="63"/>
      <c r="Y43" s="63"/>
      <c r="Z43" s="63"/>
    </row>
    <row r="44" ht="12.0" customHeight="1">
      <c r="A44" s="63"/>
      <c r="B44" s="64"/>
      <c r="C44" s="106"/>
      <c r="D44" s="108" t="s">
        <v>594</v>
      </c>
      <c r="E44" s="63"/>
      <c r="F44" s="63"/>
      <c r="G44" s="63"/>
      <c r="H44" s="63"/>
      <c r="I44" s="63"/>
      <c r="J44" s="63"/>
      <c r="K44" s="63"/>
      <c r="L44" s="63"/>
      <c r="M44" s="63"/>
      <c r="N44" s="63"/>
      <c r="O44" s="63"/>
      <c r="P44" s="63"/>
      <c r="Q44" s="63"/>
      <c r="R44" s="63"/>
      <c r="S44" s="63"/>
      <c r="T44" s="63"/>
      <c r="U44" s="63"/>
      <c r="V44" s="63"/>
      <c r="W44" s="63"/>
      <c r="X44" s="63"/>
      <c r="Y44" s="63"/>
      <c r="Z44" s="63"/>
    </row>
    <row r="45" ht="12.0" customHeight="1">
      <c r="A45" s="63"/>
      <c r="B45" s="64"/>
      <c r="C45" s="106"/>
      <c r="D45" s="108" t="s">
        <v>595</v>
      </c>
      <c r="E45" s="63"/>
      <c r="F45" s="63"/>
      <c r="G45" s="63"/>
      <c r="H45" s="63"/>
      <c r="I45" s="63"/>
      <c r="J45" s="63"/>
      <c r="K45" s="63"/>
      <c r="L45" s="63"/>
      <c r="M45" s="63"/>
      <c r="N45" s="63"/>
      <c r="O45" s="63"/>
      <c r="P45" s="63"/>
      <c r="Q45" s="63"/>
      <c r="R45" s="63"/>
      <c r="S45" s="63"/>
      <c r="T45" s="63"/>
      <c r="U45" s="63"/>
      <c r="V45" s="63"/>
      <c r="W45" s="63"/>
      <c r="X45" s="63"/>
      <c r="Y45" s="63"/>
      <c r="Z45" s="63"/>
    </row>
    <row r="46" ht="12.0" customHeight="1">
      <c r="A46" s="63"/>
      <c r="B46" s="78"/>
      <c r="C46" s="112"/>
      <c r="D46" s="113" t="s">
        <v>596</v>
      </c>
      <c r="E46" s="63"/>
      <c r="F46" s="63"/>
      <c r="G46" s="63"/>
      <c r="H46" s="63"/>
      <c r="I46" s="63"/>
      <c r="J46" s="63"/>
      <c r="K46" s="63"/>
      <c r="L46" s="63"/>
      <c r="M46" s="63"/>
      <c r="N46" s="63"/>
      <c r="O46" s="63"/>
      <c r="P46" s="63"/>
      <c r="Q46" s="63"/>
      <c r="R46" s="63"/>
      <c r="S46" s="63"/>
      <c r="T46" s="63"/>
      <c r="U46" s="63"/>
      <c r="V46" s="63"/>
      <c r="W46" s="63"/>
      <c r="X46" s="63"/>
      <c r="Y46" s="63"/>
      <c r="Z46" s="63"/>
    </row>
    <row r="47" ht="12.0" customHeight="1">
      <c r="A47" s="63"/>
      <c r="B47" s="64" t="s">
        <v>597</v>
      </c>
      <c r="C47" s="106" t="s">
        <v>598</v>
      </c>
      <c r="D47" s="114" t="s">
        <v>599</v>
      </c>
      <c r="E47" s="63"/>
      <c r="F47" s="63"/>
      <c r="G47" s="63"/>
      <c r="H47" s="63"/>
      <c r="I47" s="63"/>
      <c r="J47" s="63"/>
      <c r="K47" s="63"/>
      <c r="L47" s="63"/>
      <c r="M47" s="63"/>
      <c r="N47" s="63"/>
      <c r="O47" s="63"/>
      <c r="P47" s="63"/>
      <c r="Q47" s="63"/>
      <c r="R47" s="63"/>
      <c r="S47" s="63"/>
      <c r="T47" s="63"/>
      <c r="U47" s="63"/>
      <c r="V47" s="63"/>
      <c r="W47" s="63"/>
      <c r="X47" s="63"/>
      <c r="Y47" s="63"/>
      <c r="Z47" s="63"/>
    </row>
    <row r="48" ht="12.0" customHeight="1">
      <c r="A48" s="63"/>
      <c r="B48" s="64"/>
      <c r="C48" s="106"/>
      <c r="D48" s="108" t="s">
        <v>600</v>
      </c>
      <c r="E48" s="63"/>
      <c r="F48" s="63"/>
      <c r="G48" s="63"/>
      <c r="H48" s="63"/>
      <c r="I48" s="63"/>
      <c r="J48" s="63"/>
      <c r="K48" s="63"/>
      <c r="L48" s="63"/>
      <c r="M48" s="63"/>
      <c r="N48" s="63"/>
      <c r="O48" s="63"/>
      <c r="P48" s="63"/>
      <c r="Q48" s="63"/>
      <c r="R48" s="63"/>
      <c r="S48" s="63"/>
      <c r="T48" s="63"/>
      <c r="U48" s="63"/>
      <c r="V48" s="63"/>
      <c r="W48" s="63"/>
      <c r="X48" s="63"/>
      <c r="Y48" s="63"/>
      <c r="Z48" s="63"/>
    </row>
    <row r="49" ht="12.0" customHeight="1">
      <c r="A49" s="63"/>
      <c r="B49" s="64"/>
      <c r="C49" s="106"/>
      <c r="D49" s="108" t="s">
        <v>601</v>
      </c>
      <c r="E49" s="63"/>
      <c r="F49" s="63"/>
      <c r="G49" s="63"/>
      <c r="H49" s="63"/>
      <c r="I49" s="63"/>
      <c r="J49" s="63"/>
      <c r="K49" s="63"/>
      <c r="L49" s="63"/>
      <c r="M49" s="63"/>
      <c r="N49" s="63"/>
      <c r="O49" s="63"/>
      <c r="P49" s="63"/>
      <c r="Q49" s="63"/>
      <c r="R49" s="63"/>
      <c r="S49" s="63"/>
      <c r="T49" s="63"/>
      <c r="U49" s="63"/>
      <c r="V49" s="63"/>
      <c r="W49" s="63"/>
      <c r="X49" s="63"/>
      <c r="Y49" s="63"/>
      <c r="Z49" s="63"/>
    </row>
    <row r="50" ht="12.0" customHeight="1">
      <c r="A50" s="63"/>
      <c r="B50" s="64"/>
      <c r="C50" s="106"/>
      <c r="D50" s="108" t="s">
        <v>602</v>
      </c>
      <c r="E50" s="63"/>
      <c r="F50" s="63"/>
      <c r="G50" s="63"/>
      <c r="H50" s="63"/>
      <c r="I50" s="63"/>
      <c r="J50" s="63"/>
      <c r="K50" s="63"/>
      <c r="L50" s="63"/>
      <c r="M50" s="63"/>
      <c r="N50" s="63"/>
      <c r="O50" s="63"/>
      <c r="P50" s="63"/>
      <c r="Q50" s="63"/>
      <c r="R50" s="63"/>
      <c r="S50" s="63"/>
      <c r="T50" s="63"/>
      <c r="U50" s="63"/>
      <c r="V50" s="63"/>
      <c r="W50" s="63"/>
      <c r="X50" s="63"/>
      <c r="Y50" s="63"/>
      <c r="Z50" s="63"/>
    </row>
    <row r="51" ht="12.0" customHeight="1">
      <c r="A51" s="63"/>
      <c r="B51" s="64"/>
      <c r="C51" s="106"/>
      <c r="D51" s="108" t="s">
        <v>603</v>
      </c>
      <c r="E51" s="63"/>
      <c r="F51" s="63"/>
      <c r="G51" s="63"/>
      <c r="H51" s="63"/>
      <c r="I51" s="63"/>
      <c r="J51" s="63"/>
      <c r="K51" s="63"/>
      <c r="L51" s="63"/>
      <c r="M51" s="63"/>
      <c r="N51" s="63"/>
      <c r="O51" s="63"/>
      <c r="P51" s="63"/>
      <c r="Q51" s="63"/>
      <c r="R51" s="63"/>
      <c r="S51" s="63"/>
      <c r="T51" s="63"/>
      <c r="U51" s="63"/>
      <c r="V51" s="63"/>
      <c r="W51" s="63"/>
      <c r="X51" s="63"/>
      <c r="Y51" s="63"/>
      <c r="Z51" s="63"/>
    </row>
    <row r="52" ht="12.0" customHeight="1">
      <c r="A52" s="63"/>
      <c r="B52" s="64"/>
      <c r="C52" s="106"/>
      <c r="D52" s="108" t="s">
        <v>604</v>
      </c>
      <c r="E52" s="63"/>
      <c r="F52" s="63"/>
      <c r="G52" s="63"/>
      <c r="H52" s="63"/>
      <c r="I52" s="63"/>
      <c r="J52" s="63"/>
      <c r="K52" s="63"/>
      <c r="L52" s="63"/>
      <c r="M52" s="63"/>
      <c r="N52" s="63"/>
      <c r="O52" s="63"/>
      <c r="P52" s="63"/>
      <c r="Q52" s="63"/>
      <c r="R52" s="63"/>
      <c r="S52" s="63"/>
      <c r="T52" s="63"/>
      <c r="U52" s="63"/>
      <c r="V52" s="63"/>
      <c r="W52" s="63"/>
      <c r="X52" s="63"/>
      <c r="Y52" s="63"/>
      <c r="Z52" s="63"/>
    </row>
    <row r="53" ht="12.0" customHeight="1">
      <c r="A53" s="63"/>
      <c r="B53" s="64"/>
      <c r="C53" s="106"/>
      <c r="D53" s="108" t="s">
        <v>605</v>
      </c>
      <c r="E53" s="63"/>
      <c r="F53" s="63"/>
      <c r="G53" s="63"/>
      <c r="H53" s="63"/>
      <c r="I53" s="63"/>
      <c r="J53" s="63"/>
      <c r="K53" s="63"/>
      <c r="L53" s="63"/>
      <c r="M53" s="63"/>
      <c r="N53" s="63"/>
      <c r="O53" s="63"/>
      <c r="P53" s="63"/>
      <c r="Q53" s="63"/>
      <c r="R53" s="63"/>
      <c r="S53" s="63"/>
      <c r="T53" s="63"/>
      <c r="U53" s="63"/>
      <c r="V53" s="63"/>
      <c r="W53" s="63"/>
      <c r="X53" s="63"/>
      <c r="Y53" s="63"/>
      <c r="Z53" s="63"/>
    </row>
    <row r="54" ht="12.0" customHeight="1">
      <c r="A54" s="63"/>
      <c r="B54" s="64"/>
      <c r="C54" s="106"/>
      <c r="D54" s="109" t="s">
        <v>606</v>
      </c>
      <c r="E54" s="63"/>
      <c r="F54" s="63"/>
      <c r="G54" s="63"/>
      <c r="H54" s="63"/>
      <c r="I54" s="63"/>
      <c r="J54" s="63"/>
      <c r="K54" s="63"/>
      <c r="L54" s="63"/>
      <c r="M54" s="63"/>
      <c r="N54" s="63"/>
      <c r="O54" s="63"/>
      <c r="P54" s="63"/>
      <c r="Q54" s="63"/>
      <c r="R54" s="63"/>
      <c r="S54" s="63"/>
      <c r="T54" s="63"/>
      <c r="U54" s="63"/>
      <c r="V54" s="63"/>
      <c r="W54" s="63"/>
      <c r="X54" s="63"/>
      <c r="Y54" s="63"/>
      <c r="Z54" s="63"/>
    </row>
    <row r="55" ht="12.0" customHeight="1">
      <c r="A55" s="63"/>
      <c r="B55" s="115" t="s">
        <v>607</v>
      </c>
      <c r="C55" s="116" t="s">
        <v>608</v>
      </c>
      <c r="D55" s="116" t="s">
        <v>609</v>
      </c>
      <c r="E55" s="63"/>
      <c r="F55" s="63"/>
      <c r="G55" s="63"/>
      <c r="H55" s="63"/>
      <c r="I55" s="63"/>
      <c r="J55" s="63"/>
      <c r="K55" s="63"/>
      <c r="L55" s="63"/>
      <c r="M55" s="63"/>
      <c r="N55" s="63"/>
      <c r="O55" s="63"/>
      <c r="P55" s="63"/>
      <c r="Q55" s="63"/>
      <c r="R55" s="63"/>
      <c r="S55" s="63"/>
      <c r="T55" s="63"/>
      <c r="U55" s="63"/>
      <c r="V55" s="63"/>
      <c r="W55" s="63"/>
      <c r="X55" s="63"/>
      <c r="Y55" s="63"/>
      <c r="Z55" s="63"/>
    </row>
    <row r="56" ht="12.0"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2.0"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2.0" customHeight="1">
      <c r="A58" s="101" t="s">
        <v>610</v>
      </c>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8.0" customHeight="1">
      <c r="A59" s="63" t="s">
        <v>611</v>
      </c>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8.0" customHeight="1">
      <c r="A60" s="63" t="s">
        <v>612</v>
      </c>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8.0" customHeight="1">
      <c r="A61" s="63" t="s">
        <v>613</v>
      </c>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8.0" customHeight="1">
      <c r="A62" s="63" t="s">
        <v>614</v>
      </c>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8.0" customHeight="1">
      <c r="A63" s="101" t="s">
        <v>615</v>
      </c>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8.0" customHeight="1">
      <c r="A64" s="63"/>
      <c r="B64" s="63" t="s">
        <v>616</v>
      </c>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8.0" customHeight="1">
      <c r="A65" s="63"/>
      <c r="B65" s="63" t="s">
        <v>617</v>
      </c>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8.0" customHeight="1">
      <c r="A66" s="63"/>
      <c r="B66" s="63" t="s">
        <v>618</v>
      </c>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8.0" customHeight="1">
      <c r="A67" s="63"/>
      <c r="B67" s="63" t="s">
        <v>619</v>
      </c>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8.0" customHeight="1">
      <c r="A68" s="63"/>
      <c r="B68" s="102" t="s">
        <v>620</v>
      </c>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2.0"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2.0" customHeight="1">
      <c r="A70" s="101" t="s">
        <v>621</v>
      </c>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2.0" customHeight="1">
      <c r="A71" s="63"/>
      <c r="B71" s="103" t="s">
        <v>622</v>
      </c>
      <c r="C71" s="104" t="s">
        <v>623</v>
      </c>
      <c r="D71" s="63"/>
      <c r="E71" s="63"/>
      <c r="F71" s="63"/>
      <c r="G71" s="63"/>
      <c r="H71" s="63"/>
      <c r="I71" s="63"/>
      <c r="J71" s="63"/>
      <c r="K71" s="63"/>
      <c r="L71" s="63"/>
      <c r="M71" s="63"/>
      <c r="N71" s="63"/>
      <c r="O71" s="63"/>
      <c r="P71" s="63"/>
      <c r="Q71" s="63"/>
      <c r="R71" s="63"/>
      <c r="S71" s="63"/>
      <c r="T71" s="63"/>
      <c r="U71" s="63"/>
      <c r="V71" s="63"/>
      <c r="W71" s="63"/>
      <c r="X71" s="63"/>
      <c r="Y71" s="63"/>
      <c r="Z71" s="63"/>
    </row>
    <row r="72" ht="12.0" customHeight="1">
      <c r="A72" s="63"/>
      <c r="B72" s="117" t="s">
        <v>624</v>
      </c>
      <c r="C72" s="118" t="s">
        <v>625</v>
      </c>
      <c r="D72" s="63"/>
      <c r="E72" s="63"/>
      <c r="F72" s="63"/>
      <c r="G72" s="63"/>
      <c r="H72" s="63"/>
      <c r="I72" s="63"/>
      <c r="J72" s="63"/>
      <c r="K72" s="63"/>
      <c r="L72" s="63"/>
      <c r="M72" s="63"/>
      <c r="N72" s="63"/>
      <c r="O72" s="63"/>
      <c r="P72" s="63"/>
      <c r="Q72" s="63"/>
      <c r="R72" s="63"/>
      <c r="S72" s="63"/>
      <c r="T72" s="63"/>
      <c r="U72" s="63"/>
      <c r="V72" s="63"/>
      <c r="W72" s="63"/>
      <c r="X72" s="63"/>
      <c r="Y72" s="63"/>
      <c r="Z72" s="63"/>
    </row>
    <row r="73" ht="12.0" customHeight="1">
      <c r="A73" s="63"/>
      <c r="B73" s="119" t="s">
        <v>626</v>
      </c>
      <c r="C73" s="120" t="s">
        <v>588</v>
      </c>
      <c r="D73" s="63"/>
      <c r="E73" s="63"/>
      <c r="F73" s="63"/>
      <c r="G73" s="63"/>
      <c r="H73" s="63"/>
      <c r="I73" s="63"/>
      <c r="J73" s="63"/>
      <c r="K73" s="63"/>
      <c r="L73" s="63"/>
      <c r="M73" s="63"/>
      <c r="N73" s="63"/>
      <c r="O73" s="63"/>
      <c r="P73" s="63"/>
      <c r="Q73" s="63"/>
      <c r="R73" s="63"/>
      <c r="S73" s="63"/>
      <c r="T73" s="63"/>
      <c r="U73" s="63"/>
      <c r="V73" s="63"/>
      <c r="W73" s="63"/>
      <c r="X73" s="63"/>
      <c r="Y73" s="63"/>
      <c r="Z73" s="63"/>
    </row>
    <row r="74" ht="12.0" customHeight="1">
      <c r="A74" s="63"/>
      <c r="B74" s="119" t="s">
        <v>627</v>
      </c>
      <c r="C74" s="120" t="s">
        <v>578</v>
      </c>
      <c r="D74" s="63"/>
      <c r="E74" s="63"/>
      <c r="F74" s="63"/>
      <c r="G74" s="63"/>
      <c r="H74" s="63"/>
      <c r="I74" s="63"/>
      <c r="J74" s="63"/>
      <c r="K74" s="63"/>
      <c r="L74" s="63"/>
      <c r="M74" s="63"/>
      <c r="N74" s="63"/>
      <c r="O74" s="63"/>
      <c r="P74" s="63"/>
      <c r="Q74" s="63"/>
      <c r="R74" s="63"/>
      <c r="S74" s="63"/>
      <c r="T74" s="63"/>
      <c r="U74" s="63"/>
      <c r="V74" s="63"/>
      <c r="W74" s="63"/>
      <c r="X74" s="63"/>
      <c r="Y74" s="63"/>
      <c r="Z74" s="63"/>
    </row>
    <row r="75" ht="12.0" customHeight="1">
      <c r="A75" s="63"/>
      <c r="B75" s="119" t="s">
        <v>628</v>
      </c>
      <c r="C75" s="120" t="s">
        <v>568</v>
      </c>
      <c r="D75" s="63"/>
      <c r="E75" s="63"/>
      <c r="F75" s="63"/>
      <c r="G75" s="63"/>
      <c r="H75" s="63"/>
      <c r="I75" s="63"/>
      <c r="J75" s="63"/>
      <c r="K75" s="63"/>
      <c r="L75" s="63"/>
      <c r="M75" s="63"/>
      <c r="N75" s="63"/>
      <c r="O75" s="63"/>
      <c r="P75" s="63"/>
      <c r="Q75" s="63"/>
      <c r="R75" s="63"/>
      <c r="S75" s="63"/>
      <c r="T75" s="63"/>
      <c r="U75" s="63"/>
      <c r="V75" s="63"/>
      <c r="W75" s="63"/>
      <c r="X75" s="63"/>
      <c r="Y75" s="63"/>
      <c r="Z75" s="63"/>
    </row>
    <row r="76" ht="12.0" customHeight="1">
      <c r="A76" s="63"/>
      <c r="B76" s="121" t="s">
        <v>629</v>
      </c>
      <c r="C76" s="122" t="s">
        <v>556</v>
      </c>
      <c r="D76" s="63"/>
      <c r="E76" s="63"/>
      <c r="F76" s="63"/>
      <c r="G76" s="63"/>
      <c r="H76" s="63"/>
      <c r="I76" s="63"/>
      <c r="J76" s="63"/>
      <c r="K76" s="63"/>
      <c r="L76" s="63"/>
      <c r="M76" s="63"/>
      <c r="N76" s="63"/>
      <c r="O76" s="63"/>
      <c r="P76" s="63"/>
      <c r="Q76" s="63"/>
      <c r="R76" s="63"/>
      <c r="S76" s="63"/>
      <c r="T76" s="63"/>
      <c r="U76" s="63"/>
      <c r="V76" s="63"/>
      <c r="W76" s="63"/>
      <c r="X76" s="63"/>
      <c r="Y76" s="63"/>
      <c r="Z76" s="63"/>
    </row>
    <row r="77" ht="12.0" customHeight="1">
      <c r="A77" s="63"/>
      <c r="B77" s="63" t="s">
        <v>630</v>
      </c>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2.0" customHeight="1">
      <c r="A78" s="63"/>
      <c r="B78" s="63" t="s">
        <v>631</v>
      </c>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2.0"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2.0"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2.0"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2.0"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2.0"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2.0"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2.0"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2.0"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2.0"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2.0"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2.0"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2.0"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2.0"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2.0"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2.0"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2.0"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2.0"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2.0"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2.0"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2.0"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2.0"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2.0"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2.0"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2.0"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2.0"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2.0"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2.0"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2.0"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2.0"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2.0"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2.0"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2.0"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2.0"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2.0"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2.0"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2.0"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2.0"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2.0"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2.0"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2.0"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2.0"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2.0"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2.0"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2.0"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2.0"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2.0"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2.0"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2.0"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2.0"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2.0"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2.0"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2.0"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2.0"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2.0"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2.0"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2.0"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2.0"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2.0"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2.0"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2.0"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2.0"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2.0"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2.0"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2.0"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2.0"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2.0"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2.0"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2.0"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2.0"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2.0"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2.0"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2.0"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2.0"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2.0"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2.0"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2.0"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2.0"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2.0"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2.0"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2.0"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2.0"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2.0"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2.0"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2.0"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2.0"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2.0"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2.0"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2.0"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2.0"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2.0"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2.0"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2.0"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2.0"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2.0"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2.0"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2.0"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2.0"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2.0"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2.0"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2.0"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2.0"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2.0"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2.0"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2.0"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2.0"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2.0"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2.0"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2.0"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2.0"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2.0"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2.0"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2.0"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2.0"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2.0"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2.0"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2.0"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2.0"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2.0"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2.0"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2.0"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2.0"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2.0"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2.0"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2.0"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2.0"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2.0"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2.0"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2.0"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2.0"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2.0"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2.0"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2.0"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2.0"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2.0"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2.0"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2.0"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2.0"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2.0"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2.0"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2.0"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2.0"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2.0"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2.0"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2.0"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2.0"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2.0"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2.0"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2.0"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2.0"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2.0"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2.0"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2.0"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2.0"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2.0"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2.0"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2.0"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2.0"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2.0"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2.0"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2.0"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2.0"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2.0"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2.0"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2.0"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2.0"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2.0"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2.0"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2.0"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2.0"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2.0"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2.0"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2.0"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2.0"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2.0"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2.0"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2.0"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2.0"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2.0"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2.0"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2.0"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2.0"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2.0"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2.0"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2.0"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2.0"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2.0"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2.0"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2.0"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2.0"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2.0"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2.0"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2.0"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2.0"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2.0"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2.0"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2.0"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2.0"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2.0"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2.0"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2.0"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2.0"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2.0"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2.0"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2.0"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2.0"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2.0"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2.0"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2.0"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2.0"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2.0"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2.0"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2.0"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2.0"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2.0"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2.0"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2.0"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2.0"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2.0"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2.0"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2.0"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2.0"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2.0"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2.0"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2.0"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2.0"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2.0"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2.0"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2.0"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2.0"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2.0"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2.0"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2.0"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2.0"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2.0"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2.0"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2.0"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2.0"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2.0"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2.0"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2.0"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2.0"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2.0"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2.0"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2.0"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2.0"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2.0"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2.0"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2.0"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2.0"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2.0"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2.0"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2.0"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2.0"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2.0"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2.0"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2.0"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2.0"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2.0"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2.0"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2.0"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2.0"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2.0"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2.0"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2.0"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2.0"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2.0"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2.0"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2.0"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2.0"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2.0"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2.0"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2.0"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2.0"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2.0"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2.0"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2.0"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2.0"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2.0"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2.0"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2.0"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2.0"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2.0"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2.0"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2.0"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2.0"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2.0"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2.0"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2.0"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2.0"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2.0"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2.0"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2.0"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2.0"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2.0"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2.0"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2.0"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2.0"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2.0"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2.0"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2.0"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2.0"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2.0"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2.0"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2.0"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2.0"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2.0"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2.0"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2.0"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2.0"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2.0"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2.0"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2.0"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2.0"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2.0"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2.0"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2.0"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2.0"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2.0"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2.0"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2.0"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2.0"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2.0"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2.0"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2.0"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2.0"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2.0"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2.0"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2.0"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2.0"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2.0"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2.0"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2.0"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2.0"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2.0"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2.0"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2.0"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2.0"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2.0"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2.0"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2.0"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2.0"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2.0"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2.0"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2.0"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2.0"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2.0"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2.0"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2.0"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2.0"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2.0"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2.0"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2.0"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2.0"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2.0"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2.0"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2.0"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2.0"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2.0"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2.0"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2.0"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2.0"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2.0"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2.0"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2.0"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2.0"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2.0"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2.0"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2.0"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2.0"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2.0"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2.0"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2.0"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2.0"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2.0"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2.0"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2.0"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2.0"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2.0"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2.0"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2.0"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2.0"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2.0"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2.0"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2.0"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2.0"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2.0"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2.0"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2.0"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2.0"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2.0"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2.0"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2.0"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2.0"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2.0"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2.0"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2.0"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2.0"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2.0"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2.0"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2.0"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2.0"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2.0"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2.0"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2.0"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2.0"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2.0"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2.0"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2.0"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2.0"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2.0"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2.0"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2.0"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2.0"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2.0"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2.0"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2.0"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2.0"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2.0"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2.0"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2.0"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2.0"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2.0"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2.0"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2.0"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2.0"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2.0"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2.0"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2.0"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2.0"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2.0"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2.0"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2.0"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2.0"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2.0"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2.0"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2.0"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2.0"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2.0"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2.0"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2.0"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2.0"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2.0"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2.0"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2.0"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2.0"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2.0"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2.0"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2.0"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2.0"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2.0"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2.0"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2.0"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2.0"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2.0"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2.0"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2.0"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2.0"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2.0"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2.0"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2.0"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2.0"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2.0"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2.0"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2.0"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2.0"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2.0"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2.0"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2.0"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2.0"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2.0"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2.0"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2.0"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2.0"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2.0"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2.0"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2.0"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2.0"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2.0"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2.0"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2.0"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2.0"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2.0"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2.0"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2.0"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2.0"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2.0"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2.0"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2.0"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2.0"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2.0"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2.0"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2.0"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2.0"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2.0"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2.0"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2.0"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2.0"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2.0"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2.0"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2.0"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2.0"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2.0"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2.0"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2.0"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2.0"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2.0"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2.0"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2.0"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2.0"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2.0"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2.0"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2.0"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2.0"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2.0"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2.0"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2.0"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2.0"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2.0"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2.0"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2.0"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2.0"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2.0"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2.0"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2.0"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2.0"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2.0"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2.0"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2.0"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2.0"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2.0"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2.0"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2.0"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2.0"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2.0"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2.0"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2.0"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2.0"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2.0"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2.0"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2.0"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2.0"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2.0"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2.0"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2.0"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2.0"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2.0"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2.0"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2.0"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2.0"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2.0"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2.0"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2.0"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2.0"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2.0"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2.0"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2.0"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2.0"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2.0"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2.0"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2.0"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2.0"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2.0"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2.0"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2.0"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2.0"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2.0"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2.0"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2.0"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2.0"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2.0"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2.0"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2.0"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2.0"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2.0"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2.0"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2.0"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2.0"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2.0"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2.0"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2.0"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2.0"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2.0"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2.0"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2.0"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2.0"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2.0"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2.0"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2.0"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2.0"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2.0"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2.0"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2.0"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2.0"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2.0"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2.0"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2.0"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2.0"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2.0"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2.0"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2.0"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2.0"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2.0"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2.0"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2.0"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2.0"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2.0"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2.0"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2.0"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2.0"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2.0"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2.0"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2.0"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2.0"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2.0"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2.0"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2.0"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2.0"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2.0"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2.0"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2.0"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2.0"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2.0"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2.0"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2.0"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2.0"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2.0"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2.0"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2.0"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2.0"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2.0"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2.0"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2.0"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2.0"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2.0"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2.0"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2.0"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2.0"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2.0"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2.0"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2.0"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2.0"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2.0"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2.0"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2.0"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2.0"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2.0"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2.0"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2.0"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2.0"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2.0"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2.0"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2.0"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2.0"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2.0"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2.0"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2.0"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2.0"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2.0"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2.0"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2.0"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2.0"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2.0"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2.0"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2.0"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2.0"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2.0"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2.0"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2.0"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2.0"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2.0"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2.0"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2.0"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2.0"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2.0"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2.0"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2.0"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2.0"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2.0"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2.0"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2.0"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2.0"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2.0"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2.0"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2.0"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2.0"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2.0"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2.0"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2.0"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2.0"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2.0"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2.0"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2.0"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2.0"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2.0"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2.0"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2.0"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2.0"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2.0"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2.0"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2.0"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2.0"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2.0"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2.0"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2.0"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2.0"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2.0"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2.0"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2.0"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2.0"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2.0"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2.0"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2.0"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2.0"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2.0"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2.0"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2.0"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2.0"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2.0"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2.0"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2.0"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2.0"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2.0"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2.0"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2.0"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2.0"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2.0"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2.0"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2.0"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2.0"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2.0"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2.0"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2.0"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2.0"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2.0"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2.0"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2.0"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2.0"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2.0"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2.0"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2.0"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2.0"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2.0"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2.0"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2.0"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2.0"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2.0"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2.0"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2.0"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2.0"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2.0"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2.0"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2.0"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2.0"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2.0"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2.0"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2.0"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2.0"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2.0"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2.0"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2.0"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2.0"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2.0"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2.0"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2.0"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2.0"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2.0"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2.0"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2.0"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2.0"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2.0"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2.0"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2.0"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2.0"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2.0"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2.0"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2.0"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2.0"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2.0"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2.0"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2.0"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2.0"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2.0"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2.0"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2.0"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2.0"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2.0"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2.0"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2.0"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2.0"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2.0"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2.0"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2.0"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2.0"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2.0"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2.0"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2.0"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2.0"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2.0"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2.0"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2.0"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2.0"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2.0"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2.0"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2.0"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2.0"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2.0"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2.0"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2.0"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2.0"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2.0"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2.0"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2.0"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2.0"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2.0"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2.0"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2.0"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2.0"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2.0"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2.0"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2.0"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2.0"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2.0"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2.0"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2.0"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2.0"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2.0"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2.0"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2.0"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2.0"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2.0"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2.0"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2.0"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2.0"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2.0"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2.0"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2.0"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2.0"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2.0"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2.0"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2.0"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2.0"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2.0"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2.0"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2.0"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2.0"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2.0"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2.0"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2.0"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2.0"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2.0"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2.0"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2.0"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2.0"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2.0"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2.0"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2.0"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2.0"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2.0"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2.0"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2.0"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2.0"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2.0"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2.0"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2.0"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2.0"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2.0"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2.0"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2.0"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2.0"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2.0"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2.0"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2.0"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2.0"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2.0"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2.0"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2.0"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2.0"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2.0"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2.0"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2.0"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2.0"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2.0"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2.0"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2.0"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2.0"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2.0"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2.0"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2.0"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2.0"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2.0"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2.0"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2.0"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2.0"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2.0"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2.0"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2.0"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2.0"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2.0"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2.0"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2.0"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2.0"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2.0"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2.0"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2.0"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2.0"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2.0"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2.0"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2.0"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2.0"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2.0"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2.0"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2.0"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2.0"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2.0"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2.0"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2.0"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2.0"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sheetData>
  <printOptions/>
  <pageMargins bottom="0.75" footer="0.0" header="0.0" left="0.7" right="0.7" top="0.75"/>
  <pageSetup orientation="landscape"/>
  <drawing r:id="rId1"/>
</worksheet>
</file>