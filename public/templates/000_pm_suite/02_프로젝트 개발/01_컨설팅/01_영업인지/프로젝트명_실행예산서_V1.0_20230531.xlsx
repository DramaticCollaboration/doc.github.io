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프로젝트_실행예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18" customWidth="1" min="5" max="5"/>
    <col width="14" customWidth="1" min="6" max="6"/>
    <col width="34" customWidth="1" min="7" max="7"/>
  </cols>
  <sheetData>
    <row r="1" ht="30" customHeight="1">
      <c r="A1" s="1" t="inlineStr">
        <is>
          <t>[PM-27] SyncGuard AI 프로젝트 수행 실행예산서 (Working Budget &amp; P&amp;L) — 주식회사 한빛글로벌 SyncGuard AI 시스템 구축</t>
        </is>
      </c>
    </row>
    <row r="2" ht="22" customHeight="1">
      <c r="A2" s="2" t="inlineStr">
        <is>
          <t>수주 계약금액(4.5억 원) 대비 인건비·외주도급비·제경비 실행예산 편성 및 목표 공헌이익(29.3%) 산출서 | 발주처: 주식회사 한빛글로벌 | 수행사: 주식회사 엠파시 | 기준일: 2026.10</t>
        </is>
      </c>
    </row>
    <row r="4" ht="25" customHeight="1">
      <c r="A4" s="3" t="inlineStr">
        <is>
          <t>예산 대분류</t>
        </is>
      </c>
      <c r="B4" s="3" t="inlineStr">
        <is>
          <t>세부 비목 및 산출 내역 (SyncGuard AI 기준)</t>
        </is>
      </c>
      <c r="C4" s="3" t="inlineStr">
        <is>
          <t>투입량 (M/M·식)</t>
        </is>
      </c>
      <c r="D4" s="3" t="inlineStr">
        <is>
          <t>실행 단가 (원)</t>
        </is>
      </c>
      <c r="E4" s="3" t="inlineStr">
        <is>
          <t>실행 예산액 (원)</t>
        </is>
      </c>
      <c r="F4" s="3" t="inlineStr">
        <is>
          <t>매출 대비 비중</t>
        </is>
      </c>
      <c r="G4" s="3" t="inlineStr">
        <is>
          <t>예산 통제 기준 및 비고</t>
        </is>
      </c>
    </row>
    <row r="5" ht="21" customHeight="1">
      <c r="A5" s="4" t="inlineStr">
        <is>
          <t>1. 계약 매출</t>
        </is>
      </c>
      <c r="B5" s="5" t="inlineStr">
        <is>
          <t>SyncGuard AI 구축 용역 총 계약금액 (VAT 별도 공급가액)</t>
        </is>
      </c>
      <c r="C5" s="6" t="inlineStr">
        <is>
          <t>1 식</t>
        </is>
      </c>
      <c r="D5" s="7" t="n">
        <v>409090909</v>
      </c>
      <c r="E5" s="7" t="n">
        <v>409090909</v>
      </c>
      <c r="F5" s="6" t="inlineStr">
        <is>
          <t>100.0%</t>
        </is>
      </c>
      <c r="G5" s="6" t="inlineStr">
        <is>
          <t>VAT 포함 총액: 450,000,000원</t>
        </is>
      </c>
    </row>
    <row r="6" ht="21" customHeight="1">
      <c r="A6" s="8" t="inlineStr">
        <is>
          <t>2. 본사인건비</t>
        </is>
      </c>
      <c r="B6" s="9" t="inlineStr">
        <is>
          <t>사업총괄 PM (박진우 수석, 특급) — 6.0 M/M</t>
        </is>
      </c>
      <c r="C6" s="10" t="inlineStr">
        <is>
          <t>6.0 M/M</t>
        </is>
      </c>
      <c r="D6" s="11" t="n">
        <v>9500000</v>
      </c>
      <c r="E6" s="11" t="n">
        <v>57000000</v>
      </c>
      <c r="F6" s="10" t="inlineStr">
        <is>
          <t>13.9%</t>
        </is>
      </c>
      <c r="G6" s="10" t="inlineStr">
        <is>
          <t>본사 실행 원가 단가 기준</t>
        </is>
      </c>
    </row>
    <row r="7" ht="21" customHeight="1">
      <c r="A7" s="4" t="inlineStr">
        <is>
          <t>2. 본사인건비</t>
        </is>
      </c>
      <c r="B7" s="5" t="inlineStr">
        <is>
          <t>기술총괄 AA (강동현 수석, 특급) — 4.0 M/M</t>
        </is>
      </c>
      <c r="C7" s="6" t="inlineStr">
        <is>
          <t>4.0 M/M</t>
        </is>
      </c>
      <c r="D7" s="7" t="n">
        <v>9500000</v>
      </c>
      <c r="E7" s="7" t="n">
        <v>38000000</v>
      </c>
      <c r="F7" s="6" t="inlineStr">
        <is>
          <t>9.3%</t>
        </is>
      </c>
      <c r="G7" s="6" t="inlineStr">
        <is>
          <t>아키텍처·보안·성능 총괄</t>
        </is>
      </c>
    </row>
    <row r="8" ht="21" customHeight="1">
      <c r="A8" s="8" t="inlineStr">
        <is>
          <t>2. 본사인건비</t>
        </is>
      </c>
      <c r="B8" s="9" t="inlineStr">
        <is>
          <t>AI/백엔드 PL (김태호 책임) 및 프론트 PL (이하은 책임) — 8.0 M/M</t>
        </is>
      </c>
      <c r="C8" s="10" t="inlineStr">
        <is>
          <t>8.0 M/M</t>
        </is>
      </c>
      <c r="D8" s="11" t="n">
        <v>7800000</v>
      </c>
      <c r="E8" s="11" t="n">
        <v>62400000</v>
      </c>
      <c r="F8" s="10" t="inlineStr">
        <is>
          <t>15.3%</t>
        </is>
      </c>
      <c r="G8" s="10" t="inlineStr">
        <is>
          <t>핵심 코어 개발 리더 2명</t>
        </is>
      </c>
    </row>
    <row r="9" ht="21" customHeight="1">
      <c r="A9" s="4" t="inlineStr">
        <is>
          <t>2. 본사인건비</t>
        </is>
      </c>
      <c r="B9" s="5" t="inlineStr">
        <is>
          <t>데이터/QA 리드 (조현우 선임) 및 UI 디자이너 — 6.0 M/M</t>
        </is>
      </c>
      <c r="C9" s="6" t="inlineStr">
        <is>
          <t>6.0 M/M</t>
        </is>
      </c>
      <c r="D9" s="7" t="n">
        <v>6500000</v>
      </c>
      <c r="E9" s="7" t="n">
        <v>39000000</v>
      </c>
      <c r="F9" s="6" t="inlineStr">
        <is>
          <t>9.5%</t>
        </is>
      </c>
      <c r="G9" s="6" t="inlineStr">
        <is>
          <t>데이터 모델링·룰셋·골든셋 QA</t>
        </is>
      </c>
    </row>
    <row r="10" ht="21" customHeight="1">
      <c r="A10" s="8" t="inlineStr">
        <is>
          <t>3. 외주용역비</t>
        </is>
      </c>
      <c r="B10" s="9" t="inlineStr">
        <is>
          <t>기간계 연계 어댑터 개발 도급 (㈜데이터브릿지)</t>
        </is>
      </c>
      <c r="C10" s="10" t="inlineStr">
        <is>
          <t>1 식</t>
        </is>
      </c>
      <c r="D10" s="11" t="n">
        <v>54545455</v>
      </c>
      <c r="E10" s="11" t="n">
        <v>54545455</v>
      </c>
      <c r="F10" s="10" t="inlineStr">
        <is>
          <t>13.3%</t>
        </is>
      </c>
      <c r="G10" s="10" t="inlineStr">
        <is>
          <t>VAT 포함 60,000,000원 (하도급 승인 완료)</t>
        </is>
      </c>
    </row>
    <row r="11" ht="21" customHeight="1">
      <c r="A11" s="4" t="inlineStr">
        <is>
          <t>3. 외주용역비</t>
        </is>
      </c>
      <c r="B11" s="5" t="inlineStr">
        <is>
          <t>멀티모달 OCR 정규식·골든셋 전문 프리랜서 (신유진 수석)</t>
        </is>
      </c>
      <c r="C11" s="6" t="inlineStr">
        <is>
          <t>4.0 M/M</t>
        </is>
      </c>
      <c r="D11" s="7" t="n">
        <v>6000000</v>
      </c>
      <c r="E11" s="7" t="n">
        <v>24000000</v>
      </c>
      <c r="F11" s="6" t="inlineStr">
        <is>
          <t>5.9%</t>
        </is>
      </c>
      <c r="G11" s="6" t="inlineStr">
        <is>
          <t>4개월 마일스톤 위탁 계약</t>
        </is>
      </c>
    </row>
    <row r="12" ht="21" customHeight="1">
      <c r="A12" s="8" t="inlineStr">
        <is>
          <t>4. 제경비·보증</t>
        </is>
      </c>
      <c r="B12" s="9" t="inlineStr">
        <is>
          <t>계약/선금/하자 보증보험료, 개발 샌드박스 API, 워크샵·출장비</t>
        </is>
      </c>
      <c r="C12" s="10" t="inlineStr">
        <is>
          <t>1 식</t>
        </is>
      </c>
      <c r="D12" s="11" t="n">
        <v>14200000</v>
      </c>
      <c r="E12" s="11" t="n">
        <v>14200000</v>
      </c>
      <c r="F12" s="10" t="inlineStr">
        <is>
          <t>3.5%</t>
        </is>
      </c>
      <c r="G12" s="10" t="inlineStr">
        <is>
          <t>실비 증빙 정산</t>
        </is>
      </c>
    </row>
    <row r="13" ht="21" customHeight="1">
      <c r="A13" s="4" t="inlineStr">
        <is>
          <t>5. 실행원가 계</t>
        </is>
      </c>
      <c r="B13" s="5" t="inlineStr">
        <is>
          <t>직접 수행 원가 총계 (본사인건비 + 외주용역비 + 제경비)</t>
        </is>
      </c>
      <c r="C13" s="6" t="inlineStr">
        <is>
          <t>-</t>
        </is>
      </c>
      <c r="D13" s="12" t="n">
        <v>0</v>
      </c>
      <c r="E13" s="7">
        <f>SUM(E6:E12)</f>
        <v/>
      </c>
      <c r="F13" s="6" t="inlineStr">
        <is>
          <t>70.7%</t>
        </is>
      </c>
      <c r="G13" s="6" t="inlineStr">
        <is>
          <t>예산 한도 엄수</t>
        </is>
      </c>
    </row>
    <row r="14" ht="21" customHeight="1">
      <c r="A14" s="8" t="inlineStr">
        <is>
          <t>6. 공헌이익</t>
        </is>
      </c>
      <c r="B14" s="9" t="inlineStr">
        <is>
          <t>프로젝트 목표 영업 공헌이익 (매출 공급가액 - 실행원가 계)</t>
        </is>
      </c>
      <c r="C14" s="10" t="inlineStr">
        <is>
          <t>-</t>
        </is>
      </c>
      <c r="D14" s="13" t="n">
        <v>0</v>
      </c>
      <c r="E14" s="11">
        <f>E5-E13</f>
        <v/>
      </c>
      <c r="F14" s="10" t="inlineStr">
        <is>
          <t>29.3%</t>
        </is>
      </c>
      <c r="G14" s="10" t="inlineStr">
        <is>
          <t>목표 이익률(25%+) 초과 달성 (약 1.20억 원)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